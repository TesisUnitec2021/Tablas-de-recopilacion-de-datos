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3\"/>
    </mc:Choice>
  </mc:AlternateContent>
  <bookViews>
    <workbookView xWindow="0" yWindow="0" windowWidth="23040" windowHeight="9972" tabRatio="830" firstSheet="6" activeTab="11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<sst xmlns="http://schemas.openxmlformats.org/spreadsheetml/2006/main" count="3524" uniqueCount="262">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</sst>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39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9</xdr:row>
          <xdr:rowOff>0</xdr:rowOff>
        </xdr:from>
        <xdr:to>
          <xdr:col>15</xdr:col>
          <xdr:colOff>510540</xdr:colOff>
          <xdr:row>49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99060</xdr:rowOff>
        </xdr:from>
        <xdr:to>
          <xdr:col>11</xdr:col>
          <xdr:colOff>381000</xdr:colOff>
          <xdr:row>10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20" tableBorderDxfId="19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18" tableBorderDxfId="17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6" tableBorderDxfId="15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4" tableBorderDxfId="13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2" tableBorderDxfId="11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10" tableBorderDxfId="9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8" tableBorderDxfId="7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6" tableBorderDxfId="5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3" t="s">
        <v>197</v>
      </c>
      <c r="H4" s="193"/>
      <c r="I4" s="193"/>
      <c r="J4" s="193"/>
      <c r="K4" s="193"/>
      <c r="L4" s="193"/>
      <c r="M4" s="193"/>
    </row>
    <row r="5" spans="7:13" x14ac:dyDescent="0.3">
      <c r="G5" s="193"/>
      <c r="H5" s="193"/>
      <c r="I5" s="193"/>
      <c r="J5" s="193"/>
      <c r="K5" s="193"/>
      <c r="L5" s="193"/>
      <c r="M5" s="193"/>
    </row>
    <row r="6" spans="7:13" x14ac:dyDescent="0.3">
      <c r="G6" s="193"/>
      <c r="H6" s="193"/>
      <c r="I6" s="193"/>
      <c r="J6" s="193"/>
      <c r="K6" s="193"/>
      <c r="L6" s="193"/>
      <c r="M6" s="193"/>
    </row>
    <row r="13" spans="7:13" x14ac:dyDescent="0.3">
      <c r="G13" s="193" t="s">
        <v>196</v>
      </c>
      <c r="H13" s="193"/>
      <c r="I13" s="193"/>
      <c r="J13" s="193"/>
      <c r="K13" s="193"/>
      <c r="L13" s="193"/>
      <c r="M13" s="193"/>
    </row>
    <row r="14" spans="7:13" x14ac:dyDescent="0.3">
      <c r="G14" s="193"/>
      <c r="H14" s="193"/>
      <c r="I14" s="193"/>
      <c r="J14" s="193"/>
      <c r="K14" s="193"/>
      <c r="L14" s="193"/>
      <c r="M14" s="193"/>
    </row>
    <row r="15" spans="7:13" x14ac:dyDescent="0.3">
      <c r="G15" s="193"/>
      <c r="H15" s="193"/>
      <c r="I15" s="193"/>
      <c r="J15" s="193"/>
      <c r="K15" s="193"/>
      <c r="L15" s="193"/>
      <c r="M15" s="193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4" t="s">
        <v>195</v>
      </c>
      <c r="H21" s="194"/>
      <c r="I21" s="194"/>
      <c r="J21" s="194"/>
      <c r="K21" s="194"/>
      <c r="L21" s="194"/>
      <c r="M21" s="194"/>
    </row>
    <row r="22" spans="2:13" x14ac:dyDescent="0.3">
      <c r="B22" s="75"/>
      <c r="C22" s="75"/>
      <c r="D22" s="75"/>
      <c r="E22" s="75"/>
      <c r="F22" s="75"/>
      <c r="G22" s="194"/>
      <c r="H22" s="194"/>
      <c r="I22" s="194"/>
      <c r="J22" s="194"/>
      <c r="K22" s="194"/>
      <c r="L22" s="194"/>
      <c r="M22" s="194"/>
    </row>
    <row r="23" spans="2:13" x14ac:dyDescent="0.3">
      <c r="B23" s="75"/>
      <c r="C23" s="75"/>
      <c r="D23" s="75"/>
      <c r="E23" s="75"/>
      <c r="F23" s="75"/>
      <c r="G23" s="194"/>
      <c r="H23" s="194"/>
      <c r="I23" s="194"/>
      <c r="J23" s="194"/>
      <c r="K23" s="194"/>
      <c r="L23" s="194"/>
      <c r="M23" s="194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5" t="s">
        <v>38</v>
      </c>
      <c r="C29" s="197">
        <f>+G22*3.23</f>
        <v>952.85</v>
      </c>
      <c r="D29" s="197"/>
      <c r="G29" s="9" t="s">
        <v>152</v>
      </c>
      <c r="H29">
        <v>4</v>
      </c>
      <c r="I29" t="s">
        <v>155</v>
      </c>
    </row>
    <row r="30" spans="2:18" x14ac:dyDescent="0.3">
      <c r="B30" s="196"/>
      <c r="C30" s="198"/>
      <c r="D30" s="198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9" t="s">
        <v>163</v>
      </c>
      <c r="C32" s="1"/>
      <c r="D32" s="1"/>
      <c r="F32" t="s">
        <v>164</v>
      </c>
    </row>
    <row r="33" spans="2:18" x14ac:dyDescent="0.3">
      <c r="B33" s="199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808.34942106097105</v>
      </c>
      <c r="E5" s="172">
        <f t="shared" si="0"/>
        <v>808.34942106097105</v>
      </c>
      <c r="F5" s="172">
        <f t="shared" si="0"/>
        <v>14</v>
      </c>
      <c r="G5" s="172">
        <f t="shared" si="0"/>
        <v>6.4193914655949902</v>
      </c>
      <c r="H5" s="172">
        <f t="shared" si="0"/>
        <v>808.34942106097105</v>
      </c>
      <c r="I5" s="172">
        <f t="shared" si="0"/>
        <v>808.34942106097105</v>
      </c>
      <c r="J5" s="172">
        <f t="shared" si="0"/>
        <v>14</v>
      </c>
      <c r="K5" s="172">
        <f t="shared" si="0"/>
        <v>6.4193914655949902</v>
      </c>
      <c r="L5" s="172">
        <f t="shared" si="0"/>
        <v>12.3893284807555</v>
      </c>
      <c r="M5" s="172">
        <f t="shared" si="0"/>
        <v>6.72628616968733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7412.7136913548502</v>
      </c>
      <c r="E6" s="172">
        <f t="shared" si="1"/>
        <v>7412.7136913548502</v>
      </c>
      <c r="F6" s="172">
        <f t="shared" si="1"/>
        <v>8.7133762530251406</v>
      </c>
      <c r="G6" s="172">
        <f t="shared" si="1"/>
        <v>7.4647375866419097</v>
      </c>
      <c r="H6" s="172">
        <f t="shared" si="1"/>
        <v>7412.7136913548502</v>
      </c>
      <c r="I6" s="172">
        <f t="shared" si="1"/>
        <v>7412.7136913548502</v>
      </c>
      <c r="J6" s="172">
        <f t="shared" si="1"/>
        <v>8.7133762530251406</v>
      </c>
      <c r="K6" s="172">
        <f t="shared" si="1"/>
        <v>7.4647375866419097</v>
      </c>
      <c r="L6" s="172">
        <f t="shared" si="1"/>
        <v>9.5891323967182398</v>
      </c>
      <c r="M6" s="172">
        <f t="shared" si="1"/>
        <v>7.6402917099400902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9273.2348261151001</v>
      </c>
      <c r="E7" s="172">
        <f t="shared" si="2"/>
        <v>9273.2348261151001</v>
      </c>
      <c r="F7" s="172">
        <f t="shared" si="2"/>
        <v>8.5958697977077101</v>
      </c>
      <c r="G7" s="172">
        <f t="shared" si="2"/>
        <v>7.5232697703141396</v>
      </c>
      <c r="H7" s="172">
        <f t="shared" si="2"/>
        <v>9273.2348261151001</v>
      </c>
      <c r="I7" s="172">
        <f t="shared" si="2"/>
        <v>9273.2348261151001</v>
      </c>
      <c r="J7" s="172">
        <f t="shared" si="2"/>
        <v>8.5958697977077101</v>
      </c>
      <c r="K7" s="172">
        <f t="shared" si="2"/>
        <v>7.5232697703141396</v>
      </c>
      <c r="L7" s="172">
        <f t="shared" si="2"/>
        <v>9.5518610562108908</v>
      </c>
      <c r="M7" s="172">
        <f t="shared" si="2"/>
        <v>7.6498563181439199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9273.2348261151001</v>
      </c>
      <c r="E8" s="172">
        <f t="shared" si="3"/>
        <v>9273.2348261151001</v>
      </c>
      <c r="F8" s="172">
        <f t="shared" si="3"/>
        <v>8.5958697977077101</v>
      </c>
      <c r="G8" s="172">
        <f t="shared" si="3"/>
        <v>7.5232697703141396</v>
      </c>
      <c r="H8" s="172">
        <f t="shared" si="3"/>
        <v>9273.2348261151001</v>
      </c>
      <c r="I8" s="172">
        <f t="shared" si="3"/>
        <v>9273.2348261151001</v>
      </c>
      <c r="J8" s="172">
        <f t="shared" si="3"/>
        <v>8.5958697977077101</v>
      </c>
      <c r="K8" s="172">
        <f t="shared" si="3"/>
        <v>7.5232697703141396</v>
      </c>
      <c r="L8" s="172">
        <f t="shared" si="3"/>
        <v>9.5203487885315603</v>
      </c>
      <c r="M8" s="172">
        <f t="shared" si="3"/>
        <v>7.6588932515992898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9273.2348261151001</v>
      </c>
      <c r="E9" s="172">
        <f t="shared" si="4"/>
        <v>9273.2348261151001</v>
      </c>
      <c r="F9" s="172">
        <f t="shared" si="4"/>
        <v>8.5958697977077101</v>
      </c>
      <c r="G9" s="172">
        <f t="shared" si="4"/>
        <v>7.5232697703141396</v>
      </c>
      <c r="H9" s="172">
        <f t="shared" si="4"/>
        <v>9273.2348261151001</v>
      </c>
      <c r="I9" s="172">
        <f t="shared" si="4"/>
        <v>9273.2348261151001</v>
      </c>
      <c r="J9" s="172">
        <f t="shared" si="4"/>
        <v>8.5958697977077101</v>
      </c>
      <c r="K9" s="172">
        <f t="shared" si="4"/>
        <v>7.5232697703141396</v>
      </c>
      <c r="L9" s="172">
        <f t="shared" si="4"/>
        <v>9.4924143240006593</v>
      </c>
      <c r="M9" s="172">
        <f t="shared" si="4"/>
        <v>7.6673063331215801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9273.2348261151001</v>
      </c>
      <c r="E10" s="172">
        <f t="shared" si="5"/>
        <v>9273.2348261151001</v>
      </c>
      <c r="F10" s="172">
        <f t="shared" si="5"/>
        <v>8.5958697977077101</v>
      </c>
      <c r="G10" s="172">
        <f t="shared" si="5"/>
        <v>7.5232697703141396</v>
      </c>
      <c r="H10" s="172">
        <f t="shared" si="5"/>
        <v>9273.2348261151001</v>
      </c>
      <c r="I10" s="172">
        <f t="shared" si="5"/>
        <v>9273.2348261151001</v>
      </c>
      <c r="J10" s="172">
        <f t="shared" si="5"/>
        <v>8.5958697977077101</v>
      </c>
      <c r="K10" s="172">
        <f t="shared" si="5"/>
        <v>7.5232697703141396</v>
      </c>
      <c r="L10" s="172">
        <f t="shared" si="5"/>
        <v>9.4682367772981308</v>
      </c>
      <c r="M10" s="172">
        <f t="shared" si="5"/>
        <v>7.6753039473114004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9273.2348261151001</v>
      </c>
      <c r="E11" s="172">
        <f t="shared" si="6"/>
        <v>9273.2348261151001</v>
      </c>
      <c r="F11" s="172">
        <f t="shared" si="6"/>
        <v>8.5958697977077101</v>
      </c>
      <c r="G11" s="172">
        <f t="shared" si="6"/>
        <v>7.5232697703141396</v>
      </c>
      <c r="H11" s="172">
        <f t="shared" si="6"/>
        <v>9273.2348261151001</v>
      </c>
      <c r="I11" s="172">
        <f t="shared" si="6"/>
        <v>9273.2348261151001</v>
      </c>
      <c r="J11" s="172">
        <f t="shared" si="6"/>
        <v>8.5958697977077101</v>
      </c>
      <c r="K11" s="172">
        <f t="shared" si="6"/>
        <v>7.5232697703141396</v>
      </c>
      <c r="L11" s="172">
        <f t="shared" si="6"/>
        <v>9.4459316310774604</v>
      </c>
      <c r="M11" s="172">
        <f t="shared" si="6"/>
        <v>7.6829835331460803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9340.4137288587099</v>
      </c>
      <c r="E12" s="172">
        <f t="shared" si="7"/>
        <v>9340.4137288587099</v>
      </c>
      <c r="F12" s="172">
        <f t="shared" si="7"/>
        <v>8.6491224005580598</v>
      </c>
      <c r="G12" s="172">
        <f t="shared" si="7"/>
        <v>7.5160049404214604</v>
      </c>
      <c r="H12" s="172">
        <f t="shared" si="7"/>
        <v>9340.4137288587099</v>
      </c>
      <c r="I12" s="172">
        <f t="shared" si="7"/>
        <v>9340.4137288587099</v>
      </c>
      <c r="J12" s="172">
        <f t="shared" si="7"/>
        <v>8.6491224005580598</v>
      </c>
      <c r="K12" s="172">
        <f t="shared" si="7"/>
        <v>7.5160049404214604</v>
      </c>
      <c r="L12" s="172">
        <f t="shared" si="7"/>
        <v>9.4062119978978807</v>
      </c>
      <c r="M12" s="172">
        <f t="shared" si="7"/>
        <v>7.6903758049448498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9340.4137288587099</v>
      </c>
      <c r="E13" s="172">
        <f t="shared" si="8"/>
        <v>9340.4137288587099</v>
      </c>
      <c r="F13" s="172">
        <f t="shared" si="8"/>
        <v>8.6491224005580598</v>
      </c>
      <c r="G13" s="172">
        <f t="shared" si="8"/>
        <v>7.5160049404214604</v>
      </c>
      <c r="H13" s="172">
        <f t="shared" si="8"/>
        <v>9340.4137288587099</v>
      </c>
      <c r="I13" s="172">
        <f t="shared" si="8"/>
        <v>9340.4137288587099</v>
      </c>
      <c r="J13" s="172">
        <f t="shared" si="8"/>
        <v>8.6491224005580598</v>
      </c>
      <c r="K13" s="172">
        <f t="shared" si="8"/>
        <v>7.5160049404214604</v>
      </c>
      <c r="L13" s="172">
        <f t="shared" si="8"/>
        <v>9.3465680174720802</v>
      </c>
      <c r="M13" s="172">
        <f t="shared" si="8"/>
        <v>7.6976288443712404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9340.4137288587099</v>
      </c>
      <c r="E14" s="172">
        <f t="shared" si="9"/>
        <v>9340.4137288587099</v>
      </c>
      <c r="F14" s="172">
        <f t="shared" si="9"/>
        <v>8.6491224005580598</v>
      </c>
      <c r="G14" s="172">
        <f t="shared" si="9"/>
        <v>7.5160049404214604</v>
      </c>
      <c r="H14" s="172">
        <f t="shared" si="9"/>
        <v>9340.4137288587099</v>
      </c>
      <c r="I14" s="172">
        <f t="shared" si="9"/>
        <v>9340.4137288587099</v>
      </c>
      <c r="J14" s="172">
        <f t="shared" si="9"/>
        <v>8.6491224005580598</v>
      </c>
      <c r="K14" s="172">
        <f t="shared" si="9"/>
        <v>7.5160049404214604</v>
      </c>
      <c r="L14" s="172">
        <f t="shared" si="9"/>
        <v>9.2483338828503907</v>
      </c>
      <c r="M14" s="172">
        <f t="shared" si="9"/>
        <v>7.7056530422156602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9674.5357115606803</v>
      </c>
      <c r="E15" s="172">
        <f t="shared" si="10"/>
        <v>9674.5357115606803</v>
      </c>
      <c r="F15" s="172">
        <f t="shared" si="10"/>
        <v>8.6774877812768398</v>
      </c>
      <c r="G15" s="172">
        <f t="shared" si="10"/>
        <v>7.5197978833811998</v>
      </c>
      <c r="H15" s="172">
        <f t="shared" si="10"/>
        <v>9674.5357115606803</v>
      </c>
      <c r="I15" s="172">
        <f t="shared" si="10"/>
        <v>9674.5357115606803</v>
      </c>
      <c r="J15" s="172">
        <f t="shared" si="10"/>
        <v>8.6774877812768398</v>
      </c>
      <c r="K15" s="172">
        <f t="shared" si="10"/>
        <v>7.5197978833811998</v>
      </c>
      <c r="L15" s="172">
        <f t="shared" si="10"/>
        <v>9.0319867407611394</v>
      </c>
      <c r="M15" s="172">
        <f t="shared" si="10"/>
        <v>7.7173210417262803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9674.5357115606803</v>
      </c>
      <c r="E23" s="172">
        <v>9674.5357115606803</v>
      </c>
      <c r="F23" s="172">
        <v>8.6774877812768398</v>
      </c>
      <c r="G23" s="172">
        <v>7.5197978833811998</v>
      </c>
      <c r="H23" s="172">
        <v>9674.5357115606803</v>
      </c>
      <c r="I23" s="172">
        <v>9674.5357115606803</v>
      </c>
      <c r="J23" s="172">
        <v>8.6774877812768398</v>
      </c>
      <c r="K23" s="172">
        <v>7.5197978833811998</v>
      </c>
      <c r="L23" s="172">
        <v>9.0319867407611394</v>
      </c>
      <c r="M23" s="172">
        <v>7.7173210417262803</v>
      </c>
    </row>
    <row r="24" spans="2:15" x14ac:dyDescent="0.3">
      <c r="B24" s="172" t="s">
        <v>24</v>
      </c>
      <c r="C24" s="172" t="s">
        <v>175</v>
      </c>
      <c r="D24" s="172">
        <v>9340.4137288587099</v>
      </c>
      <c r="E24" s="172">
        <v>9340.4137288587099</v>
      </c>
      <c r="F24" s="172">
        <v>8.6491224005580598</v>
      </c>
      <c r="G24" s="172">
        <v>7.5160049404214604</v>
      </c>
      <c r="H24" s="172">
        <v>9340.4137288587099</v>
      </c>
      <c r="I24" s="172">
        <v>9340.4137288587099</v>
      </c>
      <c r="J24" s="172">
        <v>8.6491224005580598</v>
      </c>
      <c r="K24" s="172">
        <v>7.5160049404214604</v>
      </c>
      <c r="L24" s="172">
        <v>9.2483338828503907</v>
      </c>
      <c r="M24" s="172">
        <v>7.7056530422156602</v>
      </c>
    </row>
    <row r="25" spans="2:15" x14ac:dyDescent="0.3">
      <c r="B25" s="172" t="s">
        <v>25</v>
      </c>
      <c r="C25" s="172" t="s">
        <v>176</v>
      </c>
      <c r="D25" s="172">
        <v>9340.4137288587099</v>
      </c>
      <c r="E25" s="172">
        <v>9340.4137288587099</v>
      </c>
      <c r="F25" s="172">
        <v>8.6491224005580598</v>
      </c>
      <c r="G25" s="172">
        <v>7.5160049404214604</v>
      </c>
      <c r="H25" s="172">
        <v>9340.4137288587099</v>
      </c>
      <c r="I25" s="172">
        <v>9340.4137288587099</v>
      </c>
      <c r="J25" s="172">
        <v>8.6491224005580598</v>
      </c>
      <c r="K25" s="172">
        <v>7.5160049404214604</v>
      </c>
      <c r="L25" s="172">
        <v>9.3465680174720802</v>
      </c>
      <c r="M25" s="172">
        <v>7.6976288443712404</v>
      </c>
    </row>
    <row r="26" spans="2:15" x14ac:dyDescent="0.3">
      <c r="B26" s="172" t="s">
        <v>26</v>
      </c>
      <c r="C26" s="172" t="s">
        <v>177</v>
      </c>
      <c r="D26" s="172">
        <v>9340.4137288587099</v>
      </c>
      <c r="E26" s="172">
        <v>9340.4137288587099</v>
      </c>
      <c r="F26" s="172">
        <v>8.6491224005580598</v>
      </c>
      <c r="G26" s="172">
        <v>7.5160049404214604</v>
      </c>
      <c r="H26" s="172">
        <v>9340.4137288587099</v>
      </c>
      <c r="I26" s="172">
        <v>9340.4137288587099</v>
      </c>
      <c r="J26" s="172">
        <v>8.6491224005580598</v>
      </c>
      <c r="K26" s="172">
        <v>7.5160049404214604</v>
      </c>
      <c r="L26" s="172">
        <v>9.4062119978978807</v>
      </c>
      <c r="M26" s="172">
        <v>7.6903758049448498</v>
      </c>
    </row>
    <row r="27" spans="2:15" x14ac:dyDescent="0.3">
      <c r="B27" s="172" t="s">
        <v>39</v>
      </c>
      <c r="C27" s="172" t="s">
        <v>178</v>
      </c>
      <c r="D27" s="172">
        <v>9273.2348261151001</v>
      </c>
      <c r="E27" s="172">
        <v>9273.2348261151001</v>
      </c>
      <c r="F27" s="172">
        <v>8.5958697977077101</v>
      </c>
      <c r="G27" s="172">
        <v>7.5232697703141396</v>
      </c>
      <c r="H27" s="172">
        <v>9273.2348261151001</v>
      </c>
      <c r="I27" s="172">
        <v>9273.2348261151001</v>
      </c>
      <c r="J27" s="172">
        <v>8.5958697977077101</v>
      </c>
      <c r="K27" s="172">
        <v>7.5232697703141396</v>
      </c>
      <c r="L27" s="172">
        <v>9.4459316310774604</v>
      </c>
      <c r="M27" s="172">
        <v>7.6829835331460803</v>
      </c>
    </row>
    <row r="28" spans="2:15" x14ac:dyDescent="0.3">
      <c r="B28" s="172" t="s">
        <v>179</v>
      </c>
      <c r="C28" s="172" t="s">
        <v>180</v>
      </c>
      <c r="D28" s="172">
        <v>9273.2348261151001</v>
      </c>
      <c r="E28" s="172">
        <v>9273.2348261151001</v>
      </c>
      <c r="F28" s="172">
        <v>8.5958697977077101</v>
      </c>
      <c r="G28" s="172">
        <v>7.5232697703141396</v>
      </c>
      <c r="H28" s="172">
        <v>9273.2348261151001</v>
      </c>
      <c r="I28" s="172">
        <v>9273.2348261151001</v>
      </c>
      <c r="J28" s="172">
        <v>8.5958697977077101</v>
      </c>
      <c r="K28" s="172">
        <v>7.5232697703141396</v>
      </c>
      <c r="L28" s="172">
        <v>9.4682367772981308</v>
      </c>
      <c r="M28" s="172">
        <v>7.6753039473114004</v>
      </c>
    </row>
    <row r="29" spans="2:15" x14ac:dyDescent="0.3">
      <c r="B29" s="172" t="s">
        <v>181</v>
      </c>
      <c r="C29" s="172" t="s">
        <v>182</v>
      </c>
      <c r="D29" s="172">
        <v>9273.2348261151001</v>
      </c>
      <c r="E29" s="172">
        <v>9273.2348261151001</v>
      </c>
      <c r="F29" s="172">
        <v>8.5958697977077101</v>
      </c>
      <c r="G29" s="172">
        <v>7.5232697703141396</v>
      </c>
      <c r="H29" s="172">
        <v>9273.2348261151001</v>
      </c>
      <c r="I29" s="172">
        <v>9273.2348261151001</v>
      </c>
      <c r="J29" s="172">
        <v>8.5958697977077101</v>
      </c>
      <c r="K29" s="172">
        <v>7.5232697703141396</v>
      </c>
      <c r="L29" s="172">
        <v>9.4924143240006593</v>
      </c>
      <c r="M29" s="172">
        <v>7.6673063331215801</v>
      </c>
    </row>
    <row r="30" spans="2:15" x14ac:dyDescent="0.3">
      <c r="B30" s="172" t="s">
        <v>183</v>
      </c>
      <c r="C30" s="172" t="s">
        <v>184</v>
      </c>
      <c r="D30" s="172">
        <v>9273.2348261151001</v>
      </c>
      <c r="E30" s="172">
        <v>9273.2348261151001</v>
      </c>
      <c r="F30" s="172">
        <v>8.5958697977077101</v>
      </c>
      <c r="G30" s="172">
        <v>7.5232697703141396</v>
      </c>
      <c r="H30" s="172">
        <v>9273.2348261151001</v>
      </c>
      <c r="I30" s="172">
        <v>9273.2348261151001</v>
      </c>
      <c r="J30" s="172">
        <v>8.5958697977077101</v>
      </c>
      <c r="K30" s="172">
        <v>7.5232697703141396</v>
      </c>
      <c r="L30" s="172">
        <v>9.5203487885315603</v>
      </c>
      <c r="M30" s="172">
        <v>7.6588932515992898</v>
      </c>
    </row>
    <row r="31" spans="2:15" x14ac:dyDescent="0.3">
      <c r="B31" s="172" t="s">
        <v>185</v>
      </c>
      <c r="C31" s="172" t="s">
        <v>186</v>
      </c>
      <c r="D31" s="172">
        <v>9273.2348261151001</v>
      </c>
      <c r="E31" s="172">
        <v>9273.2348261151001</v>
      </c>
      <c r="F31" s="172">
        <v>8.5958697977077101</v>
      </c>
      <c r="G31" s="172">
        <v>7.5232697703141396</v>
      </c>
      <c r="H31" s="172">
        <v>9273.2348261151001</v>
      </c>
      <c r="I31" s="172">
        <v>9273.2348261151001</v>
      </c>
      <c r="J31" s="172">
        <v>8.5958697977077101</v>
      </c>
      <c r="K31" s="172">
        <v>7.5232697703141396</v>
      </c>
      <c r="L31" s="172">
        <v>9.5518610562108908</v>
      </c>
      <c r="M31" s="172">
        <v>7.6498563181439199</v>
      </c>
    </row>
    <row r="32" spans="2:15" x14ac:dyDescent="0.3">
      <c r="B32" s="172" t="s">
        <v>187</v>
      </c>
      <c r="C32" s="172" t="s">
        <v>188</v>
      </c>
      <c r="D32" s="172">
        <v>7412.7136913548502</v>
      </c>
      <c r="E32" s="172">
        <v>7412.7136913548502</v>
      </c>
      <c r="F32" s="172">
        <v>8.7133762530251406</v>
      </c>
      <c r="G32" s="172">
        <v>7.4647375866419097</v>
      </c>
      <c r="H32" s="172">
        <v>7412.7136913548502</v>
      </c>
      <c r="I32" s="172">
        <v>7412.7136913548502</v>
      </c>
      <c r="J32" s="172">
        <v>8.7133762530251406</v>
      </c>
      <c r="K32" s="172">
        <v>7.4647375866419097</v>
      </c>
      <c r="L32" s="172">
        <v>9.5891323967182398</v>
      </c>
      <c r="M32" s="172">
        <v>7.6402917099400902</v>
      </c>
    </row>
    <row r="33" spans="2:13" x14ac:dyDescent="0.3">
      <c r="B33" s="172" t="s">
        <v>189</v>
      </c>
      <c r="C33" s="172" t="s">
        <v>190</v>
      </c>
      <c r="D33" s="172">
        <v>808.34942106097105</v>
      </c>
      <c r="E33" s="172">
        <v>808.34942106097105</v>
      </c>
      <c r="F33" s="172">
        <v>14</v>
      </c>
      <c r="G33" s="172">
        <v>6.4193914655949902</v>
      </c>
      <c r="H33" s="172">
        <v>808.34942106097105</v>
      </c>
      <c r="I33" s="172">
        <v>808.34942106097105</v>
      </c>
      <c r="J33" s="172">
        <v>14</v>
      </c>
      <c r="K33" s="172">
        <v>6.4193914655949902</v>
      </c>
      <c r="L33" s="172">
        <v>12.3893284807555</v>
      </c>
      <c r="M33" s="172">
        <v>6.72628616968733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1.4902623949772301E-10</v>
      </c>
      <c r="G6" s="172">
        <v>1029.6717025406001</v>
      </c>
      <c r="H6" s="172">
        <v>89.526800047918499</v>
      </c>
      <c r="I6" s="172">
        <v>5960.7967854322496</v>
      </c>
      <c r="J6" s="172">
        <v>1.3155119284684301E-9</v>
      </c>
      <c r="K6" s="172">
        <v>1.7210456773448201E-9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1.1219434165462199E-10</v>
      </c>
      <c r="G7" s="172">
        <v>1029.67170254091</v>
      </c>
      <c r="H7" s="172">
        <v>89.526800047974604</v>
      </c>
      <c r="I7" s="172">
        <v>5960.7967854347298</v>
      </c>
      <c r="J7" s="172">
        <v>268.58040014333</v>
      </c>
      <c r="K7" s="172">
        <v>3089.0151076208099</v>
      </c>
      <c r="L7" s="14"/>
    </row>
    <row r="8" spans="2:12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5.9672409810863803E-11</v>
      </c>
      <c r="G8" s="172">
        <v>89.813585280175005</v>
      </c>
      <c r="H8" s="172">
        <v>759.01122563145498</v>
      </c>
      <c r="I8" s="172">
        <v>10662.1406429289</v>
      </c>
      <c r="J8" s="172">
        <v>1.9066975990093901E-10</v>
      </c>
      <c r="K8" s="172">
        <v>9.0859883276476104E-10</v>
      </c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3.9355929625934002E-11</v>
      </c>
      <c r="G9" s="172">
        <v>89.813585280228097</v>
      </c>
      <c r="H9" s="172">
        <v>759.01122563120396</v>
      </c>
      <c r="I9" s="172">
        <v>10662.140642926201</v>
      </c>
      <c r="J9" s="172">
        <v>2277.0336768942202</v>
      </c>
      <c r="K9" s="172">
        <v>269.44075584025001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6.7251198639948997E-8</v>
      </c>
      <c r="G10" s="172">
        <v>11797.469996707199</v>
      </c>
      <c r="H10" s="172">
        <v>735.13509071512397</v>
      </c>
      <c r="I10" s="172">
        <v>82219.249788223606</v>
      </c>
      <c r="J10" s="172">
        <v>268.58039957169302</v>
      </c>
      <c r="K10" s="172">
        <v>3089.01510680503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6.6945469133979095E-8</v>
      </c>
      <c r="G11" s="172">
        <v>11832.954931165301</v>
      </c>
      <c r="H11" s="172">
        <v>737.68789472306901</v>
      </c>
      <c r="I11" s="172">
        <v>82515.418133555999</v>
      </c>
      <c r="J11" s="172">
        <v>2793.5243803048502</v>
      </c>
      <c r="K11" s="172">
        <v>44359.767057901299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8.4680769997448394E-8</v>
      </c>
      <c r="G12" s="172">
        <v>722.48876681113097</v>
      </c>
      <c r="H12" s="172">
        <v>10177.202057642</v>
      </c>
      <c r="I12" s="172">
        <v>79773.591428460204</v>
      </c>
      <c r="J12" s="172">
        <v>2277.0336763049199</v>
      </c>
      <c r="K12" s="172">
        <v>269.44075619347302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8.4687254578585102E-8</v>
      </c>
      <c r="G13" s="172">
        <v>724.78664916854996</v>
      </c>
      <c r="H13" s="172">
        <v>10202.3871814673</v>
      </c>
      <c r="I13" s="172">
        <v>80175.467662464202</v>
      </c>
      <c r="J13" s="172">
        <v>37725.187391102903</v>
      </c>
      <c r="K13" s="172">
        <v>2722.3566382867498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1.00057227516839E-7</v>
      </c>
      <c r="G14" s="172">
        <v>23824.588840750301</v>
      </c>
      <c r="H14" s="172">
        <v>1443.6573053928601</v>
      </c>
      <c r="I14" s="172">
        <v>168155.38565529801</v>
      </c>
      <c r="J14" s="172">
        <v>2793.5243800245398</v>
      </c>
      <c r="K14" s="172">
        <v>44359.767057545803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9.99523651653084E-8</v>
      </c>
      <c r="G15" s="172">
        <v>23855.1810037676</v>
      </c>
      <c r="H15" s="172">
        <v>1445.74699103629</v>
      </c>
      <c r="I15" s="172">
        <v>168411.39542277899</v>
      </c>
      <c r="J15" s="172">
        <v>7818.4982801257802</v>
      </c>
      <c r="K15" s="172">
        <v>127483.04535255401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1.2407950920942599E-7</v>
      </c>
      <c r="G16" s="172">
        <v>1429.20318853804</v>
      </c>
      <c r="H16" s="172">
        <v>20723.880994555198</v>
      </c>
      <c r="I16" s="172">
        <v>157980.970909934</v>
      </c>
      <c r="J16" s="172">
        <v>37725.1873908048</v>
      </c>
      <c r="K16" s="172">
        <v>2722.3566383174302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1.24014795282946E-7</v>
      </c>
      <c r="G17" s="172">
        <v>1431.3905270241701</v>
      </c>
      <c r="H17" s="172">
        <v>20745.396300174099</v>
      </c>
      <c r="I17" s="172">
        <v>158333.93721976399</v>
      </c>
      <c r="J17" s="172">
        <v>110054.056846843</v>
      </c>
      <c r="K17" s="172">
        <v>7672.90360682551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1.39501966236265E-7</v>
      </c>
      <c r="G18" s="172">
        <v>34062.196582480101</v>
      </c>
      <c r="H18" s="172">
        <v>2025.2098770668699</v>
      </c>
      <c r="I18" s="172">
        <v>241406.120339188</v>
      </c>
      <c r="J18" s="172">
        <v>7818.4982797389202</v>
      </c>
      <c r="K18" s="172">
        <v>127483.04535193399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1.39456772576687E-7</v>
      </c>
      <c r="G19" s="172">
        <v>34088.174096244402</v>
      </c>
      <c r="H19" s="172">
        <v>2026.9582506597701</v>
      </c>
      <c r="I19" s="172">
        <v>241623.673359312</v>
      </c>
      <c r="J19" s="172">
        <v>14815.041951362</v>
      </c>
      <c r="K19" s="172">
        <v>245699.63492723301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1.85246412907959E-7</v>
      </c>
      <c r="G20" s="172">
        <v>2012.7500188235799</v>
      </c>
      <c r="H20" s="172">
        <v>29613.390730756801</v>
      </c>
      <c r="I20" s="172">
        <v>225616.395014612</v>
      </c>
      <c r="J20" s="172">
        <v>110054.05684635301</v>
      </c>
      <c r="K20" s="172">
        <v>7672.9036068461901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1.85237140979687E-7</v>
      </c>
      <c r="G21" s="172">
        <v>2014.66890434997</v>
      </c>
      <c r="H21" s="172">
        <v>29631.578562283401</v>
      </c>
      <c r="I21" s="172">
        <v>225920.57578459999</v>
      </c>
      <c r="J21" s="172">
        <v>212846.40714935999</v>
      </c>
      <c r="K21" s="172">
        <v>14606.121282170599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1.6068403284565199E-7</v>
      </c>
      <c r="G22" s="172">
        <v>42789.783888419202</v>
      </c>
      <c r="H22" s="172">
        <v>2514.7505220337498</v>
      </c>
      <c r="I22" s="172">
        <v>303863.11101611902</v>
      </c>
      <c r="J22" s="172">
        <v>14815.0419509813</v>
      </c>
      <c r="K22" s="172">
        <v>245699.634926995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1.6059452481853001E-7</v>
      </c>
      <c r="G23" s="172">
        <v>42812.066855586701</v>
      </c>
      <c r="H23" s="172">
        <v>2516.26112897446</v>
      </c>
      <c r="I23" s="172">
        <v>304049.640137674</v>
      </c>
      <c r="J23" s="172">
        <v>23415.5318813544</v>
      </c>
      <c r="K23" s="172">
        <v>393175.43193404702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2.6957388147276402E-7</v>
      </c>
      <c r="G24" s="172">
        <v>2504.2205520830798</v>
      </c>
      <c r="H24" s="172">
        <v>37113.285334247201</v>
      </c>
      <c r="I24" s="172">
        <v>283832.06201706699</v>
      </c>
      <c r="J24" s="172">
        <v>212846.40714877701</v>
      </c>
      <c r="K24" s="172">
        <v>14606.121282218999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2.6965724675960597E-7</v>
      </c>
      <c r="G25" s="172">
        <v>2505.9181294244399</v>
      </c>
      <c r="H25" s="172">
        <v>37128.819932313003</v>
      </c>
      <c r="I25" s="172">
        <v>284095.308080877</v>
      </c>
      <c r="J25" s="172">
        <v>340700.29004499502</v>
      </c>
      <c r="K25" s="172">
        <v>23155.6561483939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1.8291916256531E-7</v>
      </c>
      <c r="G26" s="172">
        <v>50324.308362734599</v>
      </c>
      <c r="H26" s="172">
        <v>2938.5823586769302</v>
      </c>
      <c r="I26" s="172">
        <v>357759.373621398</v>
      </c>
      <c r="J26" s="172">
        <v>23415.531881234499</v>
      </c>
      <c r="K26" s="172">
        <v>393175.43193374301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1.8267345026325599E-7</v>
      </c>
      <c r="G27" s="172">
        <v>50343.649779978397</v>
      </c>
      <c r="H27" s="172">
        <v>2939.9070968389701</v>
      </c>
      <c r="I27" s="172">
        <v>357921.14959458902</v>
      </c>
      <c r="J27" s="172">
        <v>33368.3563495942</v>
      </c>
      <c r="K27" s="172">
        <v>565275.53073558304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2.78897071801507E-7</v>
      </c>
      <c r="G28" s="172">
        <v>2929.7427522401799</v>
      </c>
      <c r="H28" s="172">
        <v>43541.920027018103</v>
      </c>
      <c r="I28" s="172">
        <v>334318.04401769198</v>
      </c>
      <c r="J28" s="172">
        <v>340700.29004486499</v>
      </c>
      <c r="K28" s="172">
        <v>23155.656148384202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2.7887337661434101E-7</v>
      </c>
      <c r="G29" s="172">
        <v>2931.2478034563301</v>
      </c>
      <c r="H29" s="172">
        <v>43555.384963097298</v>
      </c>
      <c r="I29" s="172">
        <v>334547.27575498598</v>
      </c>
      <c r="J29" s="172">
        <v>489396.87568402197</v>
      </c>
      <c r="K29" s="172">
        <v>33066.689819599298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2.8313200943207199E-7</v>
      </c>
      <c r="G30" s="172">
        <v>56888.977805910603</v>
      </c>
      <c r="H30" s="172">
        <v>3308.4516524021701</v>
      </c>
      <c r="I30" s="172">
        <v>404699.64076456201</v>
      </c>
      <c r="J30" s="172">
        <v>33368.356349193898</v>
      </c>
      <c r="K30" s="172">
        <v>565275.53073406196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2.83412396670775E-7</v>
      </c>
      <c r="G31" s="172">
        <v>56905.8282563389</v>
      </c>
      <c r="H31" s="172">
        <v>3309.60676354002</v>
      </c>
      <c r="I31" s="172">
        <v>404840.48667023698</v>
      </c>
      <c r="J31" s="172">
        <v>44484.488456274899</v>
      </c>
      <c r="K31" s="172">
        <v>758316.83523311606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2.8200702606592201E-7</v>
      </c>
      <c r="G32" s="172">
        <v>3301.6283596058101</v>
      </c>
      <c r="H32" s="172">
        <v>49141.650123717402</v>
      </c>
      <c r="I32" s="172">
        <v>378290.98014752398</v>
      </c>
      <c r="J32" s="172">
        <v>489396.875683808</v>
      </c>
      <c r="K32" s="172">
        <v>33066.689819526699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2.8198420372202098E-7</v>
      </c>
      <c r="G33" s="172">
        <v>3302.9433445166101</v>
      </c>
      <c r="H33" s="172">
        <v>49153.401765276198</v>
      </c>
      <c r="I33" s="172">
        <v>378489.93717148498</v>
      </c>
      <c r="J33" s="172">
        <v>655710.78472657001</v>
      </c>
      <c r="K33" s="172">
        <v>44148.310999242902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3.3600390839619202E-7</v>
      </c>
      <c r="G34" s="172">
        <v>62610.666317298303</v>
      </c>
      <c r="H34" s="172">
        <v>3630.4533658692199</v>
      </c>
      <c r="I34" s="172">
        <v>445572.39647544501</v>
      </c>
      <c r="J34" s="172">
        <v>44484.488455881998</v>
      </c>
      <c r="K34" s="172">
        <v>758316.83523237798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3.3591932082888498E-7</v>
      </c>
      <c r="G35" s="172">
        <v>62625.158214462899</v>
      </c>
      <c r="H35" s="172">
        <v>3631.4502485019102</v>
      </c>
      <c r="I35" s="172">
        <v>445693.41295759397</v>
      </c>
      <c r="J35" s="172">
        <v>56604.477595745302</v>
      </c>
      <c r="K35" s="172">
        <v>969258.24174009601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3.3380175289834698E-7</v>
      </c>
      <c r="G36" s="172">
        <v>3625.6696327446898</v>
      </c>
      <c r="H36" s="172">
        <v>54057.396472836102</v>
      </c>
      <c r="I36" s="172">
        <v>416614.866734065</v>
      </c>
      <c r="J36" s="172">
        <v>655710.78472607001</v>
      </c>
      <c r="K36" s="172">
        <v>44148.310999254303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3.3389785703849998E-7</v>
      </c>
      <c r="G37" s="172">
        <v>3626.7895847186701</v>
      </c>
      <c r="H37" s="172">
        <v>54067.607240175203</v>
      </c>
      <c r="I37" s="172">
        <v>416785.40446760698</v>
      </c>
      <c r="J37" s="172">
        <v>837130.66656996403</v>
      </c>
      <c r="K37" s="172">
        <v>56239.532384566897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3.5827361926832499E-7</v>
      </c>
      <c r="G38" s="172">
        <v>67448.923191749505</v>
      </c>
      <c r="H38" s="172">
        <v>3904.6325314377</v>
      </c>
      <c r="I38" s="172">
        <v>480104.60479970003</v>
      </c>
      <c r="J38" s="172">
        <v>56604.477595577198</v>
      </c>
      <c r="K38" s="172">
        <v>969258.24173982395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3.5822007808604802E-7</v>
      </c>
      <c r="G39" s="172">
        <v>67460.7482817665</v>
      </c>
      <c r="H39" s="172">
        <v>3905.4580177448302</v>
      </c>
      <c r="I39" s="172">
        <v>480203.16493012902</v>
      </c>
      <c r="J39" s="172">
        <v>69574.726053211503</v>
      </c>
      <c r="K39" s="172">
        <v>1195230.9641924901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3.6250679851125301E-7</v>
      </c>
      <c r="G40" s="172">
        <v>3902.0991277144099</v>
      </c>
      <c r="H40" s="172">
        <v>58266.950578516997</v>
      </c>
      <c r="I40" s="172">
        <v>448859.96469008399</v>
      </c>
      <c r="J40" s="172">
        <v>837130.6665697</v>
      </c>
      <c r="K40" s="172">
        <v>56239.532384583799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3.62551314420427E-7</v>
      </c>
      <c r="G41" s="172">
        <v>3903.0074167093799</v>
      </c>
      <c r="H41" s="172">
        <v>58275.375904543696</v>
      </c>
      <c r="I41" s="172">
        <v>448998.070105694</v>
      </c>
      <c r="J41" s="172">
        <v>1031404.3224485</v>
      </c>
      <c r="K41" s="172">
        <v>69187.278342857797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3.9288451729335401E-7</v>
      </c>
      <c r="G42" s="172">
        <v>71192.985530946506</v>
      </c>
      <c r="H42" s="172">
        <v>4122.9635736158598</v>
      </c>
      <c r="I42" s="172">
        <v>506781.94005149603</v>
      </c>
      <c r="J42" s="172">
        <v>69574.726053002203</v>
      </c>
      <c r="K42" s="172">
        <v>1195230.9641921101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3.9291916980115002E-7</v>
      </c>
      <c r="G43" s="172">
        <v>71201.192136509897</v>
      </c>
      <c r="H43" s="172">
        <v>4123.5591652837302</v>
      </c>
      <c r="I43" s="172">
        <v>506850.17175154301</v>
      </c>
      <c r="J43" s="172">
        <v>83233.7794515813</v>
      </c>
      <c r="K43" s="172">
        <v>1433132.26990203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3.8735516689036899E-7</v>
      </c>
      <c r="G44" s="172">
        <v>4122.3914398448696</v>
      </c>
      <c r="H44" s="172">
        <v>61571.735175870999</v>
      </c>
      <c r="I44" s="172">
        <v>473710.12373671902</v>
      </c>
      <c r="J44" s="172">
        <v>1031404.32244824</v>
      </c>
      <c r="K44" s="172">
        <v>69187.278342878897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3.8735704356211898E-7</v>
      </c>
      <c r="G45" s="172">
        <v>4123.0300182800802</v>
      </c>
      <c r="H45" s="172">
        <v>61577.688155307696</v>
      </c>
      <c r="I45" s="172">
        <v>473805.83139031398</v>
      </c>
      <c r="J45" s="172">
        <v>1236080.20679384</v>
      </c>
      <c r="K45" s="172">
        <v>82830.313813830799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4.0112893171463898E-7</v>
      </c>
      <c r="G46" s="172">
        <v>73390.5012398955</v>
      </c>
      <c r="H46" s="172">
        <v>4257.5585278990002</v>
      </c>
      <c r="I46" s="172">
        <v>522418.88492770499</v>
      </c>
      <c r="J46" s="172">
        <v>83233.779451551905</v>
      </c>
      <c r="K46" s="172">
        <v>1433132.2699019499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4.0115706108942699E-7</v>
      </c>
      <c r="G47" s="172">
        <v>73393.377989561501</v>
      </c>
      <c r="H47" s="172">
        <v>4257.7995119420602</v>
      </c>
      <c r="I47" s="172">
        <v>522442.583458198</v>
      </c>
      <c r="J47" s="172">
        <v>99421.950032077802</v>
      </c>
      <c r="K47" s="172">
        <v>1714506.4448739199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3.77011758054357E-7</v>
      </c>
      <c r="G48" s="172">
        <v>4257.5737707882199</v>
      </c>
      <c r="H48" s="172">
        <v>63546.506783969402</v>
      </c>
      <c r="I48" s="172">
        <v>488569.361541235</v>
      </c>
      <c r="J48" s="172">
        <v>1236080.20679398</v>
      </c>
      <c r="K48" s="172">
        <v>82830.313813803805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3.7701245482793301E-7</v>
      </c>
      <c r="G49" s="172">
        <v>4257.7996037759904</v>
      </c>
      <c r="H49" s="172">
        <v>63548.898988058398</v>
      </c>
      <c r="I49" s="172">
        <v>488607.361509963</v>
      </c>
      <c r="J49" s="172">
        <v>1478517.6268686301</v>
      </c>
      <c r="K49" s="172">
        <v>99005.656083039401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topLeftCell="A7" zoomScale="80" zoomScaleNormal="80" workbookViewId="0">
      <selection activeCell="O34" sqref="O34:P44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1.3744875818875999</v>
      </c>
      <c r="N5" s="172">
        <v>1.51672690859802</v>
      </c>
      <c r="O5" s="172">
        <v>2262756.0979935499</v>
      </c>
      <c r="P5" s="172">
        <v>80079.604766491902</v>
      </c>
      <c r="Q5" s="172">
        <v>7704.7895619807005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1.4358591402213901</v>
      </c>
      <c r="N6" s="172">
        <v>1.47319435932788</v>
      </c>
      <c r="O6" s="172">
        <v>2262756.0979935499</v>
      </c>
      <c r="P6" s="172">
        <v>77781.188802306904</v>
      </c>
      <c r="Q6" s="172">
        <v>7817.7981615354402</v>
      </c>
    </row>
    <row r="7" spans="2:17" x14ac:dyDescent="0.3">
      <c r="B7" s="200" t="s">
        <v>192</v>
      </c>
      <c r="C7" s="200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201" t="s">
        <v>125</v>
      </c>
      <c r="D10" s="201"/>
      <c r="E10" s="201" t="s">
        <v>124</v>
      </c>
      <c r="F10" s="201"/>
      <c r="G10" s="201"/>
      <c r="H10" s="9" t="s">
        <v>126</v>
      </c>
      <c r="I10" s="9">
        <f>+$I$9*O5</f>
        <v>72994.644627777598</v>
      </c>
      <c r="J10" s="9" t="s">
        <v>123</v>
      </c>
      <c r="K10" s="103" t="str">
        <f>+IF(I10&gt;N51,"USAR TA","USAR  TB")</f>
        <v>USAR TA</v>
      </c>
      <c r="L10" s="101"/>
      <c r="M10" s="101"/>
      <c r="N10" s="101"/>
    </row>
    <row r="11" spans="2:17" s="100" customFormat="1" ht="15" thickBot="1" x14ac:dyDescent="0.35">
      <c r="C11" s="201" t="s">
        <v>125</v>
      </c>
      <c r="D11" s="201"/>
      <c r="E11" s="201" t="s">
        <v>124</v>
      </c>
      <c r="F11" s="201"/>
      <c r="G11" s="201"/>
      <c r="H11" s="9" t="s">
        <v>127</v>
      </c>
      <c r="I11" s="9">
        <f>+$I$9*O6</f>
        <v>72994.644627777598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8" t="s">
        <v>61</v>
      </c>
      <c r="M12" s="198"/>
      <c r="N12" s="198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8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8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1.4902623949772301E-10</v>
      </c>
      <c r="F15" s="172">
        <v>1029.6717025406001</v>
      </c>
      <c r="G15" s="172">
        <v>89.526800047918499</v>
      </c>
      <c r="H15" s="172">
        <v>5960.7967854322496</v>
      </c>
      <c r="I15" s="172">
        <v>1.3155119284684301E-9</v>
      </c>
      <c r="J15" s="172">
        <v>1.7210456773448201E-9</v>
      </c>
      <c r="K15" s="166"/>
      <c r="L15" s="166" t="s">
        <v>189</v>
      </c>
      <c r="M15">
        <f>+F15</f>
        <v>1029.6717025406001</v>
      </c>
      <c r="N15">
        <f>+G15</f>
        <v>89.526800047918499</v>
      </c>
      <c r="O15" s="18">
        <f t="shared" ref="O15:P19" si="0">+M15*$O$55</f>
        <v>0</v>
      </c>
      <c r="P15" s="19">
        <f t="shared" si="0"/>
        <v>0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6.7251198639948997E-8</v>
      </c>
      <c r="F16" s="172">
        <v>11797.469996707199</v>
      </c>
      <c r="G16" s="172">
        <v>735.13509071512397</v>
      </c>
      <c r="H16" s="172">
        <v>82219.249788223606</v>
      </c>
      <c r="I16" s="172">
        <v>268.58039957169302</v>
      </c>
      <c r="J16" s="172">
        <v>3089.01510680503</v>
      </c>
      <c r="K16" s="166"/>
      <c r="L16" s="166" t="s">
        <v>187</v>
      </c>
      <c r="M16" s="13">
        <f>+F16-F15</f>
        <v>10767.7982941666</v>
      </c>
      <c r="N16">
        <f>+G16-G15</f>
        <v>645.60829066720544</v>
      </c>
      <c r="O16" s="18">
        <f t="shared" si="0"/>
        <v>0</v>
      </c>
      <c r="P16" s="19">
        <f t="shared" si="0"/>
        <v>0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1.00057227516839E-7</v>
      </c>
      <c r="F17" s="172">
        <v>23824.588840750301</v>
      </c>
      <c r="G17" s="172">
        <v>1443.6573053928601</v>
      </c>
      <c r="H17" s="172">
        <v>168155.38565529801</v>
      </c>
      <c r="I17" s="172">
        <v>2793.5243800245398</v>
      </c>
      <c r="J17" s="172">
        <v>44359.767057545803</v>
      </c>
      <c r="K17" s="166"/>
      <c r="L17" s="166" t="s">
        <v>185</v>
      </c>
      <c r="M17" s="13">
        <f t="shared" ref="M17:M25" si="1">+F17-F16</f>
        <v>12027.118844043101</v>
      </c>
      <c r="N17" s="13">
        <f t="shared" ref="N17:N25" si="2">+G17-G16</f>
        <v>708.52221467773609</v>
      </c>
      <c r="O17" s="18">
        <f t="shared" si="0"/>
        <v>0</v>
      </c>
      <c r="P17" s="19">
        <f t="shared" si="0"/>
        <v>0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1.39501966236265E-7</v>
      </c>
      <c r="F18" s="172">
        <v>34062.196582480101</v>
      </c>
      <c r="G18" s="172">
        <v>2025.2098770668699</v>
      </c>
      <c r="H18" s="172">
        <v>241406.120339188</v>
      </c>
      <c r="I18" s="172">
        <v>7818.4982797389202</v>
      </c>
      <c r="J18" s="172">
        <v>127483.04535193399</v>
      </c>
      <c r="K18" s="166"/>
      <c r="L18" s="166" t="s">
        <v>183</v>
      </c>
      <c r="M18" s="13">
        <f t="shared" si="1"/>
        <v>10237.6077417298</v>
      </c>
      <c r="N18" s="13">
        <f t="shared" si="2"/>
        <v>581.55257167400987</v>
      </c>
      <c r="O18" s="18">
        <f t="shared" si="0"/>
        <v>0</v>
      </c>
      <c r="P18" s="19">
        <f t="shared" si="0"/>
        <v>0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1.6068403284565199E-7</v>
      </c>
      <c r="F19" s="172">
        <v>42789.783888419202</v>
      </c>
      <c r="G19" s="172">
        <v>2514.7505220337498</v>
      </c>
      <c r="H19" s="172">
        <v>303863.11101611902</v>
      </c>
      <c r="I19" s="172">
        <v>14815.0419509813</v>
      </c>
      <c r="J19" s="172">
        <v>245699.634926995</v>
      </c>
      <c r="K19" s="166"/>
      <c r="L19" s="166" t="s">
        <v>181</v>
      </c>
      <c r="M19" s="13">
        <f t="shared" si="1"/>
        <v>8727.5873059391015</v>
      </c>
      <c r="N19" s="13">
        <f t="shared" si="2"/>
        <v>489.54064496687988</v>
      </c>
      <c r="O19" s="18">
        <f t="shared" si="0"/>
        <v>0</v>
      </c>
      <c r="P19" s="19">
        <f t="shared" si="0"/>
        <v>0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1.8291916256531E-7</v>
      </c>
      <c r="F20" s="172">
        <v>50324.308362734599</v>
      </c>
      <c r="G20" s="172">
        <v>2938.5823586769302</v>
      </c>
      <c r="H20" s="172">
        <v>357759.373621398</v>
      </c>
      <c r="I20" s="172">
        <v>23415.531881234499</v>
      </c>
      <c r="J20" s="172">
        <v>393175.43193374301</v>
      </c>
      <c r="K20" s="166"/>
      <c r="L20" s="166" t="s">
        <v>179</v>
      </c>
      <c r="M20" s="113">
        <f t="shared" si="1"/>
        <v>7534.5244743153962</v>
      </c>
      <c r="N20" s="113">
        <f t="shared" si="2"/>
        <v>423.8318366431804</v>
      </c>
      <c r="O20" s="18">
        <f t="shared" ref="O20:O25" si="3">+M20*$O$55</f>
        <v>0</v>
      </c>
      <c r="P20" s="19">
        <f t="shared" ref="P20:P25" si="4">+N20*$O$55</f>
        <v>0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2.8313200943207199E-7</v>
      </c>
      <c r="F21" s="172">
        <v>56888.977805910603</v>
      </c>
      <c r="G21" s="172">
        <v>3308.4516524021701</v>
      </c>
      <c r="H21" s="172">
        <v>404699.64076456201</v>
      </c>
      <c r="I21" s="172">
        <v>33368.356349193898</v>
      </c>
      <c r="J21" s="172">
        <v>565275.53073406196</v>
      </c>
      <c r="K21" s="166"/>
      <c r="L21" s="166" t="s">
        <v>39</v>
      </c>
      <c r="M21" s="113">
        <f t="shared" si="1"/>
        <v>6564.6694431760043</v>
      </c>
      <c r="N21" s="113">
        <f t="shared" si="2"/>
        <v>369.86929372523991</v>
      </c>
      <c r="O21" s="18">
        <f t="shared" si="3"/>
        <v>0</v>
      </c>
      <c r="P21" s="19">
        <f t="shared" si="4"/>
        <v>0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3.3600390839619202E-7</v>
      </c>
      <c r="F22" s="172">
        <v>62610.666317298303</v>
      </c>
      <c r="G22" s="172">
        <v>3630.4533658692199</v>
      </c>
      <c r="H22" s="172">
        <v>445572.39647544501</v>
      </c>
      <c r="I22" s="172">
        <v>44484.488455881998</v>
      </c>
      <c r="J22" s="172">
        <v>758316.83523237798</v>
      </c>
      <c r="K22" s="166"/>
      <c r="L22" s="166" t="s">
        <v>26</v>
      </c>
      <c r="M22" s="113">
        <f t="shared" si="1"/>
        <v>5721.6885113876997</v>
      </c>
      <c r="N22" s="113">
        <f t="shared" si="2"/>
        <v>322.00171346704974</v>
      </c>
      <c r="O22" s="18">
        <f t="shared" si="3"/>
        <v>0</v>
      </c>
      <c r="P22" s="19">
        <f t="shared" si="4"/>
        <v>0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3.5827361926832499E-7</v>
      </c>
      <c r="F23" s="172">
        <v>67448.923191749505</v>
      </c>
      <c r="G23" s="172">
        <v>3904.6325314377</v>
      </c>
      <c r="H23" s="172">
        <v>480104.60479970003</v>
      </c>
      <c r="I23" s="172">
        <v>56604.477595577198</v>
      </c>
      <c r="J23" s="172">
        <v>969258.24173982395</v>
      </c>
      <c r="K23" s="166"/>
      <c r="L23" s="166" t="s">
        <v>25</v>
      </c>
      <c r="M23" s="113">
        <f t="shared" si="1"/>
        <v>4838.2568744512027</v>
      </c>
      <c r="N23" s="113">
        <f t="shared" si="2"/>
        <v>274.17916556848013</v>
      </c>
      <c r="O23" s="18">
        <f t="shared" si="3"/>
        <v>0</v>
      </c>
      <c r="P23" s="19">
        <f t="shared" si="4"/>
        <v>0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3.9288451729335401E-7</v>
      </c>
      <c r="F24" s="172">
        <v>71192.985530946506</v>
      </c>
      <c r="G24" s="172">
        <v>4122.9635736158598</v>
      </c>
      <c r="H24" s="172">
        <v>506781.94005149603</v>
      </c>
      <c r="I24" s="172">
        <v>69574.726053002203</v>
      </c>
      <c r="J24" s="172">
        <v>1195230.9641921101</v>
      </c>
      <c r="K24" s="166"/>
      <c r="L24" s="166" t="s">
        <v>24</v>
      </c>
      <c r="M24" s="113">
        <f t="shared" si="1"/>
        <v>3744.0623391970003</v>
      </c>
      <c r="N24" s="113">
        <f t="shared" si="2"/>
        <v>218.33104217815981</v>
      </c>
      <c r="O24" s="18">
        <f t="shared" si="3"/>
        <v>0</v>
      </c>
      <c r="P24" s="19">
        <f t="shared" si="4"/>
        <v>0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4.0112893171463898E-7</v>
      </c>
      <c r="F25" s="172">
        <v>73390.5012398955</v>
      </c>
      <c r="G25" s="172">
        <v>4257.5585278990002</v>
      </c>
      <c r="H25" s="172">
        <v>522418.88492770499</v>
      </c>
      <c r="I25" s="172">
        <v>83233.779451551905</v>
      </c>
      <c r="J25" s="172">
        <v>1433132.2699019499</v>
      </c>
      <c r="K25" s="166"/>
      <c r="L25" s="166" t="s">
        <v>22</v>
      </c>
      <c r="M25" s="113">
        <f t="shared" si="1"/>
        <v>2197.5157089489949</v>
      </c>
      <c r="N25" s="113">
        <f t="shared" si="2"/>
        <v>134.5949542831404</v>
      </c>
      <c r="O25" s="30">
        <f t="shared" si="3"/>
        <v>0</v>
      </c>
      <c r="P25" s="24">
        <f t="shared" si="4"/>
        <v>0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8" t="s">
        <v>61</v>
      </c>
      <c r="M31" s="198"/>
      <c r="N31" s="198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8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8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5.9672409810863803E-11</v>
      </c>
      <c r="F34" s="172">
        <v>89.813585280175005</v>
      </c>
      <c r="G34" s="172">
        <v>759.01122563145498</v>
      </c>
      <c r="H34" s="172">
        <v>10662.1406429289</v>
      </c>
      <c r="I34" s="172">
        <v>1.9066975990093901E-10</v>
      </c>
      <c r="J34" s="172">
        <v>9.0859883276476104E-10</v>
      </c>
      <c r="L34" s="113" t="s">
        <v>189</v>
      </c>
      <c r="M34" s="13">
        <f>+F34</f>
        <v>89.813585280175005</v>
      </c>
      <c r="N34" s="13">
        <f>+G34</f>
        <v>759.01122563145498</v>
      </c>
      <c r="O34" s="18">
        <f>+M34*$O$56</f>
        <v>103.16713021787693</v>
      </c>
      <c r="P34" s="19">
        <f>+N34*$O$56</f>
        <v>871.86153082829139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8.4680769997448394E-8</v>
      </c>
      <c r="F35" s="172">
        <v>722.48876681113097</v>
      </c>
      <c r="G35" s="172">
        <v>10177.202057642</v>
      </c>
      <c r="H35" s="172">
        <v>79773.591428460204</v>
      </c>
      <c r="I35" s="172">
        <v>2277.0336763049199</v>
      </c>
      <c r="J35" s="172">
        <v>269.44075619347302</v>
      </c>
      <c r="L35" s="113" t="s">
        <v>187</v>
      </c>
      <c r="M35" s="13">
        <f>+F35-F34</f>
        <v>632.67518153095602</v>
      </c>
      <c r="N35" s="13">
        <f>+G35-G34</f>
        <v>9418.1908320105449</v>
      </c>
      <c r="O35" s="18">
        <f t="shared" ref="O35:P44" si="5">+M35*$O$56</f>
        <v>726.74175777537653</v>
      </c>
      <c r="P35" s="19">
        <f t="shared" si="5"/>
        <v>10818.493849808745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1.2407950920942599E-7</v>
      </c>
      <c r="F36" s="172">
        <v>1429.20318853804</v>
      </c>
      <c r="G36" s="172">
        <v>20723.880994555198</v>
      </c>
      <c r="H36" s="172">
        <v>157980.970909934</v>
      </c>
      <c r="I36" s="172">
        <v>37725.1873908048</v>
      </c>
      <c r="J36" s="172">
        <v>2722.3566383174302</v>
      </c>
      <c r="L36" s="113" t="s">
        <v>185</v>
      </c>
      <c r="M36" s="13">
        <f t="shared" ref="M36:M44" si="6">+F36-F35</f>
        <v>706.71442172690899</v>
      </c>
      <c r="N36" s="13">
        <f t="shared" ref="N36:N44" si="7">+G36-G35</f>
        <v>10546.678936913198</v>
      </c>
      <c r="O36" s="18">
        <f t="shared" si="5"/>
        <v>811.78920255447508</v>
      </c>
      <c r="P36" s="19">
        <f t="shared" si="5"/>
        <v>12114.766333583155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1.85246412907959E-7</v>
      </c>
      <c r="F37" s="172">
        <v>2012.7500188235799</v>
      </c>
      <c r="G37" s="172">
        <v>29613.390730756801</v>
      </c>
      <c r="H37" s="172">
        <v>225616.395014612</v>
      </c>
      <c r="I37" s="172">
        <v>110054.05684635301</v>
      </c>
      <c r="J37" s="172">
        <v>7672.9036068461901</v>
      </c>
      <c r="L37" s="113" t="s">
        <v>183</v>
      </c>
      <c r="M37" s="13">
        <f t="shared" si="6"/>
        <v>583.54683028553995</v>
      </c>
      <c r="N37" s="13">
        <f t="shared" si="7"/>
        <v>8889.5097362016022</v>
      </c>
      <c r="O37" s="18">
        <f t="shared" si="5"/>
        <v>670.30896985677396</v>
      </c>
      <c r="P37" s="19">
        <f t="shared" si="5"/>
        <v>10211.208089142307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2.6957388147276402E-7</v>
      </c>
      <c r="F38" s="172">
        <v>2504.2205520830798</v>
      </c>
      <c r="G38" s="172">
        <v>37113.285334247201</v>
      </c>
      <c r="H38" s="172">
        <v>283832.06201706699</v>
      </c>
      <c r="I38" s="172">
        <v>212846.40714877701</v>
      </c>
      <c r="J38" s="172">
        <v>14606.121282218999</v>
      </c>
      <c r="L38" s="113" t="s">
        <v>181</v>
      </c>
      <c r="M38" s="13">
        <f t="shared" si="6"/>
        <v>491.47053325949992</v>
      </c>
      <c r="N38" s="13">
        <f t="shared" si="7"/>
        <v>7499.8946034904002</v>
      </c>
      <c r="O38" s="18">
        <f t="shared" si="5"/>
        <v>564.54270637188665</v>
      </c>
      <c r="P38" s="19">
        <f t="shared" si="5"/>
        <v>8614.9840334838354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2.78897071801507E-7</v>
      </c>
      <c r="F39" s="172">
        <v>2929.7427522401799</v>
      </c>
      <c r="G39" s="172">
        <v>43541.920027018103</v>
      </c>
      <c r="H39" s="172">
        <v>334318.04401769198</v>
      </c>
      <c r="I39" s="172">
        <v>340700.29004486499</v>
      </c>
      <c r="J39" s="172">
        <v>23155.656148384202</v>
      </c>
      <c r="L39" s="113" t="s">
        <v>179</v>
      </c>
      <c r="M39" s="113">
        <f t="shared" si="6"/>
        <v>425.52220015710009</v>
      </c>
      <c r="N39" s="113">
        <f t="shared" si="7"/>
        <v>6428.6346927709019</v>
      </c>
      <c r="O39" s="18">
        <f t="shared" si="5"/>
        <v>488.78913025527862</v>
      </c>
      <c r="P39" s="19">
        <f t="shared" si="5"/>
        <v>7384.4484707220963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2.8200702606592201E-7</v>
      </c>
      <c r="F40" s="172">
        <v>3301.6283596058101</v>
      </c>
      <c r="G40" s="172">
        <v>49141.650123717402</v>
      </c>
      <c r="H40" s="172">
        <v>378290.98014752398</v>
      </c>
      <c r="I40" s="172">
        <v>489396.875683808</v>
      </c>
      <c r="J40" s="172">
        <v>33066.689819526699</v>
      </c>
      <c r="L40" s="13" t="s">
        <v>39</v>
      </c>
      <c r="M40" s="113">
        <f t="shared" si="6"/>
        <v>371.88560736563022</v>
      </c>
      <c r="N40" s="113">
        <f t="shared" si="7"/>
        <v>5599.7300966992989</v>
      </c>
      <c r="O40" s="18">
        <f t="shared" si="5"/>
        <v>427.17781237169942</v>
      </c>
      <c r="P40" s="19">
        <f t="shared" si="5"/>
        <v>6432.3017756052268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3.3380175289834698E-7</v>
      </c>
      <c r="F41" s="172">
        <v>3625.6696327446898</v>
      </c>
      <c r="G41" s="172">
        <v>54057.396472836102</v>
      </c>
      <c r="H41" s="172">
        <v>416614.866734065</v>
      </c>
      <c r="I41" s="172">
        <v>655710.78472607001</v>
      </c>
      <c r="J41" s="172">
        <v>44148.310999254303</v>
      </c>
      <c r="L41" s="13" t="s">
        <v>26</v>
      </c>
      <c r="M41" s="113">
        <f t="shared" si="6"/>
        <v>324.04127313887966</v>
      </c>
      <c r="N41" s="113">
        <f t="shared" si="7"/>
        <v>4915.7463491187009</v>
      </c>
      <c r="O41" s="18">
        <f t="shared" si="5"/>
        <v>372.21994999530079</v>
      </c>
      <c r="P41" s="19">
        <f t="shared" si="5"/>
        <v>5646.6228592872621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3.6250679851125301E-7</v>
      </c>
      <c r="F42" s="172">
        <v>3902.0991277144099</v>
      </c>
      <c r="G42" s="172">
        <v>58266.950578516997</v>
      </c>
      <c r="H42" s="172">
        <v>448859.96469008399</v>
      </c>
      <c r="I42" s="172">
        <v>837130.6665697</v>
      </c>
      <c r="J42" s="172">
        <v>56239.532384583799</v>
      </c>
      <c r="L42" s="13" t="s">
        <v>25</v>
      </c>
      <c r="M42" s="113">
        <f t="shared" si="6"/>
        <v>276.42949496972005</v>
      </c>
      <c r="N42" s="113">
        <f t="shared" si="7"/>
        <v>4209.5541056808943</v>
      </c>
      <c r="O42" s="18">
        <f t="shared" si="5"/>
        <v>317.52922026928678</v>
      </c>
      <c r="P42" s="19">
        <f t="shared" si="5"/>
        <v>4835.4334728450231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3.8735516689036899E-7</v>
      </c>
      <c r="F43" s="172">
        <v>4122.3914398448696</v>
      </c>
      <c r="G43" s="172">
        <v>61571.735175870999</v>
      </c>
      <c r="H43" s="172">
        <v>473710.12373671902</v>
      </c>
      <c r="I43" s="172">
        <v>1031404.32244824</v>
      </c>
      <c r="J43" s="172">
        <v>69187.278342878897</v>
      </c>
      <c r="L43" s="13" t="s">
        <v>24</v>
      </c>
      <c r="M43" s="113">
        <f t="shared" si="6"/>
        <v>220.29231213045978</v>
      </c>
      <c r="N43" s="113">
        <f t="shared" si="7"/>
        <v>3304.7845973540025</v>
      </c>
      <c r="O43" s="18">
        <f t="shared" si="5"/>
        <v>253.04552290907108</v>
      </c>
      <c r="P43" s="19">
        <f t="shared" si="5"/>
        <v>3796.1422187263784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3.77011758054357E-7</v>
      </c>
      <c r="F44" s="172">
        <v>4257.5737707882199</v>
      </c>
      <c r="G44" s="172">
        <v>63546.506783969402</v>
      </c>
      <c r="H44" s="172">
        <v>488569.361541235</v>
      </c>
      <c r="I44" s="172">
        <v>1236080.20679398</v>
      </c>
      <c r="J44" s="172">
        <v>82830.313813803805</v>
      </c>
      <c r="L44" s="13" t="s">
        <v>22</v>
      </c>
      <c r="M44" s="113">
        <f t="shared" si="6"/>
        <v>135.18233094335028</v>
      </c>
      <c r="N44" s="113">
        <f t="shared" si="7"/>
        <v>1974.7716080984028</v>
      </c>
      <c r="O44" s="30">
        <f t="shared" si="5"/>
        <v>155.28133183952966</v>
      </c>
      <c r="P44" s="24">
        <f t="shared" si="5"/>
        <v>2268.3819937452695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2" t="s">
        <v>57</v>
      </c>
      <c r="M49" s="203"/>
      <c r="N49" s="203"/>
      <c r="O49" s="203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72071.644289842719</v>
      </c>
      <c r="O51" s="14" t="str">
        <f>+K10</f>
        <v>USAR TA</v>
      </c>
      <c r="P51" s="107">
        <f>+IF(O51="USAR TA",(I10),N51)</f>
        <v>72994.644627777598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70003.069922076218</v>
      </c>
      <c r="O52" s="14" t="str">
        <f>+K11</f>
        <v>USAR TA</v>
      </c>
      <c r="P52" s="107">
        <f>+IF(O52="USAR TB",(N52),I11)</f>
        <v>72994.644627777598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73390.5012398955</v>
      </c>
      <c r="N55" s="16">
        <f>+IF(M55&lt;P51,"ESCALAR",N51)</f>
        <v>72071.644289842719</v>
      </c>
      <c r="O55" s="14" t="b">
        <f>+IF(N55="ESCALAR",(P51/M55))</f>
        <v>0</v>
      </c>
      <c r="P55" s="19">
        <f>+M55*O55</f>
        <v>0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63546.506783969402</v>
      </c>
      <c r="N56" s="112" t="str">
        <f>+IF(M56&lt;P52,"ESCALAR",M56)</f>
        <v>ESCALAR</v>
      </c>
      <c r="O56" s="23">
        <f>+IF(N56="ESCALAR",(P52/M56))</f>
        <v>1.1486806800557545</v>
      </c>
      <c r="P56" s="24">
        <f>+M56*O56</f>
        <v>72994.644627777598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1.4358591402213901</v>
      </c>
      <c r="E62" s="172">
        <v>7.59896995361277E-3</v>
      </c>
      <c r="F62" s="172">
        <v>0.69780881742056899</v>
      </c>
      <c r="G62" s="172">
        <v>0</v>
      </c>
      <c r="H62" s="172">
        <v>7.59896995361277E-3</v>
      </c>
      <c r="I62" s="172">
        <v>0.69780881742056899</v>
      </c>
      <c r="J62" s="172">
        <v>0</v>
      </c>
      <c r="K62" s="172">
        <v>0.15182134671889599</v>
      </c>
      <c r="L62" s="172">
        <v>1.6981426123989E-3</v>
      </c>
      <c r="M62" s="172">
        <v>0.121715541674125</v>
      </c>
      <c r="N62" s="172">
        <v>0.15182134671889599</v>
      </c>
      <c r="O62" s="172">
        <v>1.6981426123989E-3</v>
      </c>
      <c r="P62" s="172">
        <v>0.121715541674125</v>
      </c>
    </row>
    <row r="63" spans="2:16" x14ac:dyDescent="0.3">
      <c r="B63" s="172" t="s">
        <v>238</v>
      </c>
      <c r="C63" s="172">
        <v>2</v>
      </c>
      <c r="D63" s="172">
        <v>1.3744875818875999</v>
      </c>
      <c r="E63" s="172">
        <v>0.81907553756629803</v>
      </c>
      <c r="F63" s="172">
        <v>9.2139313382078401E-3</v>
      </c>
      <c r="G63" s="172">
        <v>0</v>
      </c>
      <c r="H63" s="172">
        <v>0.82667450751991101</v>
      </c>
      <c r="I63" s="172">
        <v>0.70702274875877602</v>
      </c>
      <c r="J63" s="172">
        <v>0</v>
      </c>
      <c r="K63" s="172">
        <v>2.0693723324387999E-3</v>
      </c>
      <c r="L63" s="172">
        <v>0.17911057719540699</v>
      </c>
      <c r="M63" s="172">
        <v>3.32020423466569E-5</v>
      </c>
      <c r="N63" s="172">
        <v>0.153890719051335</v>
      </c>
      <c r="O63" s="172">
        <v>0.180808719807806</v>
      </c>
      <c r="P63" s="172">
        <v>0.121748743716472</v>
      </c>
    </row>
    <row r="64" spans="2:16" x14ac:dyDescent="0.3">
      <c r="B64" s="172" t="s">
        <v>238</v>
      </c>
      <c r="C64" s="172">
        <v>3</v>
      </c>
      <c r="D64" s="172">
        <v>1.1290113223087099</v>
      </c>
      <c r="E64" s="172">
        <v>1.67058296534399E-3</v>
      </c>
      <c r="F64" s="172">
        <v>0.118964450212084</v>
      </c>
      <c r="G64" s="172">
        <v>0</v>
      </c>
      <c r="H64" s="172">
        <v>0.82834509048525495</v>
      </c>
      <c r="I64" s="172">
        <v>0.82598719897086004</v>
      </c>
      <c r="J64" s="172">
        <v>0</v>
      </c>
      <c r="K64" s="172">
        <v>3.00944962036707E-2</v>
      </c>
      <c r="L64" s="172">
        <v>3.29370595524119E-4</v>
      </c>
      <c r="M64" s="172">
        <v>0.71628270321995202</v>
      </c>
      <c r="N64" s="172">
        <v>0.183985215255006</v>
      </c>
      <c r="O64" s="172">
        <v>0.18113809040333001</v>
      </c>
      <c r="P64" s="172">
        <v>0.83803144693642495</v>
      </c>
    </row>
    <row r="65" spans="2:16" x14ac:dyDescent="0.3">
      <c r="B65" s="172" t="s">
        <v>238</v>
      </c>
      <c r="C65" s="172">
        <v>4</v>
      </c>
      <c r="D65" s="172">
        <v>0.47009286659275501</v>
      </c>
      <c r="E65" s="172">
        <v>1.2986680577801799E-3</v>
      </c>
      <c r="F65" s="172">
        <v>9.2445758110513407E-2</v>
      </c>
      <c r="G65" s="172">
        <v>0</v>
      </c>
      <c r="H65" s="172">
        <v>0.82964375854303496</v>
      </c>
      <c r="I65" s="172">
        <v>0.91843295708137396</v>
      </c>
      <c r="J65" s="172">
        <v>0</v>
      </c>
      <c r="K65" s="172">
        <v>0.52172145286834903</v>
      </c>
      <c r="L65" s="172">
        <v>7.9110531349449002E-3</v>
      </c>
      <c r="M65" s="172">
        <v>1.3020772889957399E-2</v>
      </c>
      <c r="N65" s="172">
        <v>0.70570666812335403</v>
      </c>
      <c r="O65" s="172">
        <v>0.18904914353827501</v>
      </c>
      <c r="P65" s="172">
        <v>0.85105221982638202</v>
      </c>
    </row>
    <row r="66" spans="2:16" x14ac:dyDescent="0.3">
      <c r="B66" s="172" t="s">
        <v>238</v>
      </c>
      <c r="C66" s="172">
        <v>5</v>
      </c>
      <c r="D66" s="172">
        <v>0.45125305712981301</v>
      </c>
      <c r="E66" s="172">
        <v>0.104026543355575</v>
      </c>
      <c r="F66" s="172">
        <v>1.6361164467947999E-3</v>
      </c>
      <c r="G66" s="172">
        <v>0</v>
      </c>
      <c r="H66" s="172">
        <v>0.93367030189861</v>
      </c>
      <c r="I66" s="172">
        <v>0.92006907352816802</v>
      </c>
      <c r="J66" s="172">
        <v>0</v>
      </c>
      <c r="K66" s="172">
        <v>9.3998385915223803E-3</v>
      </c>
      <c r="L66" s="172">
        <v>0.61301386583199302</v>
      </c>
      <c r="M66" s="172">
        <v>7.7925442375173798E-7</v>
      </c>
      <c r="N66" s="172">
        <v>0.71510650671487697</v>
      </c>
      <c r="O66" s="172">
        <v>0.80206300937026798</v>
      </c>
      <c r="P66" s="172">
        <v>0.85105299908080601</v>
      </c>
    </row>
    <row r="67" spans="2:16" x14ac:dyDescent="0.3">
      <c r="B67" s="172" t="s">
        <v>238</v>
      </c>
      <c r="C67" s="172">
        <v>6</v>
      </c>
      <c r="D67" s="172">
        <v>0.37568801721563899</v>
      </c>
      <c r="E67" s="172">
        <v>3.0683167595733099E-4</v>
      </c>
      <c r="F67" s="172">
        <v>1.37419747719905E-2</v>
      </c>
      <c r="G67" s="172">
        <v>0</v>
      </c>
      <c r="H67" s="172">
        <v>0.93397713357456802</v>
      </c>
      <c r="I67" s="172">
        <v>0.93381104830015904</v>
      </c>
      <c r="J67" s="172">
        <v>0</v>
      </c>
      <c r="K67" s="172">
        <v>8.6839739091447696E-2</v>
      </c>
      <c r="L67" s="172">
        <v>1.5742217823931099E-3</v>
      </c>
      <c r="M67" s="172">
        <v>8.4217754416368903E-2</v>
      </c>
      <c r="N67" s="172">
        <v>0.80194624580632501</v>
      </c>
      <c r="O67" s="172">
        <v>0.80363723115266095</v>
      </c>
      <c r="P67" s="172">
        <v>0.93527075349717503</v>
      </c>
    </row>
    <row r="68" spans="2:16" x14ac:dyDescent="0.3">
      <c r="B68" s="172" t="s">
        <v>238</v>
      </c>
      <c r="C68" s="172">
        <v>7</v>
      </c>
      <c r="D68" s="172">
        <v>0.26878716063855901</v>
      </c>
      <c r="E68" s="172">
        <v>7.4237196223345299E-4</v>
      </c>
      <c r="F68" s="172">
        <v>2.79290704691415E-2</v>
      </c>
      <c r="G68" s="172">
        <v>0</v>
      </c>
      <c r="H68" s="172">
        <v>0.93471950553680105</v>
      </c>
      <c r="I68" s="172">
        <v>0.96174011876929999</v>
      </c>
      <c r="J68" s="172">
        <v>0</v>
      </c>
      <c r="K68" s="172">
        <v>6.0150810014985998E-2</v>
      </c>
      <c r="L68" s="172">
        <v>1.5458819741046199E-3</v>
      </c>
      <c r="M68" s="172">
        <v>4.7352917585946203E-3</v>
      </c>
      <c r="N68" s="172">
        <v>0.86209705582131102</v>
      </c>
      <c r="O68" s="172">
        <v>0.80518311312676605</v>
      </c>
      <c r="P68" s="172">
        <v>0.94000604525576903</v>
      </c>
    </row>
    <row r="69" spans="2:16" x14ac:dyDescent="0.3">
      <c r="B69" s="172" t="s">
        <v>238</v>
      </c>
      <c r="C69" s="172">
        <v>8</v>
      </c>
      <c r="D69" s="172">
        <v>0.25921559600718402</v>
      </c>
      <c r="E69" s="172">
        <v>3.2182438481107301E-2</v>
      </c>
      <c r="F69" s="172">
        <v>9.0184304524766905E-4</v>
      </c>
      <c r="G69" s="172">
        <v>0</v>
      </c>
      <c r="H69" s="172">
        <v>0.96690194401790797</v>
      </c>
      <c r="I69" s="172">
        <v>0.96264196181454798</v>
      </c>
      <c r="J69" s="172">
        <v>0</v>
      </c>
      <c r="K69" s="172">
        <v>1.93325647747912E-3</v>
      </c>
      <c r="L69" s="172">
        <v>6.7272025861097998E-2</v>
      </c>
      <c r="M69" s="172">
        <v>7.2776439418890794E-8</v>
      </c>
      <c r="N69" s="172">
        <v>0.86403031229879002</v>
      </c>
      <c r="O69" s="172">
        <v>0.87245513898786398</v>
      </c>
      <c r="P69" s="172">
        <v>0.94000611803220901</v>
      </c>
    </row>
    <row r="70" spans="2:16" x14ac:dyDescent="0.3">
      <c r="B70" s="172" t="s">
        <v>238</v>
      </c>
      <c r="C70" s="172">
        <v>9</v>
      </c>
      <c r="D70" s="172">
        <v>0.22010799196904901</v>
      </c>
      <c r="E70" s="172">
        <v>1.5381141301256299E-4</v>
      </c>
      <c r="F70" s="172">
        <v>4.2301138548082396E-3</v>
      </c>
      <c r="G70" s="172">
        <v>0</v>
      </c>
      <c r="H70" s="172">
        <v>0.96705575543092104</v>
      </c>
      <c r="I70" s="172">
        <v>0.96687207566935596</v>
      </c>
      <c r="J70" s="172">
        <v>0</v>
      </c>
      <c r="K70" s="172">
        <v>8.1122763996860307E-3</v>
      </c>
      <c r="L70" s="172">
        <v>3.5033636840102299E-4</v>
      </c>
      <c r="M70" s="172">
        <v>2.7650540651252699E-2</v>
      </c>
      <c r="N70" s="172">
        <v>0.87214258869847605</v>
      </c>
      <c r="O70" s="172">
        <v>0.87280547535626496</v>
      </c>
      <c r="P70" s="172">
        <v>0.96765665868346096</v>
      </c>
    </row>
    <row r="71" spans="2:16" x14ac:dyDescent="0.3">
      <c r="B71" s="172" t="s">
        <v>238</v>
      </c>
      <c r="C71" s="172">
        <v>10</v>
      </c>
      <c r="D71" s="172">
        <v>0.18692034956303299</v>
      </c>
      <c r="E71" s="172">
        <v>5.0396374787823196E-4</v>
      </c>
      <c r="F71" s="172">
        <v>1.34279144937695E-2</v>
      </c>
      <c r="G71" s="172">
        <v>0</v>
      </c>
      <c r="H71" s="172">
        <v>0.96755971917879902</v>
      </c>
      <c r="I71" s="172">
        <v>0.98029999016312597</v>
      </c>
      <c r="J71" s="172">
        <v>0</v>
      </c>
      <c r="K71" s="172">
        <v>5.9885726979002199E-2</v>
      </c>
      <c r="L71" s="172">
        <v>2.3241504737431199E-3</v>
      </c>
      <c r="M71" s="172">
        <v>1.86084509553659E-3</v>
      </c>
      <c r="N71" s="172">
        <v>0.93202831567747801</v>
      </c>
      <c r="O71" s="172">
        <v>0.87512962583000797</v>
      </c>
      <c r="P71" s="172">
        <v>0.96951750377899804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1029.6717030371101</v>
      </c>
      <c r="E6" s="172">
        <v>7.8964470636853001E-4</v>
      </c>
      <c r="F6" s="172">
        <v>1303968.3477046699</v>
      </c>
      <c r="G6" s="172">
        <v>89.526800036398697</v>
      </c>
      <c r="H6" s="172">
        <v>3.7571832471085599E-5</v>
      </c>
      <c r="I6" s="172">
        <v>0</v>
      </c>
    </row>
    <row r="7" spans="2:9" hidden="1" x14ac:dyDescent="0.3">
      <c r="B7" s="172" t="s">
        <v>187</v>
      </c>
      <c r="C7" s="172" t="s">
        <v>79</v>
      </c>
      <c r="D7" s="172">
        <v>11797.4699551585</v>
      </c>
      <c r="E7" s="172">
        <v>1.0468930117074301E-3</v>
      </c>
      <c r="F7" s="172">
        <v>11269031.145711301</v>
      </c>
      <c r="G7" s="172">
        <v>735.13509216213401</v>
      </c>
      <c r="H7" s="172">
        <v>7.7221495838978002E-5</v>
      </c>
      <c r="I7" s="172">
        <v>0</v>
      </c>
    </row>
    <row r="8" spans="2:9" hidden="1" x14ac:dyDescent="0.3">
      <c r="B8" s="172" t="s">
        <v>185</v>
      </c>
      <c r="C8" s="172" t="s">
        <v>79</v>
      </c>
      <c r="D8" s="172">
        <v>23824.588777472101</v>
      </c>
      <c r="E8" s="172">
        <v>1.5138044504854301E-3</v>
      </c>
      <c r="F8" s="172">
        <v>15738220.857939901</v>
      </c>
      <c r="G8" s="172">
        <v>1443.6573082371101</v>
      </c>
      <c r="H8" s="172">
        <v>1.09111124048244E-4</v>
      </c>
      <c r="I8" s="172">
        <v>0</v>
      </c>
    </row>
    <row r="9" spans="2:9" hidden="1" x14ac:dyDescent="0.3">
      <c r="B9" s="172" t="s">
        <v>183</v>
      </c>
      <c r="C9" s="172" t="s">
        <v>79</v>
      </c>
      <c r="D9" s="172">
        <v>34062.196494035401</v>
      </c>
      <c r="E9" s="172">
        <v>1.9173047307857001E-3</v>
      </c>
      <c r="F9" s="172">
        <v>17765666.535479199</v>
      </c>
      <c r="G9" s="172">
        <v>2025.2098805835601</v>
      </c>
      <c r="H9" s="172">
        <v>1.3980191602066001E-4</v>
      </c>
      <c r="I9" s="172">
        <v>0</v>
      </c>
    </row>
    <row r="10" spans="2:9" hidden="1" x14ac:dyDescent="0.3">
      <c r="B10" s="172" t="s">
        <v>181</v>
      </c>
      <c r="C10" s="172" t="s">
        <v>79</v>
      </c>
      <c r="D10" s="172">
        <v>42789.783776115502</v>
      </c>
      <c r="E10" s="172">
        <v>2.2580591520474898E-3</v>
      </c>
      <c r="F10" s="172">
        <v>18949806.402244199</v>
      </c>
      <c r="G10" s="172">
        <v>2514.7505267507299</v>
      </c>
      <c r="H10" s="172">
        <v>1.6564604423623499E-4</v>
      </c>
      <c r="I10" s="172">
        <v>0</v>
      </c>
    </row>
    <row r="11" spans="2:9" hidden="1" x14ac:dyDescent="0.3">
      <c r="B11" s="172" t="s">
        <v>179</v>
      </c>
      <c r="C11" s="172" t="s">
        <v>79</v>
      </c>
      <c r="D11" s="172">
        <v>50324.308237649399</v>
      </c>
      <c r="E11" s="172">
        <v>2.5425329143318799E-3</v>
      </c>
      <c r="F11" s="172">
        <v>19792982.0117485</v>
      </c>
      <c r="G11" s="172">
        <v>2938.5823625061798</v>
      </c>
      <c r="H11" s="172">
        <v>1.8832970631383399E-4</v>
      </c>
      <c r="I11" s="172">
        <v>0</v>
      </c>
    </row>
    <row r="12" spans="2:9" hidden="1" x14ac:dyDescent="0.3">
      <c r="B12" s="172" t="s">
        <v>39</v>
      </c>
      <c r="C12" s="172" t="s">
        <v>79</v>
      </c>
      <c r="D12" s="172">
        <v>56888.977665333303</v>
      </c>
      <c r="E12" s="172">
        <v>2.7857325648968198E-3</v>
      </c>
      <c r="F12" s="172">
        <v>20421550.288851999</v>
      </c>
      <c r="G12" s="172">
        <v>3308.45165731731</v>
      </c>
      <c r="H12" s="172">
        <v>2.0916526790911301E-4</v>
      </c>
      <c r="I12" s="172">
        <v>0</v>
      </c>
    </row>
    <row r="13" spans="2:9" hidden="1" x14ac:dyDescent="0.3">
      <c r="B13" s="172" t="s">
        <v>26</v>
      </c>
      <c r="C13" s="172" t="s">
        <v>79</v>
      </c>
      <c r="D13" s="172">
        <v>62610.666146135402</v>
      </c>
      <c r="E13" s="172">
        <v>2.9885654710425898E-3</v>
      </c>
      <c r="F13" s="172">
        <v>20950073.455908898</v>
      </c>
      <c r="G13" s="172">
        <v>3630.4533717593199</v>
      </c>
      <c r="H13" s="172">
        <v>2.23115620824495E-4</v>
      </c>
      <c r="I13" s="172">
        <v>0</v>
      </c>
    </row>
    <row r="14" spans="2:9" hidden="1" x14ac:dyDescent="0.3">
      <c r="B14" s="172" t="s">
        <v>25</v>
      </c>
      <c r="C14" s="172" t="s">
        <v>79</v>
      </c>
      <c r="D14" s="172">
        <v>67448.923034643798</v>
      </c>
      <c r="E14" s="172">
        <v>3.1351118260443001E-3</v>
      </c>
      <c r="F14" s="172">
        <v>21514040.575626601</v>
      </c>
      <c r="G14" s="172">
        <v>3904.6325382487798</v>
      </c>
      <c r="H14" s="172">
        <v>2.3240151322117899E-4</v>
      </c>
      <c r="I14" s="172">
        <v>0</v>
      </c>
    </row>
    <row r="15" spans="2:9" hidden="1" x14ac:dyDescent="0.3">
      <c r="B15" s="172" t="s">
        <v>24</v>
      </c>
      <c r="C15" s="172" t="s">
        <v>79</v>
      </c>
      <c r="D15" s="172">
        <v>71192.985367224101</v>
      </c>
      <c r="E15" s="172">
        <v>3.1788437383074601E-3</v>
      </c>
      <c r="F15" s="172">
        <v>22395874.4839499</v>
      </c>
      <c r="G15" s="172">
        <v>4122.9635808360599</v>
      </c>
      <c r="H15" s="172">
        <v>2.3461528157878899E-4</v>
      </c>
      <c r="I15" s="172">
        <v>0</v>
      </c>
    </row>
    <row r="16" spans="2:9" hidden="1" x14ac:dyDescent="0.3">
      <c r="B16" s="172" t="s">
        <v>22</v>
      </c>
      <c r="C16" s="172" t="s">
        <v>79</v>
      </c>
      <c r="D16" s="172">
        <v>73390.501073398002</v>
      </c>
      <c r="E16" s="172">
        <v>3.0528251208355099E-3</v>
      </c>
      <c r="F16" s="172">
        <v>24040191.6809805</v>
      </c>
      <c r="G16" s="172">
        <v>4257.5585353841398</v>
      </c>
      <c r="H16" s="172">
        <v>2.1067093058137399E-4</v>
      </c>
      <c r="I16" s="172">
        <v>0</v>
      </c>
    </row>
    <row r="17" spans="2:9" hidden="1" x14ac:dyDescent="0.3">
      <c r="B17" s="172" t="s">
        <v>189</v>
      </c>
      <c r="C17" s="172" t="s">
        <v>80</v>
      </c>
      <c r="D17" s="172">
        <v>1029.6717030382899</v>
      </c>
      <c r="E17" s="172">
        <v>7.8769001113596397E-4</v>
      </c>
      <c r="F17" s="172">
        <v>1307204.2154671301</v>
      </c>
      <c r="G17" s="172">
        <v>89.526800027380901</v>
      </c>
      <c r="H17" s="172">
        <v>4.3052939969274298E-5</v>
      </c>
      <c r="I17" s="172">
        <v>0</v>
      </c>
    </row>
    <row r="18" spans="2:9" hidden="1" x14ac:dyDescent="0.3">
      <c r="B18" s="172" t="s">
        <v>187</v>
      </c>
      <c r="C18" s="172" t="s">
        <v>80</v>
      </c>
      <c r="D18" s="172">
        <v>11797.4699550448</v>
      </c>
      <c r="E18" s="172">
        <v>1.0677094234434899E-3</v>
      </c>
      <c r="F18" s="172">
        <v>11049326.432838401</v>
      </c>
      <c r="G18" s="172">
        <v>735.13510967608499</v>
      </c>
      <c r="H18" s="172">
        <v>8.1769962041636102E-5</v>
      </c>
      <c r="I18" s="172">
        <v>0</v>
      </c>
    </row>
    <row r="19" spans="2:9" hidden="1" x14ac:dyDescent="0.3">
      <c r="B19" s="172" t="s">
        <v>185</v>
      </c>
      <c r="C19" s="172" t="s">
        <v>80</v>
      </c>
      <c r="D19" s="172">
        <v>23824.588777290501</v>
      </c>
      <c r="E19" s="172">
        <v>1.5293799953985201E-3</v>
      </c>
      <c r="F19" s="172">
        <v>15577939.3276831</v>
      </c>
      <c r="G19" s="172">
        <v>1443.6573404923199</v>
      </c>
      <c r="H19" s="172">
        <v>1.10659624662085E-4</v>
      </c>
      <c r="I19" s="172">
        <v>0</v>
      </c>
    </row>
    <row r="20" spans="2:9" hidden="1" x14ac:dyDescent="0.3">
      <c r="B20" s="172" t="s">
        <v>183</v>
      </c>
      <c r="C20" s="172" t="s">
        <v>80</v>
      </c>
      <c r="D20" s="172">
        <v>34062.196493441297</v>
      </c>
      <c r="E20" s="172">
        <v>1.93510652569076E-3</v>
      </c>
      <c r="F20" s="172">
        <v>17602233.2834015</v>
      </c>
      <c r="G20" s="172">
        <v>2025.2099294632301</v>
      </c>
      <c r="H20" s="172">
        <v>1.4164342465636601E-4</v>
      </c>
      <c r="I20" s="172">
        <v>0</v>
      </c>
    </row>
    <row r="21" spans="2:9" hidden="1" x14ac:dyDescent="0.3">
      <c r="B21" s="172" t="s">
        <v>181</v>
      </c>
      <c r="C21" s="172" t="s">
        <v>80</v>
      </c>
      <c r="D21" s="172">
        <v>42789.783775233002</v>
      </c>
      <c r="E21" s="172">
        <v>2.2769049742513E-3</v>
      </c>
      <c r="F21" s="172">
        <v>18792959.8552102</v>
      </c>
      <c r="G21" s="172">
        <v>2514.7505883721701</v>
      </c>
      <c r="H21" s="172">
        <v>1.70628245322452E-4</v>
      </c>
      <c r="I21" s="172">
        <v>0</v>
      </c>
    </row>
    <row r="22" spans="2:9" hidden="1" x14ac:dyDescent="0.3">
      <c r="B22" s="172" t="s">
        <v>179</v>
      </c>
      <c r="C22" s="172" t="s">
        <v>80</v>
      </c>
      <c r="D22" s="172">
        <v>50324.308236719997</v>
      </c>
      <c r="E22" s="172">
        <v>2.5613381015204802E-3</v>
      </c>
      <c r="F22" s="172">
        <v>19647663.151868202</v>
      </c>
      <c r="G22" s="172">
        <v>2938.5824342005299</v>
      </c>
      <c r="H22" s="172">
        <v>1.9695788500412201E-4</v>
      </c>
      <c r="I22" s="172">
        <v>0</v>
      </c>
    </row>
    <row r="23" spans="2:9" hidden="1" x14ac:dyDescent="0.3">
      <c r="B23" s="172" t="s">
        <v>39</v>
      </c>
      <c r="C23" s="172" t="s">
        <v>80</v>
      </c>
      <c r="D23" s="172">
        <v>56888.977664451697</v>
      </c>
      <c r="E23" s="172">
        <v>2.7945379242460201E-3</v>
      </c>
      <c r="F23" s="172">
        <v>20357203.661782701</v>
      </c>
      <c r="G23" s="172">
        <v>3308.4517389181301</v>
      </c>
      <c r="H23" s="172">
        <v>2.14478010006563E-4</v>
      </c>
      <c r="I23" s="172">
        <v>0</v>
      </c>
    </row>
    <row r="24" spans="2:9" hidden="1" x14ac:dyDescent="0.3">
      <c r="B24" s="172" t="s">
        <v>26</v>
      </c>
      <c r="C24" s="172" t="s">
        <v>80</v>
      </c>
      <c r="D24" s="172">
        <v>62610.666144724499</v>
      </c>
      <c r="E24" s="172">
        <v>2.9987117569436599E-3</v>
      </c>
      <c r="F24" s="172">
        <v>20879187.8711739</v>
      </c>
      <c r="G24" s="172">
        <v>3630.45346223974</v>
      </c>
      <c r="H24" s="172">
        <v>2.34300617330629E-4</v>
      </c>
      <c r="I24" s="172">
        <v>0</v>
      </c>
    </row>
    <row r="25" spans="2:9" hidden="1" x14ac:dyDescent="0.3">
      <c r="B25" s="172" t="s">
        <v>25</v>
      </c>
      <c r="C25" s="172" t="s">
        <v>80</v>
      </c>
      <c r="D25" s="172">
        <v>67448.923033529107</v>
      </c>
      <c r="E25" s="172">
        <v>3.1466806996173001E-3</v>
      </c>
      <c r="F25" s="172">
        <v>21434943.507846899</v>
      </c>
      <c r="G25" s="172">
        <v>3904.63263440218</v>
      </c>
      <c r="H25" s="172">
        <v>2.5049043988229099E-4</v>
      </c>
      <c r="I25" s="172">
        <v>0</v>
      </c>
    </row>
    <row r="26" spans="2:9" hidden="1" x14ac:dyDescent="0.3">
      <c r="B26" s="172" t="s">
        <v>24</v>
      </c>
      <c r="C26" s="172" t="s">
        <v>80</v>
      </c>
      <c r="D26" s="172">
        <v>71192.985366003806</v>
      </c>
      <c r="E26" s="172">
        <v>3.2135212935844098E-3</v>
      </c>
      <c r="F26" s="172">
        <v>22154197.486768201</v>
      </c>
      <c r="G26" s="172">
        <v>4122.9636814498499</v>
      </c>
      <c r="H26" s="172">
        <v>2.6278270013062397E-4</v>
      </c>
      <c r="I26" s="172">
        <v>0</v>
      </c>
    </row>
    <row r="27" spans="2:9" hidden="1" x14ac:dyDescent="0.3">
      <c r="B27" s="172" t="s">
        <v>22</v>
      </c>
      <c r="C27" s="172" t="s">
        <v>80</v>
      </c>
      <c r="D27" s="172">
        <v>73390.501072104598</v>
      </c>
      <c r="E27" s="172">
        <v>3.0671877190690199E-3</v>
      </c>
      <c r="F27" s="172">
        <v>23927619.628830802</v>
      </c>
      <c r="G27" s="172">
        <v>4257.5586383953496</v>
      </c>
      <c r="H27" s="172">
        <v>2.6175216211276697E-4</v>
      </c>
      <c r="I27" s="172">
        <v>0</v>
      </c>
    </row>
    <row r="28" spans="2:9" hidden="1" x14ac:dyDescent="0.3">
      <c r="B28" s="172" t="s">
        <v>189</v>
      </c>
      <c r="C28" s="172" t="s">
        <v>81</v>
      </c>
      <c r="D28" s="172">
        <v>103.167130190769</v>
      </c>
      <c r="E28" s="172">
        <v>4.0282521572134798E-5</v>
      </c>
      <c r="F28" s="172">
        <v>2561089.1812228202</v>
      </c>
      <c r="G28" s="172">
        <v>871.86153070591195</v>
      </c>
      <c r="H28" s="172">
        <v>6.0822477636110104E-4</v>
      </c>
      <c r="I28" s="172">
        <v>1433452.8361736599</v>
      </c>
    </row>
    <row r="29" spans="2:9" hidden="1" x14ac:dyDescent="0.3">
      <c r="B29" s="172" t="s">
        <v>187</v>
      </c>
      <c r="C29" s="172" t="s">
        <v>81</v>
      </c>
      <c r="D29" s="172">
        <v>829.90888579989303</v>
      </c>
      <c r="E29" s="172">
        <v>6.5011740504074405E-5</v>
      </c>
      <c r="F29" s="172">
        <v>0</v>
      </c>
      <c r="G29" s="172">
        <v>11690.3555199069</v>
      </c>
      <c r="H29" s="172">
        <v>1.0890056477328399E-3</v>
      </c>
      <c r="I29" s="172">
        <v>10734889.708097</v>
      </c>
    </row>
    <row r="30" spans="2:9" hidden="1" x14ac:dyDescent="0.3">
      <c r="B30" s="172" t="s">
        <v>185</v>
      </c>
      <c r="C30" s="172" t="s">
        <v>81</v>
      </c>
      <c r="D30" s="172">
        <v>1641.69808757224</v>
      </c>
      <c r="E30" s="172">
        <v>9.7531516504376702E-5</v>
      </c>
      <c r="F30" s="172">
        <v>0</v>
      </c>
      <c r="G30" s="172">
        <v>23805.121969091499</v>
      </c>
      <c r="H30" s="172">
        <v>1.5668499298930401E-3</v>
      </c>
      <c r="I30" s="172">
        <v>15192981.4814598</v>
      </c>
    </row>
    <row r="31" spans="2:9" hidden="1" x14ac:dyDescent="0.3">
      <c r="B31" s="172" t="s">
        <v>183</v>
      </c>
      <c r="C31" s="172" t="s">
        <v>81</v>
      </c>
      <c r="D31" s="172">
        <v>2312.0070562372398</v>
      </c>
      <c r="E31" s="172">
        <v>1.2669082400684401E-4</v>
      </c>
      <c r="F31" s="172">
        <v>0</v>
      </c>
      <c r="G31" s="172">
        <v>34016.330179233402</v>
      </c>
      <c r="H31" s="172">
        <v>1.9844508810078001E-3</v>
      </c>
      <c r="I31" s="172">
        <v>17141432.173900999</v>
      </c>
    </row>
    <row r="32" spans="2:9" hidden="1" x14ac:dyDescent="0.3">
      <c r="B32" s="172" t="s">
        <v>181</v>
      </c>
      <c r="C32" s="172" t="s">
        <v>81</v>
      </c>
      <c r="D32" s="172">
        <v>2876.5497613406001</v>
      </c>
      <c r="E32" s="172">
        <v>1.5117912655053799E-4</v>
      </c>
      <c r="F32" s="172">
        <v>0</v>
      </c>
      <c r="G32" s="172">
        <v>42631.314314383497</v>
      </c>
      <c r="H32" s="172">
        <v>2.3325773326577002E-3</v>
      </c>
      <c r="I32" s="172">
        <v>18276484.863981001</v>
      </c>
    </row>
    <row r="33" spans="2:9" hidden="1" x14ac:dyDescent="0.3">
      <c r="B33" s="172" t="s">
        <v>179</v>
      </c>
      <c r="C33" s="172" t="s">
        <v>81</v>
      </c>
      <c r="D33" s="172">
        <v>3365.3388910900198</v>
      </c>
      <c r="E33" s="172">
        <v>1.7182416972623299E-4</v>
      </c>
      <c r="F33" s="172">
        <v>0</v>
      </c>
      <c r="G33" s="172">
        <v>50015.762835374197</v>
      </c>
      <c r="H33" s="172">
        <v>2.62177033799562E-3</v>
      </c>
      <c r="I33" s="172">
        <v>19077095.392578099</v>
      </c>
    </row>
    <row r="34" spans="2:9" hidden="1" x14ac:dyDescent="0.3">
      <c r="B34" s="172" t="s">
        <v>39</v>
      </c>
      <c r="C34" s="172" t="s">
        <v>81</v>
      </c>
      <c r="D34" s="172">
        <v>3792.5167026823801</v>
      </c>
      <c r="E34" s="172">
        <v>1.88378135702773E-4</v>
      </c>
      <c r="F34" s="172">
        <v>0</v>
      </c>
      <c r="G34" s="172">
        <v>56448.064693727501</v>
      </c>
      <c r="H34" s="172">
        <v>2.8110488309994099E-3</v>
      </c>
      <c r="I34" s="172">
        <v>20080784.108491801</v>
      </c>
    </row>
    <row r="35" spans="2:9" hidden="1" x14ac:dyDescent="0.3">
      <c r="B35" s="172" t="s">
        <v>26</v>
      </c>
      <c r="C35" s="172" t="s">
        <v>81</v>
      </c>
      <c r="D35" s="172">
        <v>4164.7366508354899</v>
      </c>
      <c r="E35" s="172">
        <v>2.0142921310199299E-4</v>
      </c>
      <c r="F35" s="172">
        <v>0</v>
      </c>
      <c r="G35" s="172">
        <v>62094.687625196799</v>
      </c>
      <c r="H35" s="172">
        <v>2.9708473501792198E-3</v>
      </c>
      <c r="I35" s="172">
        <v>20901339.0140866</v>
      </c>
    </row>
    <row r="36" spans="2:9" hidden="1" x14ac:dyDescent="0.3">
      <c r="B36" s="172" t="s">
        <v>25</v>
      </c>
      <c r="C36" s="172" t="s">
        <v>81</v>
      </c>
      <c r="D36" s="172">
        <v>4482.2658722777696</v>
      </c>
      <c r="E36" s="172">
        <v>2.1110527699244399E-4</v>
      </c>
      <c r="F36" s="172">
        <v>0</v>
      </c>
      <c r="G36" s="172">
        <v>66930.121148758102</v>
      </c>
      <c r="H36" s="172">
        <v>3.10137619554594E-3</v>
      </c>
      <c r="I36" s="172">
        <v>21580781.217344798</v>
      </c>
    </row>
    <row r="37" spans="2:9" hidden="1" x14ac:dyDescent="0.3">
      <c r="B37" s="172" t="s">
        <v>24</v>
      </c>
      <c r="C37" s="172" t="s">
        <v>81</v>
      </c>
      <c r="D37" s="172">
        <v>4735.3113948381997</v>
      </c>
      <c r="E37" s="172">
        <v>2.1572509998773101E-4</v>
      </c>
      <c r="F37" s="172">
        <v>0</v>
      </c>
      <c r="G37" s="172">
        <v>70726.263402250697</v>
      </c>
      <c r="H37" s="172">
        <v>3.07979392650475E-3</v>
      </c>
      <c r="I37" s="172">
        <v>22964609.025811601</v>
      </c>
    </row>
    <row r="38" spans="2:9" hidden="1" x14ac:dyDescent="0.3">
      <c r="B38" s="172" t="s">
        <v>22</v>
      </c>
      <c r="C38" s="172" t="s">
        <v>81</v>
      </c>
      <c r="D38" s="172">
        <v>4890.5927264829797</v>
      </c>
      <c r="E38" s="172">
        <v>2.0740975490488701E-4</v>
      </c>
      <c r="F38" s="172">
        <v>0</v>
      </c>
      <c r="G38" s="172">
        <v>72994.645415308798</v>
      </c>
      <c r="H38" s="172">
        <v>3.0258132960866899E-3</v>
      </c>
      <c r="I38" s="172">
        <v>24123975.365470599</v>
      </c>
    </row>
    <row r="39" spans="2:9" x14ac:dyDescent="0.3">
      <c r="B39" s="172" t="s">
        <v>189</v>
      </c>
      <c r="C39" s="172" t="s">
        <v>82</v>
      </c>
      <c r="D39" s="172">
        <v>103.16713019007101</v>
      </c>
      <c r="E39" s="172">
        <v>4.0484461657503798E-5</v>
      </c>
      <c r="F39" s="172">
        <v>2548314.2412232002</v>
      </c>
      <c r="G39" s="172">
        <v>871.86153071637705</v>
      </c>
      <c r="H39" s="172">
        <v>5.86107882229668E-4</v>
      </c>
      <c r="I39" s="172">
        <v>1487544.45580845</v>
      </c>
    </row>
    <row r="40" spans="2:9" x14ac:dyDescent="0.3">
      <c r="B40" s="172" t="s">
        <v>187</v>
      </c>
      <c r="C40" s="172" t="s">
        <v>82</v>
      </c>
      <c r="D40" s="172">
        <v>829.908885920015</v>
      </c>
      <c r="E40" s="172">
        <v>1.16355341167887E-4</v>
      </c>
      <c r="F40" s="172">
        <v>0</v>
      </c>
      <c r="G40" s="172">
        <v>11690.355501386</v>
      </c>
      <c r="H40" s="172">
        <v>1.01741737060899E-3</v>
      </c>
      <c r="I40" s="172">
        <v>11490225.9771608</v>
      </c>
    </row>
    <row r="41" spans="2:9" x14ac:dyDescent="0.3">
      <c r="B41" s="172" t="s">
        <v>185</v>
      </c>
      <c r="C41" s="172" t="s">
        <v>82</v>
      </c>
      <c r="D41" s="172">
        <v>1641.6980877645401</v>
      </c>
      <c r="E41" s="172">
        <v>1.8015563828654399E-4</v>
      </c>
      <c r="F41" s="172">
        <v>0</v>
      </c>
      <c r="G41" s="172">
        <v>23805.121934981998</v>
      </c>
      <c r="H41" s="172">
        <v>1.49906695154029E-3</v>
      </c>
      <c r="I41" s="172">
        <v>15879959.137597101</v>
      </c>
    </row>
    <row r="42" spans="2:9" x14ac:dyDescent="0.3">
      <c r="B42" s="172" t="s">
        <v>183</v>
      </c>
      <c r="C42" s="172" t="s">
        <v>82</v>
      </c>
      <c r="D42" s="172">
        <v>2312.0070568660799</v>
      </c>
      <c r="E42" s="172">
        <v>2.40859979150471E-4</v>
      </c>
      <c r="F42" s="172">
        <v>0</v>
      </c>
      <c r="G42" s="172">
        <v>34016.330127549998</v>
      </c>
      <c r="H42" s="172">
        <v>1.95262841693478E-3</v>
      </c>
      <c r="I42" s="172">
        <v>17420790.270454299</v>
      </c>
    </row>
    <row r="43" spans="2:9" x14ac:dyDescent="0.3">
      <c r="B43" s="172" t="s">
        <v>181</v>
      </c>
      <c r="C43" s="172" t="s">
        <v>82</v>
      </c>
      <c r="D43" s="172">
        <v>2876.5497622735702</v>
      </c>
      <c r="E43" s="172">
        <v>2.9100402634854101E-4</v>
      </c>
      <c r="F43" s="172">
        <v>0</v>
      </c>
      <c r="G43" s="172">
        <v>42631.314249235103</v>
      </c>
      <c r="H43" s="172">
        <v>2.3316628538303801E-3</v>
      </c>
      <c r="I43" s="172">
        <v>18283652.878546201</v>
      </c>
    </row>
    <row r="44" spans="2:9" x14ac:dyDescent="0.3">
      <c r="B44" s="172" t="s">
        <v>179</v>
      </c>
      <c r="C44" s="172" t="s">
        <v>82</v>
      </c>
      <c r="D44" s="172">
        <v>3365.33889207223</v>
      </c>
      <c r="E44" s="172">
        <v>3.3162272572054302E-4</v>
      </c>
      <c r="F44" s="172">
        <v>0</v>
      </c>
      <c r="G44" s="172">
        <v>50015.762759587597</v>
      </c>
      <c r="H44" s="172">
        <v>2.6435879368445401E-3</v>
      </c>
      <c r="I44" s="172">
        <v>18919651.607764501</v>
      </c>
    </row>
    <row r="45" spans="2:9" x14ac:dyDescent="0.3">
      <c r="B45" s="172" t="s">
        <v>39</v>
      </c>
      <c r="C45" s="172" t="s">
        <v>82</v>
      </c>
      <c r="D45" s="172">
        <v>3792.5167036140001</v>
      </c>
      <c r="E45" s="172">
        <v>3.69658600797614E-4</v>
      </c>
      <c r="F45" s="172">
        <v>0</v>
      </c>
      <c r="G45" s="172">
        <v>56448.064607476997</v>
      </c>
      <c r="H45" s="172">
        <v>2.8838440933722999E-3</v>
      </c>
      <c r="I45" s="172">
        <v>19573896.084468301</v>
      </c>
    </row>
    <row r="46" spans="2:9" x14ac:dyDescent="0.3">
      <c r="B46" s="172" t="s">
        <v>26</v>
      </c>
      <c r="C46" s="172" t="s">
        <v>82</v>
      </c>
      <c r="D46" s="172">
        <v>4164.7366523275796</v>
      </c>
      <c r="E46" s="172">
        <v>4.0031537169346999E-4</v>
      </c>
      <c r="F46" s="172">
        <v>0</v>
      </c>
      <c r="G46" s="172">
        <v>62094.687529568197</v>
      </c>
      <c r="H46" s="172">
        <v>3.07092954613143E-3</v>
      </c>
      <c r="I46" s="172">
        <v>20220160.2468514</v>
      </c>
    </row>
    <row r="47" spans="2:9" x14ac:dyDescent="0.3">
      <c r="B47" s="172" t="s">
        <v>25</v>
      </c>
      <c r="C47" s="172" t="s">
        <v>82</v>
      </c>
      <c r="D47" s="172">
        <v>4482.2658734562101</v>
      </c>
      <c r="E47" s="172">
        <v>4.1815858100710301E-4</v>
      </c>
      <c r="F47" s="172">
        <v>0</v>
      </c>
      <c r="G47" s="172">
        <v>66930.121047135603</v>
      </c>
      <c r="H47" s="172">
        <v>3.2130992113182199E-3</v>
      </c>
      <c r="I47" s="172">
        <v>20830393.5376077</v>
      </c>
    </row>
    <row r="48" spans="2:9" x14ac:dyDescent="0.3">
      <c r="B48" s="172" t="s">
        <v>24</v>
      </c>
      <c r="C48" s="172" t="s">
        <v>82</v>
      </c>
      <c r="D48" s="172">
        <v>4735.3113961281997</v>
      </c>
      <c r="E48" s="172">
        <v>4.1970228830097097E-4</v>
      </c>
      <c r="F48" s="172">
        <v>0</v>
      </c>
      <c r="G48" s="172">
        <v>70726.263295912999</v>
      </c>
      <c r="H48" s="172">
        <v>3.22242350030756E-3</v>
      </c>
      <c r="I48" s="172">
        <v>21948158.983188499</v>
      </c>
    </row>
    <row r="49" spans="2:9" x14ac:dyDescent="0.3">
      <c r="B49" s="172" t="s">
        <v>22</v>
      </c>
      <c r="C49" s="172" t="s">
        <v>82</v>
      </c>
      <c r="D49" s="172">
        <v>4890.5927278502104</v>
      </c>
      <c r="E49" s="172">
        <v>3.3970196558588098E-4</v>
      </c>
      <c r="F49" s="172">
        <v>0</v>
      </c>
      <c r="G49" s="172">
        <v>72994.645306435297</v>
      </c>
      <c r="H49" s="172">
        <v>3.1159797786665601E-3</v>
      </c>
      <c r="I49" s="172">
        <v>23425904.688531801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-1.2369127944111801E-10</v>
      </c>
      <c r="H6" s="172">
        <v>-1029.6717030375</v>
      </c>
      <c r="I6" s="172">
        <v>-89.526800036333199</v>
      </c>
      <c r="J6" s="172">
        <v>5596.0031080387898</v>
      </c>
      <c r="K6" s="172">
        <v>-1.1102940788987301E-9</v>
      </c>
      <c r="L6" s="172">
        <v>1.39061739901081E-9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-3.6379788070917097E-11</v>
      </c>
      <c r="H7" s="172">
        <v>-1029.6717030371101</v>
      </c>
      <c r="I7" s="172">
        <v>-89.526800036398697</v>
      </c>
      <c r="J7" s="172">
        <v>5596.0031080346098</v>
      </c>
      <c r="K7" s="172">
        <v>268.580400108731</v>
      </c>
      <c r="L7" s="172">
        <v>-3089.0151091115899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-2.3101165425032401E-10</v>
      </c>
      <c r="H8" s="172">
        <v>-1029.6717030382599</v>
      </c>
      <c r="I8" s="172">
        <v>-89.526800027293007</v>
      </c>
      <c r="J8" s="172">
        <v>5116.9779766946504</v>
      </c>
      <c r="K8" s="172">
        <v>-1.79761627805419E-9</v>
      </c>
      <c r="L8" s="172">
        <v>3.24507709592581E-9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-2.4556356947869099E-10</v>
      </c>
      <c r="H9" s="172">
        <v>-1029.6717030382899</v>
      </c>
      <c r="I9" s="172">
        <v>-89.526800027380901</v>
      </c>
      <c r="J9" s="172">
        <v>5116.9779766936799</v>
      </c>
      <c r="K9" s="172">
        <v>268.58040008000199</v>
      </c>
      <c r="L9" s="172">
        <v>-3089.0151091110802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4.7293724492192301E-11</v>
      </c>
      <c r="H10" s="172">
        <v>-103.16713019077</v>
      </c>
      <c r="I10" s="172">
        <v>-871.86153070584203</v>
      </c>
      <c r="J10" s="172">
        <v>-11692.3717584152</v>
      </c>
      <c r="K10" s="172">
        <v>2.8535396268125598E-10</v>
      </c>
      <c r="L10" s="172">
        <v>-8.00810084911063E-10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4.3655745685100601E-11</v>
      </c>
      <c r="H11" s="172">
        <v>-103.167130190769</v>
      </c>
      <c r="I11" s="172">
        <v>-871.86153070591195</v>
      </c>
      <c r="J11" s="172">
        <v>-11692.3717584159</v>
      </c>
      <c r="K11" s="172">
        <v>2615.58459211836</v>
      </c>
      <c r="L11" s="172">
        <v>-309.50139057303397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5.95719029661268E-11</v>
      </c>
      <c r="H12" s="172">
        <v>-103.167130190175</v>
      </c>
      <c r="I12" s="172">
        <v>-871.86153071539297</v>
      </c>
      <c r="J12" s="172">
        <v>-11395.210711338201</v>
      </c>
      <c r="K12" s="172">
        <v>2.4670043785590699E-10</v>
      </c>
      <c r="L12" s="172">
        <v>-8.5083229350857395E-10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4.9112713895738099E-11</v>
      </c>
      <c r="H13" s="172">
        <v>-103.16713019007101</v>
      </c>
      <c r="I13" s="172">
        <v>-871.86153071637705</v>
      </c>
      <c r="J13" s="172">
        <v>-11395.2107113522</v>
      </c>
      <c r="K13" s="172">
        <v>2615.5845921473201</v>
      </c>
      <c r="L13" s="172">
        <v>-309.50139057113103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12121.199999998</v>
      </c>
      <c r="H14" s="172">
        <v>5.8046225603902696E-9</v>
      </c>
      <c r="I14" s="172">
        <v>-2.9302213988557899E-9</v>
      </c>
      <c r="J14" s="172">
        <v>-7.2792488481354707E-8</v>
      </c>
      <c r="K14" s="172">
        <v>78148.799999986804</v>
      </c>
      <c r="L14" s="172">
        <v>-169696.79999997001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17953.1999999982</v>
      </c>
      <c r="H15" s="172">
        <v>5.7186753110727304E-9</v>
      </c>
      <c r="I15" s="172">
        <v>-2.9260718292789501E-9</v>
      </c>
      <c r="J15" s="172">
        <v>-7.1971498982748003E-8</v>
      </c>
      <c r="K15" s="172">
        <v>116056.79999999701</v>
      </c>
      <c r="L15" s="172">
        <v>-251344.79999995499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-7.1833710535429405E-8</v>
      </c>
      <c r="H16" s="172">
        <v>-11797.4699551554</v>
      </c>
      <c r="I16" s="172">
        <v>-735.13509216219302</v>
      </c>
      <c r="J16" s="172">
        <v>88161.780310299306</v>
      </c>
      <c r="K16" s="172">
        <v>268.58039886161998</v>
      </c>
      <c r="L16" s="172">
        <v>-3089.0151080536102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-7.1739123086444994E-8</v>
      </c>
      <c r="H17" s="172">
        <v>-11797.4699551585</v>
      </c>
      <c r="I17" s="172">
        <v>-735.13509216213401</v>
      </c>
      <c r="J17" s="172">
        <v>88161.780310329705</v>
      </c>
      <c r="K17" s="172">
        <v>2841.5532214305099</v>
      </c>
      <c r="L17" s="172">
        <v>-44380.159951102098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-7.2237071435665699E-8</v>
      </c>
      <c r="H18" s="172">
        <v>-11797.469955042299</v>
      </c>
      <c r="I18" s="172">
        <v>-735.13510967602497</v>
      </c>
      <c r="J18" s="172">
        <v>72057.921238047202</v>
      </c>
      <c r="K18" s="172">
        <v>268.58039882524298</v>
      </c>
      <c r="L18" s="172">
        <v>-3089.0151080549999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-7.1889644459588506E-8</v>
      </c>
      <c r="H19" s="172">
        <v>-11797.4699550448</v>
      </c>
      <c r="I19" s="172">
        <v>-735.13510967608499</v>
      </c>
      <c r="J19" s="172">
        <v>72057.9212380682</v>
      </c>
      <c r="K19" s="172">
        <v>2841.5532826943199</v>
      </c>
      <c r="L19" s="172">
        <v>-44380.159950710498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-1.05998879007529E-7</v>
      </c>
      <c r="H20" s="172">
        <v>-829.90888579969896</v>
      </c>
      <c r="I20" s="172">
        <v>-11690.3555199075</v>
      </c>
      <c r="J20" s="172">
        <v>-108895.07738089901</v>
      </c>
      <c r="K20" s="172">
        <v>2615.5845911443698</v>
      </c>
      <c r="L20" s="172">
        <v>-309.50138888916001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-1.06012521428056E-7</v>
      </c>
      <c r="H21" s="172">
        <v>-829.90888579989303</v>
      </c>
      <c r="I21" s="172">
        <v>-11690.3555199069</v>
      </c>
      <c r="J21" s="172">
        <v>-108895.077380894</v>
      </c>
      <c r="K21" s="172">
        <v>43531.828910819997</v>
      </c>
      <c r="L21" s="172">
        <v>-3214.1824891881201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-1.0568646757747E-7</v>
      </c>
      <c r="H22" s="172">
        <v>-829.90888591971998</v>
      </c>
      <c r="I22" s="172">
        <v>-11690.355501386401</v>
      </c>
      <c r="J22" s="172">
        <v>-91873.850919257296</v>
      </c>
      <c r="K22" s="172">
        <v>2615.5845911817601</v>
      </c>
      <c r="L22" s="172">
        <v>-309.50138888684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-1.05681692730286E-7</v>
      </c>
      <c r="H23" s="172">
        <v>-829.908885920015</v>
      </c>
      <c r="I23" s="172">
        <v>-11690.355501386</v>
      </c>
      <c r="J23" s="172">
        <v>-91873.850919254604</v>
      </c>
      <c r="K23" s="172">
        <v>43531.828846034397</v>
      </c>
      <c r="L23" s="172">
        <v>-3214.1824896061898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260828.298750488</v>
      </c>
      <c r="H24" s="172">
        <v>-4.2772821871039898E-6</v>
      </c>
      <c r="I24" s="172">
        <v>-4.1427867358834198E-8</v>
      </c>
      <c r="J24" s="172">
        <v>3.1278204914997298E-5</v>
      </c>
      <c r="K24" s="172">
        <v>1935192.22960798</v>
      </c>
      <c r="L24" s="172">
        <v>-2151790.9190609101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301171.15875048999</v>
      </c>
      <c r="H25" s="172">
        <v>-4.2769948436216501E-6</v>
      </c>
      <c r="I25" s="172">
        <v>-4.1434759623371098E-8</v>
      </c>
      <c r="J25" s="172">
        <v>3.12754721107922E-5</v>
      </c>
      <c r="K25" s="172">
        <v>2243152.96960815</v>
      </c>
      <c r="L25" s="172">
        <v>-2512462.2669659099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-1.06897459772881E-7</v>
      </c>
      <c r="H26" s="172">
        <v>-23824.588777467001</v>
      </c>
      <c r="I26" s="172">
        <v>-1443.6573082371899</v>
      </c>
      <c r="J26" s="172">
        <v>181291.161324949</v>
      </c>
      <c r="K26" s="172">
        <v>2841.5532208422601</v>
      </c>
      <c r="L26" s="172">
        <v>-44380.159950677698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-1.06448169390205E-7</v>
      </c>
      <c r="H27" s="172">
        <v>-23824.588777472101</v>
      </c>
      <c r="I27" s="172">
        <v>-1443.6573082371101</v>
      </c>
      <c r="J27" s="172">
        <v>181291.16132499601</v>
      </c>
      <c r="K27" s="172">
        <v>7894.3537996766099</v>
      </c>
      <c r="L27" s="172">
        <v>-127766.220671826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-1.0756775736808799E-7</v>
      </c>
      <c r="H28" s="172">
        <v>-23824.588777285899</v>
      </c>
      <c r="I28" s="172">
        <v>-1443.6573404922999</v>
      </c>
      <c r="J28" s="172">
        <v>147714.32946663699</v>
      </c>
      <c r="K28" s="172">
        <v>2841.5532820978301</v>
      </c>
      <c r="L28" s="172">
        <v>-44380.159950279602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-1.0724033927545E-7</v>
      </c>
      <c r="H29" s="172">
        <v>-23824.588777290501</v>
      </c>
      <c r="I29" s="172">
        <v>-1443.6573404923199</v>
      </c>
      <c r="J29" s="172">
        <v>147714.329466678</v>
      </c>
      <c r="K29" s="172">
        <v>7894.3539738241698</v>
      </c>
      <c r="L29" s="172">
        <v>-127766.220670792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-1.5598379832226799E-7</v>
      </c>
      <c r="H30" s="172">
        <v>-1641.6980875719701</v>
      </c>
      <c r="I30" s="172">
        <v>-23805.121969091699</v>
      </c>
      <c r="J30" s="172">
        <v>-216290.269631598</v>
      </c>
      <c r="K30" s="172">
        <v>43531.828910370597</v>
      </c>
      <c r="L30" s="172">
        <v>-3214.1824883968802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-1.55965608428232E-7</v>
      </c>
      <c r="H31" s="172">
        <v>-1641.69808757224</v>
      </c>
      <c r="I31" s="172">
        <v>-23805.121969091499</v>
      </c>
      <c r="J31" s="172">
        <v>-216290.26963160199</v>
      </c>
      <c r="K31" s="172">
        <v>126849.75580219099</v>
      </c>
      <c r="L31" s="172">
        <v>-8960.1257948994407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-1.5510272532992499E-7</v>
      </c>
      <c r="H32" s="172">
        <v>-1641.6980877641099</v>
      </c>
      <c r="I32" s="172">
        <v>-23805.121934982901</v>
      </c>
      <c r="J32" s="172">
        <v>-180537.951737486</v>
      </c>
      <c r="K32" s="172">
        <v>43531.828845595199</v>
      </c>
      <c r="L32" s="172">
        <v>-3214.1824888196502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-1.55120687850285E-7</v>
      </c>
      <c r="H33" s="172">
        <v>-1641.6980877645401</v>
      </c>
      <c r="I33" s="172">
        <v>-23805.121934981998</v>
      </c>
      <c r="J33" s="172">
        <v>-180537.95173747701</v>
      </c>
      <c r="K33" s="172">
        <v>126849.755618034</v>
      </c>
      <c r="L33" s="172">
        <v>-8960.1257959944505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539885.25750152802</v>
      </c>
      <c r="H34" s="172">
        <v>-6.0603283600357801E-6</v>
      </c>
      <c r="I34" s="172">
        <v>-2.08081587516062E-8</v>
      </c>
      <c r="J34" s="172">
        <v>4.3924957026320003E-5</v>
      </c>
      <c r="K34" s="172">
        <v>4030161.14422348</v>
      </c>
      <c r="L34" s="172">
        <v>-4384301.4660324603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580228.11750152905</v>
      </c>
      <c r="H35" s="172">
        <v>-6.0598995901273198E-6</v>
      </c>
      <c r="I35" s="172">
        <v>-2.08258796874361E-8</v>
      </c>
      <c r="J35" s="172">
        <v>4.3920847701883799E-5</v>
      </c>
      <c r="K35" s="172">
        <v>4338121.8842235701</v>
      </c>
      <c r="L35" s="172">
        <v>-4744972.8139436897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-1.4838224160484999E-7</v>
      </c>
      <c r="H36" s="172">
        <v>-34062.196494037198</v>
      </c>
      <c r="I36" s="172">
        <v>-2025.2098805836299</v>
      </c>
      <c r="J36" s="172">
        <v>260766.860925574</v>
      </c>
      <c r="K36" s="172">
        <v>7894.3537988811304</v>
      </c>
      <c r="L36" s="172">
        <v>-127766.220671106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-1.4814213500358199E-7</v>
      </c>
      <c r="H37" s="172">
        <v>-34062.196494035401</v>
      </c>
      <c r="I37" s="172">
        <v>-2025.2098805835601</v>
      </c>
      <c r="J37" s="172">
        <v>260766.86092556</v>
      </c>
      <c r="K37" s="172">
        <v>14982.588380925799</v>
      </c>
      <c r="L37" s="172">
        <v>-246983.908400238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-1.51057975017466E-7</v>
      </c>
      <c r="H38" s="172">
        <v>-34062.196493443204</v>
      </c>
      <c r="I38" s="172">
        <v>-2025.2099294631801</v>
      </c>
      <c r="J38" s="172">
        <v>212281.29855048799</v>
      </c>
      <c r="K38" s="172">
        <v>7894.3539730069997</v>
      </c>
      <c r="L38" s="172">
        <v>-127766.220670048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-1.5092518879100699E-7</v>
      </c>
      <c r="H39" s="172">
        <v>-34062.196493441297</v>
      </c>
      <c r="I39" s="172">
        <v>-2025.2099294632301</v>
      </c>
      <c r="J39" s="172">
        <v>212281.29855047099</v>
      </c>
      <c r="K39" s="172">
        <v>14982.588726129299</v>
      </c>
      <c r="L39" s="172">
        <v>-246983.90839709801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-2.3555912775918799E-7</v>
      </c>
      <c r="H40" s="172">
        <v>-2312.0070562373899</v>
      </c>
      <c r="I40" s="172">
        <v>-34016.330179233701</v>
      </c>
      <c r="J40" s="172">
        <v>-306926.32877869398</v>
      </c>
      <c r="K40" s="172">
        <v>126849.755801461</v>
      </c>
      <c r="L40" s="172">
        <v>-8960.1257936218408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-2.3561551643069799E-7</v>
      </c>
      <c r="H41" s="172">
        <v>-2312.0070562372398</v>
      </c>
      <c r="I41" s="172">
        <v>-34016.330179233402</v>
      </c>
      <c r="J41" s="172">
        <v>-306926.328778692</v>
      </c>
      <c r="K41" s="172">
        <v>245906.911428778</v>
      </c>
      <c r="L41" s="172">
        <v>-17052.150490451699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-2.3249617697729301E-7</v>
      </c>
      <c r="H42" s="172">
        <v>-2312.0070568661899</v>
      </c>
      <c r="I42" s="172">
        <v>-34016.3301275509</v>
      </c>
      <c r="J42" s="172">
        <v>-255364.496161313</v>
      </c>
      <c r="K42" s="172">
        <v>126849.75561732599</v>
      </c>
      <c r="L42" s="172">
        <v>-8960.12579474423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-2.32536876865197E-7</v>
      </c>
      <c r="H43" s="172">
        <v>-2312.0070568660799</v>
      </c>
      <c r="I43" s="172">
        <v>-34016.330127549998</v>
      </c>
      <c r="J43" s="172">
        <v>-255364.49616130401</v>
      </c>
      <c r="K43" s="172">
        <v>245906.91106375301</v>
      </c>
      <c r="L43" s="172">
        <v>-17052.1504937752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818942.216250706</v>
      </c>
      <c r="H44" s="172">
        <v>-8.1514040175534302E-6</v>
      </c>
      <c r="I44" s="172">
        <v>-1.46708345027946E-7</v>
      </c>
      <c r="J44" s="172">
        <v>5.6252069043694098E-5</v>
      </c>
      <c r="K44" s="172">
        <v>6125130.0588234002</v>
      </c>
      <c r="L44" s="172">
        <v>-6616812.0129944403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859285.07625070901</v>
      </c>
      <c r="H45" s="172">
        <v>-8.1515636907170102E-6</v>
      </c>
      <c r="I45" s="172">
        <v>-1.46715066762226E-7</v>
      </c>
      <c r="J45" s="172">
        <v>5.6253350066981498E-5</v>
      </c>
      <c r="K45" s="172">
        <v>6433090.7988239396</v>
      </c>
      <c r="L45" s="172">
        <v>-6977483.3609130001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-1.71128704096191E-7</v>
      </c>
      <c r="H46" s="172">
        <v>-42789.783776112599</v>
      </c>
      <c r="I46" s="172">
        <v>-2514.75052675078</v>
      </c>
      <c r="J46" s="172">
        <v>328578.83597730898</v>
      </c>
      <c r="K46" s="172">
        <v>14982.5883801827</v>
      </c>
      <c r="L46" s="172">
        <v>-246983.90839995499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-1.71065039467067E-7</v>
      </c>
      <c r="H47" s="172">
        <v>-42789.783776115502</v>
      </c>
      <c r="I47" s="172">
        <v>-2514.7505267507299</v>
      </c>
      <c r="J47" s="172">
        <v>328578.83597733499</v>
      </c>
      <c r="K47" s="172">
        <v>23784.215223810599</v>
      </c>
      <c r="L47" s="172">
        <v>-396748.15161635401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-1.76398316398263E-7</v>
      </c>
      <c r="H48" s="172">
        <v>-42789.783775229902</v>
      </c>
      <c r="I48" s="172">
        <v>-2514.7505883722401</v>
      </c>
      <c r="J48" s="172">
        <v>267373.25513223902</v>
      </c>
      <c r="K48" s="172">
        <v>14982.5887253523</v>
      </c>
      <c r="L48" s="172">
        <v>-246983.90839678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-1.76187313627452E-7</v>
      </c>
      <c r="H49" s="172">
        <v>-42789.783775233002</v>
      </c>
      <c r="I49" s="172">
        <v>-2514.7505883721701</v>
      </c>
      <c r="J49" s="172">
        <v>267373.25513226702</v>
      </c>
      <c r="K49" s="172">
        <v>23784.215784656899</v>
      </c>
      <c r="L49" s="172">
        <v>-396748.15161009203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-3.4157528716605199E-7</v>
      </c>
      <c r="H50" s="172">
        <v>-2876.54976134039</v>
      </c>
      <c r="I50" s="172">
        <v>-42631.314314384603</v>
      </c>
      <c r="J50" s="172">
        <v>-383402.24554874899</v>
      </c>
      <c r="K50" s="172">
        <v>245906.91142793099</v>
      </c>
      <c r="L50" s="172">
        <v>-17052.150488828898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-3.4162258089054402E-7</v>
      </c>
      <c r="H51" s="172">
        <v>-2876.5497613406001</v>
      </c>
      <c r="I51" s="172">
        <v>-42631.314314383497</v>
      </c>
      <c r="J51" s="172">
        <v>-383402.24554873398</v>
      </c>
      <c r="K51" s="172">
        <v>395116.51152827602</v>
      </c>
      <c r="L51" s="172">
        <v>-27120.074653520001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-3.3615197025938002E-7</v>
      </c>
      <c r="H52" s="172">
        <v>-2876.5497622732801</v>
      </c>
      <c r="I52" s="172">
        <v>-42631.314249236399</v>
      </c>
      <c r="J52" s="172">
        <v>-318500.73024999601</v>
      </c>
      <c r="K52" s="172">
        <v>245906.911062942</v>
      </c>
      <c r="L52" s="172">
        <v>-17052.150492188699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-3.3620017347857398E-7</v>
      </c>
      <c r="H53" s="172">
        <v>-2876.5497622735702</v>
      </c>
      <c r="I53" s="172">
        <v>-42631.314249235103</v>
      </c>
      <c r="J53" s="172">
        <v>-318500.73024998</v>
      </c>
      <c r="K53" s="172">
        <v>395116.51093526703</v>
      </c>
      <c r="L53" s="172">
        <v>-27120.074660144899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1097999.17500098</v>
      </c>
      <c r="H54" s="172">
        <v>-1.0040835604741E-5</v>
      </c>
      <c r="I54" s="172">
        <v>-2.0988440496694199E-7</v>
      </c>
      <c r="J54" s="172">
        <v>6.7887366867580595E-5</v>
      </c>
      <c r="K54" s="172">
        <v>8220098.9734304603</v>
      </c>
      <c r="L54" s="172">
        <v>-8849322.5599745791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1138342.0350009899</v>
      </c>
      <c r="H55" s="172">
        <v>-1.00406465435299E-5</v>
      </c>
      <c r="I55" s="172">
        <v>-2.09891311442334E-7</v>
      </c>
      <c r="J55" s="172">
        <v>6.7885526959798894E-5</v>
      </c>
      <c r="K55" s="172">
        <v>8528059.7134312</v>
      </c>
      <c r="L55" s="172">
        <v>-9209993.9078997504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-1.94388121599331E-7</v>
      </c>
      <c r="H56" s="172">
        <v>-50324.308237647099</v>
      </c>
      <c r="I56" s="172">
        <v>-2938.5823625062299</v>
      </c>
      <c r="J56" s="172">
        <v>387109.488017375</v>
      </c>
      <c r="K56" s="172">
        <v>23784.215223573199</v>
      </c>
      <c r="L56" s="172">
        <v>-396748.15161602403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-1.9399521988816599E-7</v>
      </c>
      <c r="H57" s="172">
        <v>-50324.308237649399</v>
      </c>
      <c r="I57" s="172">
        <v>-2938.5823625061798</v>
      </c>
      <c r="J57" s="172">
        <v>387109.48801739601</v>
      </c>
      <c r="K57" s="172">
        <v>34069.253492348798</v>
      </c>
      <c r="L57" s="172">
        <v>-572883.23044779804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-2.00117938220501E-7</v>
      </c>
      <c r="H58" s="172">
        <v>-50324.308236718003</v>
      </c>
      <c r="I58" s="172">
        <v>-2938.5824342005499</v>
      </c>
      <c r="J58" s="172">
        <v>314924.71661081002</v>
      </c>
      <c r="K58" s="172">
        <v>23784.2157844133</v>
      </c>
      <c r="L58" s="172">
        <v>-396748.15160975402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-1.99510395759717E-7</v>
      </c>
      <c r="H59" s="172">
        <v>-50324.308236719997</v>
      </c>
      <c r="I59" s="172">
        <v>-2938.5824342005299</v>
      </c>
      <c r="J59" s="172">
        <v>314924.71661082801</v>
      </c>
      <c r="K59" s="172">
        <v>34069.254304120499</v>
      </c>
      <c r="L59" s="172">
        <v>-572883.23043827806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-3.5523044061846999E-7</v>
      </c>
      <c r="H60" s="172">
        <v>-3365.3388910898798</v>
      </c>
      <c r="I60" s="172">
        <v>-50015.762835374699</v>
      </c>
      <c r="J60" s="172">
        <v>-448914.06999139697</v>
      </c>
      <c r="K60" s="172">
        <v>395116.51152808801</v>
      </c>
      <c r="L60" s="172">
        <v>-27120.074653303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-3.5524135455489201E-7</v>
      </c>
      <c r="H61" s="172">
        <v>-3365.3388910900198</v>
      </c>
      <c r="I61" s="172">
        <v>-50015.762835374197</v>
      </c>
      <c r="J61" s="172">
        <v>-448914.06999139203</v>
      </c>
      <c r="K61" s="172">
        <v>570171.68145190005</v>
      </c>
      <c r="L61" s="172">
        <v>-38898.760772117501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-3.4916411095764499E-7</v>
      </c>
      <c r="H62" s="172">
        <v>-3365.3388920719999</v>
      </c>
      <c r="I62" s="172">
        <v>-50015.762759588099</v>
      </c>
      <c r="J62" s="172">
        <v>-372585.83770143898</v>
      </c>
      <c r="K62" s="172">
        <v>395116.51093508501</v>
      </c>
      <c r="L62" s="172">
        <v>-27120.074659936599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-3.4913682611659201E-7</v>
      </c>
      <c r="H63" s="172">
        <v>-3365.33889207223</v>
      </c>
      <c r="I63" s="172">
        <v>-50015.762759587597</v>
      </c>
      <c r="J63" s="172">
        <v>-372585.83770143299</v>
      </c>
      <c r="K63" s="172">
        <v>570171.68059364299</v>
      </c>
      <c r="L63" s="172">
        <v>-38898.7607821891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1377056.13375152</v>
      </c>
      <c r="H64" s="172">
        <v>-1.0904334544648E-5</v>
      </c>
      <c r="I64" s="172">
        <v>-4.0809150902987302E-7</v>
      </c>
      <c r="J64" s="172">
        <v>7.1794923087509205E-5</v>
      </c>
      <c r="K64" s="172">
        <v>10315067.888046499</v>
      </c>
      <c r="L64" s="172">
        <v>-11081833.1069618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1417398.9937515201</v>
      </c>
      <c r="H65" s="172">
        <v>-1.0904191981353499E-5</v>
      </c>
      <c r="I65" s="172">
        <v>-4.0809591439483499E-7</v>
      </c>
      <c r="J65" s="172">
        <v>7.1793561119193301E-5</v>
      </c>
      <c r="K65" s="172">
        <v>10623028.6280479</v>
      </c>
      <c r="L65" s="172">
        <v>-11442504.45489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-2.9787406674586199E-7</v>
      </c>
      <c r="H66" s="172">
        <v>-56888.977665334904</v>
      </c>
      <c r="I66" s="172">
        <v>-3308.4516573173701</v>
      </c>
      <c r="J66" s="172">
        <v>438100.39542047901</v>
      </c>
      <c r="K66" s="172">
        <v>34069.253491560201</v>
      </c>
      <c r="L66" s="172">
        <v>-572883.230446195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-2.9800503398291798E-7</v>
      </c>
      <c r="H67" s="172">
        <v>-56888.977665333303</v>
      </c>
      <c r="I67" s="172">
        <v>-3308.45165731731</v>
      </c>
      <c r="J67" s="172">
        <v>438100.39542046603</v>
      </c>
      <c r="K67" s="172">
        <v>45648.834292169799</v>
      </c>
      <c r="L67" s="172">
        <v>-771994.65227486298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-3.0597402655985201E-7</v>
      </c>
      <c r="H68" s="172">
        <v>-56888.977664453203</v>
      </c>
      <c r="I68" s="172">
        <v>-3308.4517389182502</v>
      </c>
      <c r="J68" s="172">
        <v>356350.67055193498</v>
      </c>
      <c r="K68" s="172">
        <v>34069.254303302703</v>
      </c>
      <c r="L68" s="172">
        <v>-572883.23043663905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-3.0595037969760602E-7</v>
      </c>
      <c r="H69" s="172">
        <v>-56888.977664451697</v>
      </c>
      <c r="I69" s="172">
        <v>-3308.4517389181301</v>
      </c>
      <c r="J69" s="172">
        <v>356350.67055192398</v>
      </c>
      <c r="K69" s="172">
        <v>45648.835389516302</v>
      </c>
      <c r="L69" s="172">
        <v>-771994.652262224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-3.6990604712627802E-7</v>
      </c>
      <c r="H70" s="172">
        <v>-3792.5167026824802</v>
      </c>
      <c r="I70" s="172">
        <v>-56448.064693728702</v>
      </c>
      <c r="J70" s="172">
        <v>-505967.11202693998</v>
      </c>
      <c r="K70" s="172">
        <v>570171.68145153404</v>
      </c>
      <c r="L70" s="172">
        <v>-38898.760771859103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-3.6994606489315603E-7</v>
      </c>
      <c r="H71" s="172">
        <v>-3792.5167026823801</v>
      </c>
      <c r="I71" s="172">
        <v>-56448.064693727501</v>
      </c>
      <c r="J71" s="172">
        <v>-505967.112026927</v>
      </c>
      <c r="K71" s="172">
        <v>767739.90787958296</v>
      </c>
      <c r="L71" s="172">
        <v>-52172.5692312471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-3.6138044379185901E-7</v>
      </c>
      <c r="H72" s="172">
        <v>-3792.5167036141502</v>
      </c>
      <c r="I72" s="172">
        <v>-56448.064607477798</v>
      </c>
      <c r="J72" s="172">
        <v>-419687.70724688499</v>
      </c>
      <c r="K72" s="172">
        <v>570171.68059330399</v>
      </c>
      <c r="L72" s="172">
        <v>-38898.760781965699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-3.6141682357992998E-7</v>
      </c>
      <c r="H73" s="172">
        <v>-3792.5167036140001</v>
      </c>
      <c r="I73" s="172">
        <v>-56448.064607476997</v>
      </c>
      <c r="J73" s="172">
        <v>-419687.70724687801</v>
      </c>
      <c r="K73" s="172">
        <v>767739.90671947598</v>
      </c>
      <c r="L73" s="172">
        <v>-52172.569244614497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1656113.09250095</v>
      </c>
      <c r="H74" s="172">
        <v>-1.1820657618955E-5</v>
      </c>
      <c r="I74" s="172">
        <v>-4.7770494404630902E-7</v>
      </c>
      <c r="J74" s="172">
        <v>7.7369964856188704E-5</v>
      </c>
      <c r="K74" s="172">
        <v>12410036.802654101</v>
      </c>
      <c r="L74" s="172">
        <v>-13314343.6539382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1696455.9525009501</v>
      </c>
      <c r="H75" s="172">
        <v>-1.18207436230477E-5</v>
      </c>
      <c r="I75" s="172">
        <v>-4.7770845412742304E-7</v>
      </c>
      <c r="J75" s="172">
        <v>7.7370669259835295E-5</v>
      </c>
      <c r="K75" s="172">
        <v>12717997.5426558</v>
      </c>
      <c r="L75" s="172">
        <v>-13675015.0018696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-3.5156335798092202E-7</v>
      </c>
      <c r="H76" s="172">
        <v>-62610.666146133299</v>
      </c>
      <c r="I76" s="172">
        <v>-3630.4533717593199</v>
      </c>
      <c r="J76" s="172">
        <v>482488.25926865498</v>
      </c>
      <c r="K76" s="172">
        <v>45648.834291445201</v>
      </c>
      <c r="L76" s="172">
        <v>-771994.65227410302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-3.5138145904056701E-7</v>
      </c>
      <c r="H77" s="172">
        <v>-62610.666146135402</v>
      </c>
      <c r="I77" s="172">
        <v>-3630.4533717593199</v>
      </c>
      <c r="J77" s="172">
        <v>482488.259268675</v>
      </c>
      <c r="K77" s="172">
        <v>58355.4210926046</v>
      </c>
      <c r="L77" s="172">
        <v>-991131.98378557502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-3.6421261029318002E-7</v>
      </c>
      <c r="H78" s="172">
        <v>-62610.666144722702</v>
      </c>
      <c r="I78" s="172">
        <v>-3630.4534622397</v>
      </c>
      <c r="J78" s="172">
        <v>392401.21988937299</v>
      </c>
      <c r="K78" s="172">
        <v>45648.835388742598</v>
      </c>
      <c r="L78" s="172">
        <v>-771994.65226139303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-3.6398341762833303E-7</v>
      </c>
      <c r="H79" s="172">
        <v>-62610.666144724499</v>
      </c>
      <c r="I79" s="172">
        <v>-3630.45346223974</v>
      </c>
      <c r="J79" s="172">
        <v>392401.219889389</v>
      </c>
      <c r="K79" s="172">
        <v>58355.422506583498</v>
      </c>
      <c r="L79" s="172">
        <v>-991131.98376792902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-4.4367698137648398E-7</v>
      </c>
      <c r="H80" s="172">
        <v>-4164.7366508353698</v>
      </c>
      <c r="I80" s="172">
        <v>-62094.687625196602</v>
      </c>
      <c r="J80" s="172">
        <v>-556377.83179239102</v>
      </c>
      <c r="K80" s="172">
        <v>767739.90787883499</v>
      </c>
      <c r="L80" s="172">
        <v>-52172.569230059104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-4.4371699914336199E-7</v>
      </c>
      <c r="H81" s="172">
        <v>-4164.7366508354899</v>
      </c>
      <c r="I81" s="172">
        <v>-62094.687625196799</v>
      </c>
      <c r="J81" s="172">
        <v>-556377.83179239405</v>
      </c>
      <c r="K81" s="172">
        <v>985071.31456702296</v>
      </c>
      <c r="L81" s="172">
        <v>-66749.147507982503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-4.3027466745115801E-7</v>
      </c>
      <c r="H82" s="172">
        <v>-4164.7366523274004</v>
      </c>
      <c r="I82" s="172">
        <v>-62094.687529568</v>
      </c>
      <c r="J82" s="172">
        <v>-461358.44006331899</v>
      </c>
      <c r="K82" s="172">
        <v>767739.90671877901</v>
      </c>
      <c r="L82" s="172">
        <v>-52172.569243499798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-4.30298314313404E-7</v>
      </c>
      <c r="H83" s="172">
        <v>-4164.7366523275796</v>
      </c>
      <c r="I83" s="172">
        <v>-62094.687529568197</v>
      </c>
      <c r="J83" s="172">
        <v>-461358.44006332202</v>
      </c>
      <c r="K83" s="172">
        <v>985071.31307226804</v>
      </c>
      <c r="L83" s="172">
        <v>-66749.147526645698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1935829.1392512601</v>
      </c>
      <c r="H84" s="172">
        <v>-1.33332640075423E-5</v>
      </c>
      <c r="I84" s="172">
        <v>-5.7628928118447199E-7</v>
      </c>
      <c r="J84" s="172">
        <v>8.5955603708498502E-5</v>
      </c>
      <c r="K84" s="172">
        <v>14509298.686953699</v>
      </c>
      <c r="L84" s="172">
        <v>-15557399.608929001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1976171.99925126</v>
      </c>
      <c r="H85" s="172">
        <v>-1.3333174138097099E-5</v>
      </c>
      <c r="I85" s="172">
        <v>-5.7629257810276602E-7</v>
      </c>
      <c r="J85" s="172">
        <v>8.5954748101357796E-5</v>
      </c>
      <c r="K85" s="172">
        <v>14817259.4269557</v>
      </c>
      <c r="L85" s="172">
        <v>-15918070.9568657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-3.7374229577835602E-7</v>
      </c>
      <c r="H86" s="172">
        <v>-67448.923034642896</v>
      </c>
      <c r="I86" s="172">
        <v>-3904.6325382487798</v>
      </c>
      <c r="J86" s="172">
        <v>520004.66403086699</v>
      </c>
      <c r="K86" s="172">
        <v>58355.421092306402</v>
      </c>
      <c r="L86" s="172">
        <v>-991131.98378530506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-3.7346399039961398E-7</v>
      </c>
      <c r="H87" s="172">
        <v>-67448.923034643798</v>
      </c>
      <c r="I87" s="172">
        <v>-3904.6325382487798</v>
      </c>
      <c r="J87" s="172">
        <v>520004.66403087502</v>
      </c>
      <c r="K87" s="172">
        <v>72021.634976179499</v>
      </c>
      <c r="L87" s="172">
        <v>-1227203.2144065599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-3.89398337574676E-7</v>
      </c>
      <c r="H88" s="172">
        <v>-67448.923033528205</v>
      </c>
      <c r="I88" s="172">
        <v>-3904.6326344020899</v>
      </c>
      <c r="J88" s="172">
        <v>422870.72202755202</v>
      </c>
      <c r="K88" s="172">
        <v>58355.422506253599</v>
      </c>
      <c r="L88" s="172">
        <v>-991131.98376761097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-3.8928192225284901E-7</v>
      </c>
      <c r="H89" s="172">
        <v>-67448.923033529107</v>
      </c>
      <c r="I89" s="172">
        <v>-3904.63263440218</v>
      </c>
      <c r="J89" s="172">
        <v>422870.72202755901</v>
      </c>
      <c r="K89" s="172">
        <v>72021.6367266624</v>
      </c>
      <c r="L89" s="172">
        <v>-1227203.21438496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-4.8464426072314403E-7</v>
      </c>
      <c r="H90" s="172">
        <v>-4482.2658722776996</v>
      </c>
      <c r="I90" s="172">
        <v>-66930.121148757695</v>
      </c>
      <c r="J90" s="172">
        <v>-599556.68476156704</v>
      </c>
      <c r="K90" s="172">
        <v>985071.31456662598</v>
      </c>
      <c r="L90" s="172">
        <v>-66749.147507348607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-4.8465517465956499E-7</v>
      </c>
      <c r="H91" s="172">
        <v>-4482.2658722777696</v>
      </c>
      <c r="I91" s="172">
        <v>-66930.121148758102</v>
      </c>
      <c r="J91" s="172">
        <v>-599556.68476157403</v>
      </c>
      <c r="K91" s="172">
        <v>1219326.73858728</v>
      </c>
      <c r="L91" s="172">
        <v>-82437.078060320506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-4.6797686081845297E-7</v>
      </c>
      <c r="H92" s="172">
        <v>-4482.2658734561101</v>
      </c>
      <c r="I92" s="172">
        <v>-66930.121047135297</v>
      </c>
      <c r="J92" s="172">
        <v>-497050.99799570203</v>
      </c>
      <c r="K92" s="172">
        <v>985071.31307190505</v>
      </c>
      <c r="L92" s="172">
        <v>-66749.147526061395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-4.6799686970189198E-7</v>
      </c>
      <c r="H93" s="172">
        <v>-4482.2658734562101</v>
      </c>
      <c r="I93" s="172">
        <v>-66930.121047135603</v>
      </c>
      <c r="J93" s="172">
        <v>-497050.99799570697</v>
      </c>
      <c r="K93" s="172">
        <v>1219326.7367368799</v>
      </c>
      <c r="L93" s="172">
        <v>-82437.078083157699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2215545.1860017101</v>
      </c>
      <c r="H94" s="172">
        <v>-1.2748679125707001E-5</v>
      </c>
      <c r="I94" s="172">
        <v>-6.7182753227257297E-7</v>
      </c>
      <c r="J94" s="172">
        <v>8.0218210541716003E-5</v>
      </c>
      <c r="K94" s="172">
        <v>16608560.5712563</v>
      </c>
      <c r="L94" s="172">
        <v>-17800455.5639272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2255888.04600171</v>
      </c>
      <c r="H95" s="172">
        <v>-1.27486496239726E-5</v>
      </c>
      <c r="I95" s="172">
        <v>-6.7183020746597301E-7</v>
      </c>
      <c r="J95" s="172">
        <v>8.0217903814627803E-5</v>
      </c>
      <c r="K95" s="172">
        <v>16916521.3112587</v>
      </c>
      <c r="L95" s="172">
        <v>-18161126.9118619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-4.0729355532675997E-7</v>
      </c>
      <c r="H96" s="172">
        <v>-71192.985367223198</v>
      </c>
      <c r="I96" s="172">
        <v>-4122.9635808360699</v>
      </c>
      <c r="J96" s="172">
        <v>548978.20831487805</v>
      </c>
      <c r="K96" s="172">
        <v>72021.634975815803</v>
      </c>
      <c r="L96" s="172">
        <v>-1227203.21440619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-4.07271727453917E-7</v>
      </c>
      <c r="H97" s="172">
        <v>-71192.985367224101</v>
      </c>
      <c r="I97" s="172">
        <v>-4122.9635808360599</v>
      </c>
      <c r="J97" s="172">
        <v>548978.20831488597</v>
      </c>
      <c r="K97" s="172">
        <v>86452.007508742099</v>
      </c>
      <c r="L97" s="172">
        <v>-1476378.6631914701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-4.2765896068885901E-7</v>
      </c>
      <c r="H98" s="172">
        <v>-71192.985366002904</v>
      </c>
      <c r="I98" s="172">
        <v>-4122.9636814498199</v>
      </c>
      <c r="J98" s="172">
        <v>446401.21583320602</v>
      </c>
      <c r="K98" s="172">
        <v>72021.636726249693</v>
      </c>
      <c r="L98" s="172">
        <v>-1227203.21438452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-4.2757528717629601E-7</v>
      </c>
      <c r="H99" s="172">
        <v>-71192.985366003806</v>
      </c>
      <c r="I99" s="172">
        <v>-4122.9636814498499</v>
      </c>
      <c r="J99" s="172">
        <v>446401.21583321301</v>
      </c>
      <c r="K99" s="172">
        <v>86452.009611324596</v>
      </c>
      <c r="L99" s="172">
        <v>-1476378.66316553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-5.2439281716942798E-7</v>
      </c>
      <c r="H100" s="172">
        <v>-4735.3113948381397</v>
      </c>
      <c r="I100" s="172">
        <v>-70726.263402250406</v>
      </c>
      <c r="J100" s="172">
        <v>-633423.79963672406</v>
      </c>
      <c r="K100" s="172">
        <v>1219326.73858685</v>
      </c>
      <c r="L100" s="172">
        <v>-82437.078059651394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-5.2439281716942798E-7</v>
      </c>
      <c r="H101" s="172">
        <v>-4735.3113948381997</v>
      </c>
      <c r="I101" s="172">
        <v>-70726.263402250697</v>
      </c>
      <c r="J101" s="172">
        <v>-633423.79963672697</v>
      </c>
      <c r="K101" s="172">
        <v>1466868.6604947301</v>
      </c>
      <c r="L101" s="172">
        <v>-99010.667941585198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-5.0284870667383096E-7</v>
      </c>
      <c r="H102" s="172">
        <v>-4735.3113961281097</v>
      </c>
      <c r="I102" s="172">
        <v>-70726.263295912795</v>
      </c>
      <c r="J102" s="172">
        <v>-525046.69869332295</v>
      </c>
      <c r="K102" s="172">
        <v>1219326.7367364999</v>
      </c>
      <c r="L102" s="172">
        <v>-82437.078082565495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-5.0287053454667298E-7</v>
      </c>
      <c r="H103" s="172">
        <v>-4735.3113961281997</v>
      </c>
      <c r="I103" s="172">
        <v>-70726.263295912999</v>
      </c>
      <c r="J103" s="172">
        <v>-525046.69869332598</v>
      </c>
      <c r="K103" s="172">
        <v>1466868.6582722</v>
      </c>
      <c r="L103" s="172">
        <v>-99010.667969013593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2495261.2327521001</v>
      </c>
      <c r="H104" s="172">
        <v>-1.2942959926931499E-5</v>
      </c>
      <c r="I104" s="172">
        <v>-7.7152294863935801E-7</v>
      </c>
      <c r="J104" s="172">
        <v>7.99394899786421E-5</v>
      </c>
      <c r="K104" s="172">
        <v>18707822.455557998</v>
      </c>
      <c r="L104" s="172">
        <v>-20043511.518922102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2535604.0927521</v>
      </c>
      <c r="H105" s="172">
        <v>-1.2942931903126001E-5</v>
      </c>
      <c r="I105" s="172">
        <v>-7.7152459709850497E-7</v>
      </c>
      <c r="J105" s="172">
        <v>7.9939229635783704E-5</v>
      </c>
      <c r="K105" s="172">
        <v>19015783.195560701</v>
      </c>
      <c r="L105" s="172">
        <v>-20404182.866857398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-4.1866587707772899E-7</v>
      </c>
      <c r="H106" s="172">
        <v>-73390.501073398103</v>
      </c>
      <c r="I106" s="172">
        <v>-4257.5585353841398</v>
      </c>
      <c r="J106" s="172">
        <v>565927.17003743595</v>
      </c>
      <c r="K106" s="172">
        <v>86452.007508643699</v>
      </c>
      <c r="L106" s="172">
        <v>-1476378.66319136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-4.1864404920488601E-7</v>
      </c>
      <c r="H107" s="172">
        <v>-73390.501073398002</v>
      </c>
      <c r="I107" s="172">
        <v>-4257.5585353841398</v>
      </c>
      <c r="J107" s="172">
        <v>565927.17003743502</v>
      </c>
      <c r="K107" s="172">
        <v>103482.24165018</v>
      </c>
      <c r="L107" s="172">
        <v>-1769940.6674849601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-4.3621912482194602E-7</v>
      </c>
      <c r="H108" s="172">
        <v>-73390.5010721047</v>
      </c>
      <c r="I108" s="172">
        <v>-4257.5586383953596</v>
      </c>
      <c r="J108" s="172">
        <v>460166.10984134499</v>
      </c>
      <c r="K108" s="172">
        <v>86452.009611261601</v>
      </c>
      <c r="L108" s="172">
        <v>-1476378.6631654601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-4.3619365897029601E-7</v>
      </c>
      <c r="H109" s="172">
        <v>-73390.501072104598</v>
      </c>
      <c r="I109" s="172">
        <v>-4257.5586383953496</v>
      </c>
      <c r="J109" s="172">
        <v>460166.109841344</v>
      </c>
      <c r="K109" s="172">
        <v>103482.244164843</v>
      </c>
      <c r="L109" s="172">
        <v>-1769940.66745388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-5.0807011575670902E-7</v>
      </c>
      <c r="H110" s="172">
        <v>-4890.5927264829897</v>
      </c>
      <c r="I110" s="172">
        <v>-72994.645415308798</v>
      </c>
      <c r="J110" s="172">
        <v>-653691.04483994702</v>
      </c>
      <c r="K110" s="172">
        <v>1466868.6604949599</v>
      </c>
      <c r="L110" s="172">
        <v>-99010.667941841006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-5.0807102525141101E-7</v>
      </c>
      <c r="H111" s="172">
        <v>-4890.5927264829797</v>
      </c>
      <c r="I111" s="172">
        <v>-72994.645415308798</v>
      </c>
      <c r="J111" s="172">
        <v>-653691.04483994702</v>
      </c>
      <c r="K111" s="172">
        <v>1758847.2421561901</v>
      </c>
      <c r="L111" s="172">
        <v>-118573.038847773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-4.8951051212497997E-7</v>
      </c>
      <c r="H112" s="172">
        <v>-4890.5927278502204</v>
      </c>
      <c r="I112" s="172">
        <v>-72994.645306435399</v>
      </c>
      <c r="J112" s="172">
        <v>-541811.79962836194</v>
      </c>
      <c r="K112" s="172">
        <v>1466868.65827239</v>
      </c>
      <c r="L112" s="172">
        <v>-99010.667969225004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-4.8951051212497997E-7</v>
      </c>
      <c r="H113" s="172">
        <v>-4890.5927278502104</v>
      </c>
      <c r="I113" s="172">
        <v>-72994.645306435297</v>
      </c>
      <c r="J113" s="172">
        <v>-541811.79962836194</v>
      </c>
      <c r="K113" s="172">
        <v>1758847.23949813</v>
      </c>
      <c r="L113" s="172">
        <v>-118573.038880626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2845870.2795027299</v>
      </c>
      <c r="H114" s="172">
        <v>-1.2996502562145899E-5</v>
      </c>
      <c r="I114" s="172">
        <v>-8.1319419997782905E-7</v>
      </c>
      <c r="J114" s="172">
        <v>7.95995138105354E-5</v>
      </c>
      <c r="K114" s="172">
        <v>21345197.039864101</v>
      </c>
      <c r="L114" s="172">
        <v>-22817407.273922902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2891559.1395027302</v>
      </c>
      <c r="H115" s="172">
        <v>-1.2996501439488401E-5</v>
      </c>
      <c r="I115" s="172">
        <v>-8.1319353739672796E-7</v>
      </c>
      <c r="J115" s="172">
        <v>7.9599514720030102E-5</v>
      </c>
      <c r="K115" s="172">
        <v>21693981.779867399</v>
      </c>
      <c r="L115" s="172">
        <v>-23223762.6218649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9</xdr:row>
                    <xdr:rowOff>0</xdr:rowOff>
                  </from>
                  <to>
                    <xdr:col>15</xdr:col>
                    <xdr:colOff>510540</xdr:colOff>
                    <xdr:row>49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293" workbookViewId="0">
      <selection activeCell="B436" sqref="B436:G446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191"/>
      <c r="C4" s="191"/>
      <c r="D4" s="191"/>
      <c r="E4" s="191" t="s">
        <v>7</v>
      </c>
      <c r="F4" s="191" t="s">
        <v>7</v>
      </c>
      <c r="G4" s="192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2.5273836366962898E-2</v>
      </c>
      <c r="F6" s="172">
        <v>2.4679031280655399E-2</v>
      </c>
      <c r="G6" s="172">
        <v>1.0241016383318799</v>
      </c>
    </row>
    <row r="7" spans="2:7" s="172" customFormat="1" x14ac:dyDescent="0.3">
      <c r="B7" s="172" t="s">
        <v>187</v>
      </c>
      <c r="C7" s="172" t="s">
        <v>79</v>
      </c>
      <c r="D7" s="172" t="s">
        <v>218</v>
      </c>
      <c r="E7" s="172">
        <v>2.5709558324880401E-2</v>
      </c>
      <c r="F7" s="172">
        <v>2.41035244272979E-2</v>
      </c>
      <c r="G7" s="172">
        <v>1.0666306664997001</v>
      </c>
    </row>
    <row r="8" spans="2:7" s="172" customFormat="1" x14ac:dyDescent="0.3">
      <c r="B8" s="172" t="s">
        <v>185</v>
      </c>
      <c r="C8" s="172" t="s">
        <v>79</v>
      </c>
      <c r="D8" s="172" t="s">
        <v>218</v>
      </c>
      <c r="E8" s="172">
        <v>2.47253538435383E-2</v>
      </c>
      <c r="F8" s="172">
        <v>2.31731100086362E-2</v>
      </c>
      <c r="G8" s="172">
        <v>1.0669847005569699</v>
      </c>
    </row>
    <row r="9" spans="2:7" s="172" customFormat="1" x14ac:dyDescent="0.3">
      <c r="B9" s="172" t="s">
        <v>183</v>
      </c>
      <c r="C9" s="172" t="s">
        <v>79</v>
      </c>
      <c r="D9" s="172" t="s">
        <v>218</v>
      </c>
      <c r="E9" s="172">
        <v>2.3227109743710599E-2</v>
      </c>
      <c r="F9" s="172">
        <v>2.1763637051301101E-2</v>
      </c>
      <c r="G9" s="172">
        <v>1.0672439394647</v>
      </c>
    </row>
    <row r="10" spans="2:7" s="172" customFormat="1" x14ac:dyDescent="0.3">
      <c r="B10" s="172" t="s">
        <v>181</v>
      </c>
      <c r="C10" s="172" t="s">
        <v>79</v>
      </c>
      <c r="D10" s="172" t="s">
        <v>218</v>
      </c>
      <c r="E10" s="172">
        <v>2.12565119350001E-2</v>
      </c>
      <c r="F10" s="172">
        <v>1.9914401557044999E-2</v>
      </c>
      <c r="G10" s="172">
        <v>1.0673939597989299</v>
      </c>
    </row>
    <row r="11" spans="2:7" s="172" customFormat="1" x14ac:dyDescent="0.3">
      <c r="B11" s="172" t="s">
        <v>179</v>
      </c>
      <c r="C11" s="172" t="s">
        <v>79</v>
      </c>
      <c r="D11" s="172" t="s">
        <v>218</v>
      </c>
      <c r="E11" s="172">
        <v>1.88869565716853E-2</v>
      </c>
      <c r="F11" s="172">
        <v>1.7693915280979699E-2</v>
      </c>
      <c r="G11" s="172">
        <v>1.0674266419704199</v>
      </c>
    </row>
    <row r="12" spans="2:7" s="172" customFormat="1" x14ac:dyDescent="0.3">
      <c r="B12" s="172" t="s">
        <v>39</v>
      </c>
      <c r="C12" s="172" t="s">
        <v>79</v>
      </c>
      <c r="D12" s="172" t="s">
        <v>218</v>
      </c>
      <c r="E12" s="172">
        <v>1.6183649179095799E-2</v>
      </c>
      <c r="F12" s="172">
        <v>1.5162819601525801E-2</v>
      </c>
      <c r="G12" s="172">
        <v>1.06732452171806</v>
      </c>
    </row>
    <row r="13" spans="2:7" s="172" customFormat="1" x14ac:dyDescent="0.3">
      <c r="B13" s="172" t="s">
        <v>26</v>
      </c>
      <c r="C13" s="172" t="s">
        <v>79</v>
      </c>
      <c r="D13" s="172" t="s">
        <v>218</v>
      </c>
      <c r="E13" s="172">
        <v>1.3207688339753399E-2</v>
      </c>
      <c r="F13" s="172">
        <v>1.23770870366289E-2</v>
      </c>
      <c r="G13" s="172">
        <v>1.06710797950005</v>
      </c>
    </row>
    <row r="14" spans="2:7" s="172" customFormat="1" x14ac:dyDescent="0.3">
      <c r="B14" s="172" t="s">
        <v>25</v>
      </c>
      <c r="C14" s="172" t="s">
        <v>79</v>
      </c>
      <c r="D14" s="172" t="s">
        <v>218</v>
      </c>
      <c r="E14" s="172">
        <v>1.00150979615176E-2</v>
      </c>
      <c r="F14" s="172">
        <v>9.3885215655863507E-3</v>
      </c>
      <c r="G14" s="172">
        <v>1.06673855852107</v>
      </c>
    </row>
    <row r="15" spans="2:7" x14ac:dyDescent="0.3">
      <c r="B15" s="172" t="s">
        <v>24</v>
      </c>
      <c r="C15" s="172" t="s">
        <v>79</v>
      </c>
      <c r="D15" s="172" t="s">
        <v>218</v>
      </c>
      <c r="E15" s="172">
        <v>6.6659283339869499E-3</v>
      </c>
      <c r="F15" s="172">
        <v>6.2534097395420497E-3</v>
      </c>
      <c r="G15" s="172">
        <v>1.0659669862725301</v>
      </c>
    </row>
    <row r="16" spans="2:7" x14ac:dyDescent="0.3">
      <c r="B16" s="172" t="s">
        <v>22</v>
      </c>
      <c r="C16" s="172" t="s">
        <v>79</v>
      </c>
      <c r="D16" s="172" t="s">
        <v>218</v>
      </c>
      <c r="E16" s="172">
        <v>3.24845232386453E-3</v>
      </c>
      <c r="F16" s="172">
        <v>3.0528251208355099E-3</v>
      </c>
      <c r="G16" s="172">
        <v>1.0640807105830801</v>
      </c>
    </row>
    <row r="17" spans="2:7" hidden="1" x14ac:dyDescent="0.3">
      <c r="B17" s="172" t="s">
        <v>189</v>
      </c>
      <c r="C17" s="172" t="s">
        <v>80</v>
      </c>
      <c r="D17" s="172" t="s">
        <v>218</v>
      </c>
      <c r="E17" s="172">
        <v>2.5978750368885001E-2</v>
      </c>
      <c r="F17" s="172">
        <v>2.5266040686352301E-2</v>
      </c>
      <c r="G17" s="172">
        <v>1.02820820608105</v>
      </c>
    </row>
    <row r="18" spans="2:7" hidden="1" x14ac:dyDescent="0.3">
      <c r="B18" s="172" t="s">
        <v>189</v>
      </c>
      <c r="C18" s="172" t="s">
        <v>80</v>
      </c>
      <c r="D18" s="172" t="s">
        <v>221</v>
      </c>
      <c r="E18" s="172">
        <v>3.35302405496092E-3</v>
      </c>
      <c r="F18" s="172">
        <v>2.78285630893475E-3</v>
      </c>
      <c r="G18" s="172">
        <v>1.2048858017554001</v>
      </c>
    </row>
    <row r="19" spans="2:7" hidden="1" x14ac:dyDescent="0.3">
      <c r="B19" s="172" t="s">
        <v>187</v>
      </c>
      <c r="C19" s="172" t="s">
        <v>80</v>
      </c>
      <c r="D19" s="172" t="s">
        <v>218</v>
      </c>
      <c r="E19" s="172">
        <v>2.6416908026638999E-2</v>
      </c>
      <c r="F19" s="172">
        <v>2.41801110826898E-2</v>
      </c>
      <c r="G19" s="172">
        <v>1.0925056521163199</v>
      </c>
    </row>
    <row r="20" spans="2:7" hidden="1" x14ac:dyDescent="0.3">
      <c r="B20" s="172" t="s">
        <v>185</v>
      </c>
      <c r="C20" s="172" t="s">
        <v>80</v>
      </c>
      <c r="D20" s="172" t="s">
        <v>218</v>
      </c>
      <c r="E20" s="172">
        <v>2.5428737548884601E-2</v>
      </c>
      <c r="F20" s="172">
        <v>2.3250054327809699E-2</v>
      </c>
      <c r="G20" s="172">
        <v>1.09370658624522</v>
      </c>
    </row>
    <row r="21" spans="2:7" hidden="1" x14ac:dyDescent="0.3">
      <c r="B21" s="172" t="s">
        <v>183</v>
      </c>
      <c r="C21" s="172" t="s">
        <v>80</v>
      </c>
      <c r="D21" s="172" t="s">
        <v>218</v>
      </c>
      <c r="E21" s="172">
        <v>2.3908841707373899E-2</v>
      </c>
      <c r="F21" s="172">
        <v>2.18386353532358E-2</v>
      </c>
      <c r="G21" s="172">
        <v>1.0947955914210299</v>
      </c>
    </row>
    <row r="22" spans="2:7" hidden="1" x14ac:dyDescent="0.3">
      <c r="B22" s="172" t="s">
        <v>181</v>
      </c>
      <c r="C22" s="172" t="s">
        <v>80</v>
      </c>
      <c r="D22" s="172" t="s">
        <v>218</v>
      </c>
      <c r="E22" s="172">
        <v>2.1900928998583199E-2</v>
      </c>
      <c r="F22" s="172">
        <v>1.9985414345199001E-2</v>
      </c>
      <c r="G22" s="172">
        <v>1.0958456312337801</v>
      </c>
    </row>
    <row r="23" spans="2:7" hidden="1" x14ac:dyDescent="0.3">
      <c r="B23" s="172" t="s">
        <v>179</v>
      </c>
      <c r="C23" s="172" t="s">
        <v>80</v>
      </c>
      <c r="D23" s="172" t="s">
        <v>218</v>
      </c>
      <c r="E23" s="172">
        <v>1.9480173065761702E-2</v>
      </c>
      <c r="F23" s="172">
        <v>1.77591454068491E-2</v>
      </c>
      <c r="G23" s="172">
        <v>1.09690937370493</v>
      </c>
    </row>
    <row r="24" spans="2:7" hidden="1" x14ac:dyDescent="0.3">
      <c r="B24" s="172" t="s">
        <v>39</v>
      </c>
      <c r="C24" s="172" t="s">
        <v>80</v>
      </c>
      <c r="D24" s="172" t="s">
        <v>218</v>
      </c>
      <c r="E24" s="172">
        <v>1.6712870589534499E-2</v>
      </c>
      <c r="F24" s="172">
        <v>1.5220639393460401E-2</v>
      </c>
      <c r="G24" s="172">
        <v>1.09803998094293</v>
      </c>
    </row>
    <row r="25" spans="2:7" hidden="1" x14ac:dyDescent="0.3">
      <c r="B25" s="172" t="s">
        <v>26</v>
      </c>
      <c r="C25" s="172" t="s">
        <v>80</v>
      </c>
      <c r="D25" s="172" t="s">
        <v>218</v>
      </c>
      <c r="E25" s="172">
        <v>1.36612075475172E-2</v>
      </c>
      <c r="F25" s="172">
        <v>1.24261014692144E-2</v>
      </c>
      <c r="G25" s="172">
        <v>1.0993961043504099</v>
      </c>
    </row>
    <row r="26" spans="2:7" hidden="1" x14ac:dyDescent="0.3">
      <c r="B26" s="172" t="s">
        <v>25</v>
      </c>
      <c r="C26" s="172" t="s">
        <v>80</v>
      </c>
      <c r="D26" s="172" t="s">
        <v>218</v>
      </c>
      <c r="E26" s="172">
        <v>1.03806177226312E-2</v>
      </c>
      <c r="F26" s="172">
        <v>9.4273897122707402E-3</v>
      </c>
      <c r="G26" s="172">
        <v>1.10111261329525</v>
      </c>
    </row>
    <row r="27" spans="2:7" hidden="1" x14ac:dyDescent="0.3">
      <c r="B27" s="172" t="s">
        <v>24</v>
      </c>
      <c r="C27" s="172" t="s">
        <v>80</v>
      </c>
      <c r="D27" s="172" t="s">
        <v>218</v>
      </c>
      <c r="E27" s="172">
        <v>6.9296739501481797E-3</v>
      </c>
      <c r="F27" s="172">
        <v>6.2807090126534302E-3</v>
      </c>
      <c r="G27" s="172">
        <v>1.1033267002478999</v>
      </c>
    </row>
    <row r="28" spans="2:7" hidden="1" x14ac:dyDescent="0.3">
      <c r="B28" s="172" t="s">
        <v>22</v>
      </c>
      <c r="C28" s="172" t="s">
        <v>80</v>
      </c>
      <c r="D28" s="172" t="s">
        <v>218</v>
      </c>
      <c r="E28" s="172">
        <v>3.3943779217099801E-3</v>
      </c>
      <c r="F28" s="172">
        <v>3.0671877190690199E-3</v>
      </c>
      <c r="G28" s="172">
        <v>1.1066743325186099</v>
      </c>
    </row>
    <row r="29" spans="2:7" hidden="1" x14ac:dyDescent="0.3">
      <c r="B29" s="172" t="s">
        <v>189</v>
      </c>
      <c r="C29" s="172" t="s">
        <v>81</v>
      </c>
      <c r="D29" s="172" t="s">
        <v>221</v>
      </c>
      <c r="E29" s="172">
        <v>2.4526041265698201E-2</v>
      </c>
      <c r="F29" s="172">
        <v>2.4471312903060798E-2</v>
      </c>
      <c r="G29" s="172">
        <v>1.00223642935931</v>
      </c>
    </row>
    <row r="30" spans="2:7" hidden="1" x14ac:dyDescent="0.3">
      <c r="B30" s="172" t="s">
        <v>187</v>
      </c>
      <c r="C30" s="172" t="s">
        <v>81</v>
      </c>
      <c r="D30" s="172" t="s">
        <v>221</v>
      </c>
      <c r="E30" s="172">
        <v>2.4336792755100201E-2</v>
      </c>
      <c r="F30" s="172">
        <v>2.4139172127357101E-2</v>
      </c>
      <c r="G30" s="172">
        <v>1.00818671935808</v>
      </c>
    </row>
    <row r="31" spans="2:7" hidden="1" x14ac:dyDescent="0.3">
      <c r="B31" s="172" t="s">
        <v>185</v>
      </c>
      <c r="C31" s="172" t="s">
        <v>81</v>
      </c>
      <c r="D31" s="172" t="s">
        <v>221</v>
      </c>
      <c r="E31" s="172">
        <v>2.33297783992822E-2</v>
      </c>
      <c r="F31" s="172">
        <v>2.3171370930696902E-2</v>
      </c>
      <c r="G31" s="172">
        <v>1.00683634425685</v>
      </c>
    </row>
    <row r="32" spans="2:7" hidden="1" x14ac:dyDescent="0.3">
      <c r="B32" s="172" t="s">
        <v>183</v>
      </c>
      <c r="C32" s="172" t="s">
        <v>81</v>
      </c>
      <c r="D32" s="172" t="s">
        <v>221</v>
      </c>
      <c r="E32" s="172">
        <v>2.1849203976984401E-2</v>
      </c>
      <c r="F32" s="172">
        <v>2.1723341015021502E-2</v>
      </c>
      <c r="G32" s="172">
        <v>1.0057939044402</v>
      </c>
    </row>
    <row r="33" spans="2:7" hidden="1" x14ac:dyDescent="0.3">
      <c r="B33" s="172" t="s">
        <v>181</v>
      </c>
      <c r="C33" s="172" t="s">
        <v>81</v>
      </c>
      <c r="D33" s="172" t="s">
        <v>221</v>
      </c>
      <c r="E33" s="172">
        <v>1.9932710386615801E-2</v>
      </c>
      <c r="F33" s="172">
        <v>1.9836553609512999E-2</v>
      </c>
      <c r="G33" s="172">
        <v>1.00484745379645</v>
      </c>
    </row>
    <row r="34" spans="2:7" hidden="1" x14ac:dyDescent="0.3">
      <c r="B34" s="172" t="s">
        <v>179</v>
      </c>
      <c r="C34" s="172" t="s">
        <v>81</v>
      </c>
      <c r="D34" s="172" t="s">
        <v>221</v>
      </c>
      <c r="E34" s="172">
        <v>1.7652605203304399E-2</v>
      </c>
      <c r="F34" s="172">
        <v>1.7583196908437699E-2</v>
      </c>
      <c r="G34" s="172">
        <v>1.00394742180436</v>
      </c>
    </row>
    <row r="35" spans="2:7" hidden="1" x14ac:dyDescent="0.3">
      <c r="B35" s="172" t="s">
        <v>39</v>
      </c>
      <c r="C35" s="172" t="s">
        <v>81</v>
      </c>
      <c r="D35" s="172" t="s">
        <v>221</v>
      </c>
      <c r="E35" s="172">
        <v>1.50733799457524E-2</v>
      </c>
      <c r="F35" s="172">
        <v>1.5028490021086501E-2</v>
      </c>
      <c r="G35" s="172">
        <v>1.00298698835365</v>
      </c>
    </row>
    <row r="36" spans="2:7" hidden="1" x14ac:dyDescent="0.3">
      <c r="B36" s="172" t="s">
        <v>26</v>
      </c>
      <c r="C36" s="172" t="s">
        <v>81</v>
      </c>
      <c r="D36" s="172" t="s">
        <v>221</v>
      </c>
      <c r="E36" s="172">
        <v>1.2251649047491001E-2</v>
      </c>
      <c r="F36" s="172">
        <v>1.22450837114073E-2</v>
      </c>
      <c r="G36" s="172">
        <v>1.00053616098007</v>
      </c>
    </row>
    <row r="37" spans="2:7" hidden="1" x14ac:dyDescent="0.3">
      <c r="B37" s="172" t="s">
        <v>25</v>
      </c>
      <c r="C37" s="172" t="s">
        <v>81</v>
      </c>
      <c r="D37" s="172" t="s">
        <v>221</v>
      </c>
      <c r="E37" s="172">
        <v>9.3271524585406308E-3</v>
      </c>
      <c r="F37" s="172">
        <v>9.2843927740343599E-3</v>
      </c>
      <c r="G37" s="172">
        <v>1.00460554454631</v>
      </c>
    </row>
    <row r="38" spans="2:7" hidden="1" x14ac:dyDescent="0.3">
      <c r="B38" s="172" t="s">
        <v>24</v>
      </c>
      <c r="C38" s="172" t="s">
        <v>81</v>
      </c>
      <c r="D38" s="172" t="s">
        <v>221</v>
      </c>
      <c r="E38" s="172">
        <v>6.2692342934877604E-3</v>
      </c>
      <c r="F38" s="172">
        <v>6.1863544021676497E-3</v>
      </c>
      <c r="G38" s="172">
        <v>1.0133972103652999</v>
      </c>
    </row>
    <row r="39" spans="2:7" hidden="1" x14ac:dyDescent="0.3">
      <c r="B39" s="172" t="s">
        <v>22</v>
      </c>
      <c r="C39" s="172" t="s">
        <v>81</v>
      </c>
      <c r="D39" s="172" t="s">
        <v>221</v>
      </c>
      <c r="E39" s="172">
        <v>3.1214994917802999E-3</v>
      </c>
      <c r="F39" s="172">
        <v>3.0258132960866899E-3</v>
      </c>
      <c r="G39" s="172">
        <v>1.0316232980459701</v>
      </c>
    </row>
    <row r="40" spans="2:7" hidden="1" x14ac:dyDescent="0.3">
      <c r="B40" s="172" t="s">
        <v>189</v>
      </c>
      <c r="C40" s="172" t="s">
        <v>82</v>
      </c>
      <c r="D40" s="172" t="s">
        <v>221</v>
      </c>
      <c r="E40" s="172">
        <v>2.3214830928650398E-2</v>
      </c>
      <c r="F40" s="172">
        <v>2.2059454239960901E-2</v>
      </c>
      <c r="G40" s="172">
        <v>1.05237557902029</v>
      </c>
    </row>
    <row r="41" spans="2:7" hidden="1" x14ac:dyDescent="0.3">
      <c r="B41" s="172" t="s">
        <v>187</v>
      </c>
      <c r="C41" s="172" t="s">
        <v>82</v>
      </c>
      <c r="D41" s="172" t="s">
        <v>221</v>
      </c>
      <c r="E41" s="172">
        <v>2.9521437453775098E-2</v>
      </c>
      <c r="F41" s="172">
        <v>2.49892207987449E-2</v>
      </c>
      <c r="G41" s="172">
        <v>1.1813668657991101</v>
      </c>
    </row>
    <row r="42" spans="2:7" hidden="1" x14ac:dyDescent="0.3">
      <c r="B42" s="172" t="s">
        <v>185</v>
      </c>
      <c r="C42" s="172" t="s">
        <v>82</v>
      </c>
      <c r="D42" s="172" t="s">
        <v>221</v>
      </c>
      <c r="E42" s="172">
        <v>2.83521438846429E-2</v>
      </c>
      <c r="F42" s="172">
        <v>2.39854103814959E-2</v>
      </c>
      <c r="G42" s="172">
        <v>1.1820579024370499</v>
      </c>
    </row>
    <row r="43" spans="2:7" hidden="1" x14ac:dyDescent="0.3">
      <c r="B43" s="172" t="s">
        <v>183</v>
      </c>
      <c r="C43" s="172" t="s">
        <v>82</v>
      </c>
      <c r="D43" s="172" t="s">
        <v>221</v>
      </c>
      <c r="E43" s="172">
        <v>2.65968555808727E-2</v>
      </c>
      <c r="F43" s="172">
        <v>2.24863434299554E-2</v>
      </c>
      <c r="G43" s="172">
        <v>1.18280038120566</v>
      </c>
    </row>
    <row r="44" spans="2:7" hidden="1" x14ac:dyDescent="0.3">
      <c r="B44" s="172" t="s">
        <v>181</v>
      </c>
      <c r="C44" s="172" t="s">
        <v>82</v>
      </c>
      <c r="D44" s="172" t="s">
        <v>221</v>
      </c>
      <c r="E44" s="172">
        <v>2.43016707491461E-2</v>
      </c>
      <c r="F44" s="172">
        <v>2.0533715013020599E-2</v>
      </c>
      <c r="G44" s="172">
        <v>1.18350092682869</v>
      </c>
    </row>
    <row r="45" spans="2:7" hidden="1" x14ac:dyDescent="0.3">
      <c r="B45" s="172" t="s">
        <v>179</v>
      </c>
      <c r="C45" s="172" t="s">
        <v>82</v>
      </c>
      <c r="D45" s="172" t="s">
        <v>221</v>
      </c>
      <c r="E45" s="172">
        <v>2.1554807073379E-2</v>
      </c>
      <c r="F45" s="172">
        <v>1.82020521591903E-2</v>
      </c>
      <c r="G45" s="172">
        <v>1.1841965337131499</v>
      </c>
    </row>
    <row r="46" spans="2:7" hidden="1" x14ac:dyDescent="0.3">
      <c r="B46" s="172" t="s">
        <v>39</v>
      </c>
      <c r="C46" s="172" t="s">
        <v>82</v>
      </c>
      <c r="D46" s="172" t="s">
        <v>221</v>
      </c>
      <c r="E46" s="172">
        <v>1.8434379057473398E-2</v>
      </c>
      <c r="F46" s="172">
        <v>1.55584642223457E-2</v>
      </c>
      <c r="G46" s="172">
        <v>1.1848456758988599</v>
      </c>
    </row>
    <row r="47" spans="2:7" hidden="1" x14ac:dyDescent="0.3">
      <c r="B47" s="172" t="s">
        <v>26</v>
      </c>
      <c r="C47" s="172" t="s">
        <v>82</v>
      </c>
      <c r="D47" s="172" t="s">
        <v>221</v>
      </c>
      <c r="E47" s="172">
        <v>1.5008456604268699E-2</v>
      </c>
      <c r="F47" s="172">
        <v>1.2674620128973401E-2</v>
      </c>
      <c r="G47" s="172">
        <v>1.1841346290103201</v>
      </c>
    </row>
    <row r="48" spans="2:7" hidden="1" x14ac:dyDescent="0.3">
      <c r="B48" s="172" t="s">
        <v>25</v>
      </c>
      <c r="C48" s="172" t="s">
        <v>82</v>
      </c>
      <c r="D48" s="172" t="s">
        <v>221</v>
      </c>
      <c r="E48" s="172">
        <v>1.1341366603615099E-2</v>
      </c>
      <c r="F48" s="172">
        <v>9.6036905828419897E-3</v>
      </c>
      <c r="G48" s="172">
        <v>1.1809383596632801</v>
      </c>
    </row>
    <row r="49" spans="2:7" hidden="1" x14ac:dyDescent="0.3">
      <c r="B49" s="172" t="s">
        <v>24</v>
      </c>
      <c r="C49" s="172" t="s">
        <v>82</v>
      </c>
      <c r="D49" s="172" t="s">
        <v>221</v>
      </c>
      <c r="E49" s="172">
        <v>7.5045874560215999E-3</v>
      </c>
      <c r="F49" s="172">
        <v>6.3905913715237702E-3</v>
      </c>
      <c r="G49" s="172">
        <v>1.1743181530056499</v>
      </c>
    </row>
    <row r="50" spans="2:7" hidden="1" x14ac:dyDescent="0.3">
      <c r="B50" s="172" t="s">
        <v>22</v>
      </c>
      <c r="C50" s="172" t="s">
        <v>82</v>
      </c>
      <c r="D50" s="172" t="s">
        <v>221</v>
      </c>
      <c r="E50" s="172">
        <v>3.6100917286096602E-3</v>
      </c>
      <c r="F50" s="172">
        <v>3.1159797786665601E-3</v>
      </c>
      <c r="G50" s="172">
        <v>1.1585735418843299</v>
      </c>
    </row>
    <row r="51" spans="2:7" hidden="1" x14ac:dyDescent="0.3">
      <c r="B51" s="172" t="s">
        <v>189</v>
      </c>
      <c r="C51" s="172" t="s">
        <v>246</v>
      </c>
      <c r="D51" s="172" t="s">
        <v>218</v>
      </c>
      <c r="E51" s="172">
        <v>3.9091795051617003E-3</v>
      </c>
      <c r="F51" s="172">
        <v>3.8693160048051101E-3</v>
      </c>
      <c r="G51" s="172">
        <v>1.01030246697532</v>
      </c>
    </row>
    <row r="52" spans="2:7" hidden="1" x14ac:dyDescent="0.3">
      <c r="B52" s="172" t="s">
        <v>187</v>
      </c>
      <c r="C52" s="172" t="s">
        <v>246</v>
      </c>
      <c r="D52" s="172" t="s">
        <v>218</v>
      </c>
      <c r="E52" s="172">
        <v>2.9963313625175599E-3</v>
      </c>
      <c r="F52" s="172">
        <v>2.7254811148508498E-3</v>
      </c>
      <c r="G52" s="172">
        <v>1.099377040696</v>
      </c>
    </row>
    <row r="53" spans="2:7" hidden="1" x14ac:dyDescent="0.3">
      <c r="B53" s="172" t="s">
        <v>185</v>
      </c>
      <c r="C53" s="172" t="s">
        <v>246</v>
      </c>
      <c r="D53" s="172" t="s">
        <v>218</v>
      </c>
      <c r="E53" s="172">
        <v>2.5672825406469701E-3</v>
      </c>
      <c r="F53" s="172">
        <v>2.3369043538184601E-3</v>
      </c>
      <c r="G53" s="172">
        <v>1.0985826340954301</v>
      </c>
    </row>
    <row r="54" spans="2:7" hidden="1" x14ac:dyDescent="0.3">
      <c r="B54" s="172" t="s">
        <v>183</v>
      </c>
      <c r="C54" s="172" t="s">
        <v>246</v>
      </c>
      <c r="D54" s="172" t="s">
        <v>218</v>
      </c>
      <c r="E54" s="172">
        <v>2.1430620585987398E-3</v>
      </c>
      <c r="F54" s="172">
        <v>1.9483213208797399E-3</v>
      </c>
      <c r="G54" s="172">
        <v>1.09995309071045</v>
      </c>
    </row>
    <row r="55" spans="2:7" hidden="1" x14ac:dyDescent="0.3">
      <c r="B55" s="172" t="s">
        <v>181</v>
      </c>
      <c r="C55" s="172" t="s">
        <v>246</v>
      </c>
      <c r="D55" s="172" t="s">
        <v>218</v>
      </c>
      <c r="E55" s="172">
        <v>1.7350039229916999E-3</v>
      </c>
      <c r="F55" s="172">
        <v>1.5755360089288E-3</v>
      </c>
      <c r="G55" s="172">
        <v>1.10121502343277</v>
      </c>
    </row>
    <row r="56" spans="2:7" hidden="1" x14ac:dyDescent="0.3">
      <c r="B56" s="172" t="s">
        <v>179</v>
      </c>
      <c r="C56" s="172" t="s">
        <v>246</v>
      </c>
      <c r="D56" s="172" t="s">
        <v>218</v>
      </c>
      <c r="E56" s="172">
        <v>1.3510187604353599E-3</v>
      </c>
      <c r="F56" s="172">
        <v>1.2257854899239101E-3</v>
      </c>
      <c r="G56" s="172">
        <v>1.10216573090551</v>
      </c>
    </row>
    <row r="57" spans="2:7" hidden="1" x14ac:dyDescent="0.3">
      <c r="B57" s="172" t="s">
        <v>39</v>
      </c>
      <c r="C57" s="172" t="s">
        <v>246</v>
      </c>
      <c r="D57" s="172" t="s">
        <v>218</v>
      </c>
      <c r="E57" s="172">
        <v>9.9891016799926596E-4</v>
      </c>
      <c r="F57" s="172">
        <v>9.0606862135657795E-4</v>
      </c>
      <c r="G57" s="172">
        <v>1.10246635238696</v>
      </c>
    </row>
    <row r="58" spans="2:7" hidden="1" x14ac:dyDescent="0.3">
      <c r="B58" s="172" t="s">
        <v>26</v>
      </c>
      <c r="C58" s="172" t="s">
        <v>246</v>
      </c>
      <c r="D58" s="172" t="s">
        <v>218</v>
      </c>
      <c r="E58" s="172">
        <v>6.8802893335258904E-4</v>
      </c>
      <c r="F58" s="172">
        <v>6.2183064295287895E-4</v>
      </c>
      <c r="G58" s="172">
        <v>1.1064571055639101</v>
      </c>
    </row>
    <row r="59" spans="2:7" hidden="1" x14ac:dyDescent="0.3">
      <c r="B59" s="172" t="s">
        <v>25</v>
      </c>
      <c r="C59" s="172" t="s">
        <v>246</v>
      </c>
      <c r="D59" s="172" t="s">
        <v>218</v>
      </c>
      <c r="E59" s="172">
        <v>4.2540113332283498E-4</v>
      </c>
      <c r="F59" s="172">
        <v>3.80297161319865E-4</v>
      </c>
      <c r="G59" s="172">
        <v>1.1186019160554099</v>
      </c>
    </row>
    <row r="60" spans="2:7" hidden="1" x14ac:dyDescent="0.3">
      <c r="B60" s="172" t="s">
        <v>24</v>
      </c>
      <c r="C60" s="172" t="s">
        <v>246</v>
      </c>
      <c r="D60" s="172" t="s">
        <v>218</v>
      </c>
      <c r="E60" s="172">
        <v>2.16119453049667E-4</v>
      </c>
      <c r="F60" s="172">
        <v>1.9005065381928399E-4</v>
      </c>
      <c r="G60" s="172">
        <v>1.1371676377139499</v>
      </c>
    </row>
    <row r="61" spans="2:7" hidden="1" x14ac:dyDescent="0.3">
      <c r="B61" s="172" t="s">
        <v>22</v>
      </c>
      <c r="C61" s="172" t="s">
        <v>246</v>
      </c>
      <c r="D61" s="172" t="s">
        <v>218</v>
      </c>
      <c r="E61" s="172">
        <v>6.7434891901258095E-5</v>
      </c>
      <c r="F61" s="172">
        <v>5.8452549642482402E-5</v>
      </c>
      <c r="G61" s="172">
        <v>1.1536689556523201</v>
      </c>
    </row>
    <row r="62" spans="2:7" hidden="1" x14ac:dyDescent="0.3">
      <c r="B62" s="172"/>
      <c r="C62" s="172"/>
      <c r="D62" s="172"/>
      <c r="E62" s="172"/>
      <c r="F62" s="172"/>
      <c r="G62" s="172"/>
    </row>
    <row r="63" spans="2:7" hidden="1" x14ac:dyDescent="0.3">
      <c r="B63" s="172"/>
      <c r="C63" s="172"/>
      <c r="D63" s="172"/>
      <c r="E63" s="172"/>
      <c r="F63" s="172"/>
      <c r="G63" s="172"/>
    </row>
    <row r="64" spans="2:7" hidden="1" x14ac:dyDescent="0.3">
      <c r="B64" s="172"/>
      <c r="C64" s="172"/>
      <c r="D64" s="172"/>
      <c r="E64" s="172"/>
      <c r="F64" s="172"/>
      <c r="G64" s="172"/>
    </row>
    <row r="65" spans="2:7" hidden="1" x14ac:dyDescent="0.3">
      <c r="B65" s="172"/>
      <c r="C65" s="172"/>
      <c r="D65" s="172"/>
      <c r="E65" s="172"/>
      <c r="F65" s="172"/>
      <c r="G65" s="172"/>
    </row>
    <row r="66" spans="2:7" hidden="1" x14ac:dyDescent="0.3">
      <c r="B66" s="172"/>
      <c r="C66" s="172"/>
      <c r="D66" s="172"/>
      <c r="E66" s="172"/>
      <c r="F66" s="172"/>
      <c r="G66" s="172"/>
    </row>
    <row r="67" spans="2:7" hidden="1" x14ac:dyDescent="0.3">
      <c r="B67" s="172"/>
      <c r="C67" s="172"/>
      <c r="D67" s="172"/>
      <c r="E67" s="172"/>
      <c r="F67" s="172"/>
      <c r="G67" s="172"/>
    </row>
    <row r="68" spans="2:7" hidden="1" x14ac:dyDescent="0.3">
      <c r="B68" s="172"/>
      <c r="C68" s="172"/>
      <c r="D68" s="172"/>
      <c r="E68" s="172"/>
      <c r="F68" s="172"/>
      <c r="G68" s="172"/>
    </row>
    <row r="69" spans="2:7" hidden="1" x14ac:dyDescent="0.3">
      <c r="B69" s="172"/>
      <c r="C69" s="172"/>
      <c r="D69" s="172"/>
      <c r="E69" s="172"/>
      <c r="F69" s="172"/>
      <c r="G69" s="172"/>
    </row>
    <row r="70" spans="2:7" hidden="1" x14ac:dyDescent="0.3">
      <c r="B70" s="172"/>
      <c r="C70" s="172"/>
      <c r="D70" s="172"/>
      <c r="E70" s="172"/>
      <c r="F70" s="172"/>
      <c r="G70" s="172"/>
    </row>
    <row r="71" spans="2:7" hidden="1" x14ac:dyDescent="0.3">
      <c r="B71" s="172"/>
      <c r="C71" s="172"/>
      <c r="D71" s="172"/>
      <c r="E71" s="172"/>
      <c r="F71" s="172"/>
      <c r="G71" s="172"/>
    </row>
    <row r="72" spans="2:7" hidden="1" x14ac:dyDescent="0.3">
      <c r="B72" s="172"/>
      <c r="C72" s="172"/>
      <c r="D72" s="172"/>
      <c r="E72" s="172"/>
      <c r="F72" s="172"/>
      <c r="G72" s="172"/>
    </row>
    <row r="73" spans="2:7" hidden="1" x14ac:dyDescent="0.3">
      <c r="B73" s="172"/>
      <c r="C73" s="172"/>
      <c r="D73" s="172"/>
      <c r="E73" s="172"/>
      <c r="F73" s="172"/>
      <c r="G73" s="172"/>
    </row>
    <row r="74" spans="2:7" hidden="1" x14ac:dyDescent="0.3">
      <c r="B74" s="172"/>
      <c r="C74" s="172"/>
      <c r="D74" s="172"/>
      <c r="E74" s="172"/>
      <c r="F74" s="172"/>
      <c r="G74" s="172"/>
    </row>
    <row r="75" spans="2:7" hidden="1" x14ac:dyDescent="0.3">
      <c r="B75" s="172"/>
      <c r="C75" s="172"/>
      <c r="D75" s="172"/>
      <c r="E75" s="172"/>
      <c r="F75" s="172"/>
      <c r="G75" s="172"/>
    </row>
    <row r="76" spans="2:7" hidden="1" x14ac:dyDescent="0.3">
      <c r="B76" s="172"/>
      <c r="C76" s="172"/>
      <c r="D76" s="172"/>
      <c r="E76" s="172"/>
      <c r="F76" s="172"/>
      <c r="G76" s="172"/>
    </row>
    <row r="77" spans="2:7" hidden="1" x14ac:dyDescent="0.3">
      <c r="B77" s="172"/>
      <c r="C77" s="172"/>
      <c r="D77" s="172"/>
      <c r="E77" s="172"/>
      <c r="F77" s="172"/>
      <c r="G77" s="172"/>
    </row>
    <row r="78" spans="2:7" hidden="1" x14ac:dyDescent="0.3">
      <c r="B78" s="172"/>
      <c r="C78" s="172"/>
      <c r="D78" s="172"/>
      <c r="E78" s="172"/>
      <c r="F78" s="172"/>
      <c r="G78" s="172"/>
    </row>
    <row r="79" spans="2:7" hidden="1" x14ac:dyDescent="0.3">
      <c r="B79" s="172"/>
      <c r="C79" s="172"/>
      <c r="D79" s="172"/>
      <c r="E79" s="172"/>
      <c r="F79" s="172"/>
      <c r="G79" s="172"/>
    </row>
    <row r="80" spans="2:7" hidden="1" x14ac:dyDescent="0.3">
      <c r="B80" s="172"/>
      <c r="C80" s="172"/>
      <c r="D80" s="172"/>
      <c r="E80" s="172"/>
      <c r="F80" s="172"/>
      <c r="G80" s="172"/>
    </row>
    <row r="81" spans="2:7" hidden="1" x14ac:dyDescent="0.3">
      <c r="B81" s="172"/>
      <c r="C81" s="172"/>
      <c r="D81" s="172"/>
      <c r="E81" s="172"/>
      <c r="F81" s="172"/>
      <c r="G81" s="172"/>
    </row>
    <row r="82" spans="2:7" hidden="1" x14ac:dyDescent="0.3">
      <c r="B82" s="172"/>
      <c r="C82" s="172"/>
      <c r="D82" s="172"/>
      <c r="E82" s="172"/>
      <c r="F82" s="172"/>
      <c r="G82" s="172"/>
    </row>
    <row r="83" spans="2:7" hidden="1" x14ac:dyDescent="0.3">
      <c r="B83" s="172"/>
      <c r="C83" s="172"/>
      <c r="D83" s="172"/>
      <c r="E83" s="172"/>
      <c r="F83" s="172"/>
      <c r="G83" s="172"/>
    </row>
    <row r="84" spans="2:7" hidden="1" x14ac:dyDescent="0.3">
      <c r="B84" s="172"/>
      <c r="C84" s="172"/>
      <c r="D84" s="172"/>
      <c r="E84" s="172"/>
      <c r="F84" s="172"/>
      <c r="G84" s="172"/>
    </row>
    <row r="85" spans="2:7" hidden="1" x14ac:dyDescent="0.3">
      <c r="B85" s="172"/>
      <c r="C85" s="172"/>
      <c r="D85" s="172"/>
      <c r="E85" s="172"/>
      <c r="F85" s="172"/>
      <c r="G85" s="172"/>
    </row>
    <row r="86" spans="2:7" hidden="1" x14ac:dyDescent="0.3">
      <c r="B86" s="172"/>
      <c r="C86" s="172"/>
      <c r="D86" s="172"/>
      <c r="E86" s="172"/>
      <c r="F86" s="172"/>
      <c r="G86" s="172"/>
    </row>
    <row r="87" spans="2:7" hidden="1" x14ac:dyDescent="0.3">
      <c r="B87" s="172"/>
      <c r="C87" s="172"/>
      <c r="D87" s="172"/>
      <c r="E87" s="172"/>
      <c r="F87" s="172"/>
      <c r="G87" s="172"/>
    </row>
    <row r="88" spans="2:7" hidden="1" x14ac:dyDescent="0.3">
      <c r="B88" s="172"/>
      <c r="C88" s="172"/>
      <c r="D88" s="172"/>
      <c r="E88" s="172"/>
      <c r="F88" s="172"/>
      <c r="G88" s="172"/>
    </row>
    <row r="89" spans="2:7" hidden="1" x14ac:dyDescent="0.3">
      <c r="B89" s="172"/>
      <c r="C89" s="172"/>
      <c r="D89" s="172"/>
      <c r="E89" s="172"/>
      <c r="F89" s="172"/>
      <c r="G89" s="172"/>
    </row>
    <row r="90" spans="2:7" hidden="1" x14ac:dyDescent="0.3">
      <c r="B90" s="172"/>
      <c r="C90" s="172"/>
      <c r="D90" s="172"/>
      <c r="E90" s="172"/>
      <c r="F90" s="172"/>
      <c r="G90" s="172"/>
    </row>
    <row r="91" spans="2:7" hidden="1" x14ac:dyDescent="0.3">
      <c r="B91" s="172"/>
      <c r="C91" s="172"/>
      <c r="D91" s="172"/>
      <c r="E91" s="172"/>
      <c r="F91" s="172"/>
      <c r="G91" s="172"/>
    </row>
    <row r="92" spans="2:7" hidden="1" x14ac:dyDescent="0.3">
      <c r="B92" s="172"/>
      <c r="C92" s="172"/>
      <c r="D92" s="172"/>
      <c r="E92" s="172"/>
      <c r="F92" s="172"/>
      <c r="G92" s="172"/>
    </row>
    <row r="93" spans="2:7" hidden="1" x14ac:dyDescent="0.3">
      <c r="B93" s="172"/>
      <c r="C93" s="172"/>
      <c r="D93" s="172"/>
      <c r="E93" s="172"/>
      <c r="F93" s="172"/>
      <c r="G93" s="172"/>
    </row>
    <row r="94" spans="2:7" hidden="1" x14ac:dyDescent="0.3">
      <c r="B94" s="172"/>
      <c r="C94" s="172"/>
      <c r="D94" s="172"/>
      <c r="E94" s="172"/>
      <c r="F94" s="172"/>
      <c r="G94" s="172"/>
    </row>
    <row r="95" spans="2:7" hidden="1" x14ac:dyDescent="0.3">
      <c r="B95" s="172"/>
      <c r="C95" s="172"/>
      <c r="D95" s="172"/>
      <c r="E95" s="172"/>
      <c r="F95" s="172"/>
      <c r="G95" s="172"/>
    </row>
    <row r="96" spans="2:7" hidden="1" x14ac:dyDescent="0.3">
      <c r="B96" s="172"/>
      <c r="C96" s="172"/>
      <c r="D96" s="172"/>
      <c r="E96" s="172"/>
      <c r="F96" s="172"/>
      <c r="G96" s="172"/>
    </row>
    <row r="97" spans="2:7" hidden="1" x14ac:dyDescent="0.3">
      <c r="B97" s="172"/>
      <c r="C97" s="172"/>
      <c r="D97" s="172"/>
      <c r="E97" s="172"/>
      <c r="F97" s="172"/>
      <c r="G97" s="172"/>
    </row>
    <row r="98" spans="2:7" hidden="1" x14ac:dyDescent="0.3">
      <c r="B98" s="172"/>
      <c r="C98" s="172"/>
      <c r="D98" s="172"/>
      <c r="E98" s="172"/>
      <c r="F98" s="172"/>
      <c r="G98" s="172"/>
    </row>
    <row r="99" spans="2:7" hidden="1" x14ac:dyDescent="0.3">
      <c r="B99" s="172"/>
      <c r="C99" s="172"/>
      <c r="D99" s="172"/>
      <c r="E99" s="172"/>
      <c r="F99" s="172"/>
      <c r="G99" s="172"/>
    </row>
    <row r="100" spans="2:7" hidden="1" x14ac:dyDescent="0.3">
      <c r="B100" s="172"/>
      <c r="C100" s="172"/>
      <c r="D100" s="172"/>
      <c r="E100" s="172"/>
      <c r="F100" s="172"/>
      <c r="G100" s="172"/>
    </row>
    <row r="101" spans="2:7" hidden="1" x14ac:dyDescent="0.3">
      <c r="B101" s="172"/>
      <c r="C101" s="172"/>
      <c r="D101" s="172"/>
      <c r="E101" s="172"/>
      <c r="F101" s="172"/>
      <c r="G101" s="172"/>
    </row>
    <row r="102" spans="2:7" hidden="1" x14ac:dyDescent="0.3">
      <c r="B102" s="172"/>
      <c r="C102" s="172"/>
      <c r="D102" s="172"/>
      <c r="E102" s="172"/>
      <c r="F102" s="172"/>
      <c r="G102" s="172"/>
    </row>
    <row r="103" spans="2:7" hidden="1" x14ac:dyDescent="0.3">
      <c r="B103" s="172"/>
      <c r="C103" s="172"/>
      <c r="D103" s="172"/>
      <c r="E103" s="172"/>
      <c r="F103" s="172"/>
      <c r="G103" s="172"/>
    </row>
    <row r="104" spans="2:7" hidden="1" x14ac:dyDescent="0.3">
      <c r="B104" s="172"/>
      <c r="C104" s="172"/>
      <c r="D104" s="172"/>
      <c r="E104" s="172"/>
      <c r="F104" s="172"/>
      <c r="G104" s="172"/>
    </row>
    <row r="105" spans="2:7" hidden="1" x14ac:dyDescent="0.3">
      <c r="B105" s="172"/>
      <c r="C105" s="172"/>
      <c r="D105" s="172"/>
      <c r="E105" s="172"/>
      <c r="F105" s="172"/>
      <c r="G105" s="172"/>
    </row>
    <row r="106" spans="2:7" hidden="1" x14ac:dyDescent="0.3">
      <c r="B106" s="172"/>
      <c r="C106" s="172"/>
      <c r="D106" s="172"/>
      <c r="E106" s="172"/>
      <c r="F106" s="172"/>
      <c r="G106" s="172"/>
    </row>
    <row r="107" spans="2:7" hidden="1" x14ac:dyDescent="0.3">
      <c r="B107" s="172"/>
      <c r="C107" s="172"/>
      <c r="D107" s="172"/>
      <c r="E107" s="172"/>
      <c r="F107" s="172"/>
      <c r="G107" s="172"/>
    </row>
    <row r="108" spans="2:7" hidden="1" x14ac:dyDescent="0.3">
      <c r="B108" s="172"/>
      <c r="C108" s="172"/>
      <c r="D108" s="172"/>
      <c r="E108" s="172"/>
      <c r="F108" s="172"/>
      <c r="G108" s="172"/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hidden="1" x14ac:dyDescent="0.3">
      <c r="B110" s="172"/>
      <c r="C110" s="172"/>
      <c r="D110" s="172"/>
      <c r="E110" s="172"/>
      <c r="F110" s="172"/>
      <c r="G110" s="172"/>
    </row>
    <row r="111" spans="2:7" hidden="1" x14ac:dyDescent="0.3">
      <c r="B111" s="172"/>
      <c r="C111" s="172"/>
      <c r="D111" s="172"/>
      <c r="E111" s="172"/>
      <c r="F111" s="172"/>
      <c r="G111" s="172"/>
    </row>
    <row r="112" spans="2:7" hidden="1" x14ac:dyDescent="0.3">
      <c r="B112" s="172"/>
      <c r="C112" s="172"/>
      <c r="D112" s="172"/>
      <c r="E112" s="172"/>
      <c r="F112" s="172"/>
      <c r="G112" s="172"/>
    </row>
    <row r="113" spans="2:7" hidden="1" x14ac:dyDescent="0.3">
      <c r="B113" s="172"/>
      <c r="C113" s="172"/>
      <c r="D113" s="172"/>
      <c r="E113" s="172"/>
      <c r="F113" s="172"/>
      <c r="G113" s="172"/>
    </row>
    <row r="114" spans="2:7" hidden="1" x14ac:dyDescent="0.3">
      <c r="B114" s="172"/>
      <c r="C114" s="172"/>
      <c r="D114" s="172"/>
      <c r="E114" s="172"/>
      <c r="F114" s="172"/>
      <c r="G114" s="172"/>
    </row>
    <row r="115" spans="2:7" s="172" customFormat="1" hidden="1" x14ac:dyDescent="0.3"/>
    <row r="116" spans="2:7" hidden="1" x14ac:dyDescent="0.3">
      <c r="B116" s="172"/>
      <c r="C116" s="172"/>
      <c r="D116" s="172"/>
      <c r="E116" s="172"/>
      <c r="F116" s="172"/>
      <c r="G116" s="172"/>
    </row>
    <row r="117" spans="2:7" s="172" customFormat="1" hidden="1" x14ac:dyDescent="0.3"/>
    <row r="118" spans="2:7" hidden="1" x14ac:dyDescent="0.3">
      <c r="B118" s="172"/>
      <c r="C118" s="172"/>
      <c r="D118" s="172"/>
      <c r="E118" s="172"/>
      <c r="F118" s="172"/>
      <c r="G118" s="172"/>
    </row>
    <row r="119" spans="2:7" s="172" customFormat="1" hidden="1" x14ac:dyDescent="0.3"/>
    <row r="120" spans="2:7" hidden="1" x14ac:dyDescent="0.3">
      <c r="B120" s="172"/>
      <c r="C120" s="172"/>
      <c r="D120" s="172"/>
      <c r="E120" s="172"/>
      <c r="F120" s="172"/>
      <c r="G120" s="172"/>
    </row>
    <row r="121" spans="2:7" s="172" customFormat="1" hidden="1" x14ac:dyDescent="0.3"/>
    <row r="122" spans="2:7" hidden="1" x14ac:dyDescent="0.3">
      <c r="B122" s="172"/>
      <c r="C122" s="172"/>
      <c r="D122" s="172"/>
      <c r="E122" s="172"/>
      <c r="F122" s="172"/>
      <c r="G122" s="172"/>
    </row>
    <row r="123" spans="2:7" s="172" customFormat="1" hidden="1" x14ac:dyDescent="0.3"/>
    <row r="124" spans="2:7" hidden="1" x14ac:dyDescent="0.3">
      <c r="B124" s="172"/>
      <c r="C124" s="172"/>
      <c r="D124" s="172"/>
      <c r="E124" s="172"/>
      <c r="F124" s="172"/>
      <c r="G124" s="172"/>
    </row>
    <row r="125" spans="2:7" s="172" customFormat="1" hidden="1" x14ac:dyDescent="0.3"/>
    <row r="126" spans="2:7" hidden="1" x14ac:dyDescent="0.3">
      <c r="B126" s="172"/>
      <c r="C126" s="172"/>
      <c r="D126" s="172"/>
      <c r="E126" s="172"/>
      <c r="F126" s="172"/>
      <c r="G126" s="172"/>
    </row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191"/>
      <c r="C136" s="191"/>
      <c r="D136" s="191"/>
      <c r="E136" s="191" t="s">
        <v>7</v>
      </c>
      <c r="F136" s="191" t="s">
        <v>7</v>
      </c>
      <c r="G136" s="192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2.5273836366962898E-2</v>
      </c>
      <c r="F138" s="172">
        <v>2.4679031280655399E-2</v>
      </c>
      <c r="G138" s="172">
        <v>1.0241016383318799</v>
      </c>
    </row>
    <row r="139" spans="2:7" hidden="1" x14ac:dyDescent="0.3">
      <c r="B139" s="172" t="s">
        <v>187</v>
      </c>
      <c r="C139" s="172" t="s">
        <v>79</v>
      </c>
      <c r="D139" s="172" t="s">
        <v>218</v>
      </c>
      <c r="E139" s="172">
        <v>2.5709558324880401E-2</v>
      </c>
      <c r="F139" s="172">
        <v>2.41035244272979E-2</v>
      </c>
      <c r="G139" s="172">
        <v>1.0666306664997001</v>
      </c>
    </row>
    <row r="140" spans="2:7" hidden="1" x14ac:dyDescent="0.3">
      <c r="B140" s="172" t="s">
        <v>185</v>
      </c>
      <c r="C140" s="172" t="s">
        <v>79</v>
      </c>
      <c r="D140" s="172" t="s">
        <v>218</v>
      </c>
      <c r="E140" s="172">
        <v>2.47253538435383E-2</v>
      </c>
      <c r="F140" s="172">
        <v>2.31731100086362E-2</v>
      </c>
      <c r="G140" s="172">
        <v>1.0669847005569699</v>
      </c>
    </row>
    <row r="141" spans="2:7" hidden="1" x14ac:dyDescent="0.3">
      <c r="B141" s="172" t="s">
        <v>183</v>
      </c>
      <c r="C141" s="172" t="s">
        <v>79</v>
      </c>
      <c r="D141" s="172" t="s">
        <v>218</v>
      </c>
      <c r="E141" s="172">
        <v>2.3227109743710599E-2</v>
      </c>
      <c r="F141" s="172">
        <v>2.1763637051301101E-2</v>
      </c>
      <c r="G141" s="172">
        <v>1.0672439394647</v>
      </c>
    </row>
    <row r="142" spans="2:7" hidden="1" x14ac:dyDescent="0.3">
      <c r="B142" s="172" t="s">
        <v>181</v>
      </c>
      <c r="C142" s="172" t="s">
        <v>79</v>
      </c>
      <c r="D142" s="172" t="s">
        <v>218</v>
      </c>
      <c r="E142" s="172">
        <v>2.12565119350001E-2</v>
      </c>
      <c r="F142" s="172">
        <v>1.9914401557044999E-2</v>
      </c>
      <c r="G142" s="172">
        <v>1.0673939597989299</v>
      </c>
    </row>
    <row r="143" spans="2:7" hidden="1" x14ac:dyDescent="0.3">
      <c r="B143" s="172" t="s">
        <v>179</v>
      </c>
      <c r="C143" s="172" t="s">
        <v>79</v>
      </c>
      <c r="D143" s="172" t="s">
        <v>218</v>
      </c>
      <c r="E143" s="172">
        <v>1.88869565716853E-2</v>
      </c>
      <c r="F143" s="172">
        <v>1.7693915280979699E-2</v>
      </c>
      <c r="G143" s="172">
        <v>1.0674266419704199</v>
      </c>
    </row>
    <row r="144" spans="2:7" hidden="1" x14ac:dyDescent="0.3">
      <c r="B144" s="172" t="s">
        <v>39</v>
      </c>
      <c r="C144" s="172" t="s">
        <v>79</v>
      </c>
      <c r="D144" s="172" t="s">
        <v>218</v>
      </c>
      <c r="E144" s="172">
        <v>1.6183649179095799E-2</v>
      </c>
      <c r="F144" s="172">
        <v>1.5162819601525801E-2</v>
      </c>
      <c r="G144" s="172">
        <v>1.06732452171806</v>
      </c>
    </row>
    <row r="145" spans="2:7" hidden="1" x14ac:dyDescent="0.3">
      <c r="B145" s="172" t="s">
        <v>26</v>
      </c>
      <c r="C145" s="172" t="s">
        <v>79</v>
      </c>
      <c r="D145" s="172" t="s">
        <v>218</v>
      </c>
      <c r="E145" s="172">
        <v>1.3207688339753399E-2</v>
      </c>
      <c r="F145" s="172">
        <v>1.23770870366289E-2</v>
      </c>
      <c r="G145" s="172">
        <v>1.06710797950005</v>
      </c>
    </row>
    <row r="146" spans="2:7" hidden="1" x14ac:dyDescent="0.3">
      <c r="B146" s="172" t="s">
        <v>25</v>
      </c>
      <c r="C146" s="172" t="s">
        <v>79</v>
      </c>
      <c r="D146" s="172" t="s">
        <v>218</v>
      </c>
      <c r="E146" s="172">
        <v>1.00150979615176E-2</v>
      </c>
      <c r="F146" s="172">
        <v>9.3885215655863507E-3</v>
      </c>
      <c r="G146" s="172">
        <v>1.06673855852107</v>
      </c>
    </row>
    <row r="147" spans="2:7" hidden="1" x14ac:dyDescent="0.3">
      <c r="B147" s="172" t="s">
        <v>24</v>
      </c>
      <c r="C147" s="172" t="s">
        <v>79</v>
      </c>
      <c r="D147" s="172" t="s">
        <v>218</v>
      </c>
      <c r="E147" s="172">
        <v>6.6659283339869499E-3</v>
      </c>
      <c r="F147" s="172">
        <v>6.2534097395420497E-3</v>
      </c>
      <c r="G147" s="172">
        <v>1.0659669862725301</v>
      </c>
    </row>
    <row r="148" spans="2:7" hidden="1" x14ac:dyDescent="0.3">
      <c r="B148" s="172" t="s">
        <v>22</v>
      </c>
      <c r="C148" s="172" t="s">
        <v>79</v>
      </c>
      <c r="D148" s="172" t="s">
        <v>218</v>
      </c>
      <c r="E148" s="172">
        <v>3.24845232386453E-3</v>
      </c>
      <c r="F148" s="172">
        <v>3.0528251208355099E-3</v>
      </c>
      <c r="G148" s="172">
        <v>1.0640807105830801</v>
      </c>
    </row>
    <row r="149" spans="2:7" x14ac:dyDescent="0.3">
      <c r="B149" s="172" t="s">
        <v>189</v>
      </c>
      <c r="C149" s="172" t="s">
        <v>80</v>
      </c>
      <c r="D149" s="172" t="s">
        <v>218</v>
      </c>
      <c r="E149" s="172">
        <v>2.5978750368885001E-2</v>
      </c>
      <c r="F149" s="172">
        <v>2.5266040686352301E-2</v>
      </c>
      <c r="G149" s="172">
        <v>1.02820820608105</v>
      </c>
    </row>
    <row r="150" spans="2:7" hidden="1" x14ac:dyDescent="0.3">
      <c r="B150" s="172" t="s">
        <v>189</v>
      </c>
      <c r="C150" s="172" t="s">
        <v>80</v>
      </c>
      <c r="D150" s="172" t="s">
        <v>221</v>
      </c>
      <c r="E150" s="172">
        <v>3.35302405496092E-3</v>
      </c>
      <c r="F150" s="172">
        <v>2.78285630893475E-3</v>
      </c>
      <c r="G150" s="172">
        <v>1.2048858017554001</v>
      </c>
    </row>
    <row r="151" spans="2:7" x14ac:dyDescent="0.3">
      <c r="B151" s="172" t="s">
        <v>187</v>
      </c>
      <c r="C151" s="172" t="s">
        <v>80</v>
      </c>
      <c r="D151" s="172" t="s">
        <v>218</v>
      </c>
      <c r="E151" s="172">
        <v>2.6416908026638999E-2</v>
      </c>
      <c r="F151" s="172">
        <v>2.41801110826898E-2</v>
      </c>
      <c r="G151" s="172">
        <v>1.0925056521163199</v>
      </c>
    </row>
    <row r="152" spans="2:7" x14ac:dyDescent="0.3">
      <c r="B152" s="172" t="s">
        <v>185</v>
      </c>
      <c r="C152" s="172" t="s">
        <v>80</v>
      </c>
      <c r="D152" s="172" t="s">
        <v>218</v>
      </c>
      <c r="E152" s="172">
        <v>2.5428737548884601E-2</v>
      </c>
      <c r="F152" s="172">
        <v>2.3250054327809699E-2</v>
      </c>
      <c r="G152" s="172">
        <v>1.09370658624522</v>
      </c>
    </row>
    <row r="153" spans="2:7" x14ac:dyDescent="0.3">
      <c r="B153" s="172" t="s">
        <v>183</v>
      </c>
      <c r="C153" s="172" t="s">
        <v>80</v>
      </c>
      <c r="D153" s="172" t="s">
        <v>218</v>
      </c>
      <c r="E153" s="172">
        <v>2.3908841707373899E-2</v>
      </c>
      <c r="F153" s="172">
        <v>2.18386353532358E-2</v>
      </c>
      <c r="G153" s="172">
        <v>1.0947955914210299</v>
      </c>
    </row>
    <row r="154" spans="2:7" x14ac:dyDescent="0.3">
      <c r="B154" s="172" t="s">
        <v>181</v>
      </c>
      <c r="C154" s="172" t="s">
        <v>80</v>
      </c>
      <c r="D154" s="172" t="s">
        <v>218</v>
      </c>
      <c r="E154" s="172">
        <v>2.1900928998583199E-2</v>
      </c>
      <c r="F154" s="172">
        <v>1.9985414345199001E-2</v>
      </c>
      <c r="G154" s="172">
        <v>1.0958456312337801</v>
      </c>
    </row>
    <row r="155" spans="2:7" x14ac:dyDescent="0.3">
      <c r="B155" s="172" t="s">
        <v>179</v>
      </c>
      <c r="C155" s="172" t="s">
        <v>80</v>
      </c>
      <c r="D155" s="172" t="s">
        <v>218</v>
      </c>
      <c r="E155" s="172">
        <v>1.9480173065761702E-2</v>
      </c>
      <c r="F155" s="172">
        <v>1.77591454068491E-2</v>
      </c>
      <c r="G155" s="172">
        <v>1.09690937370493</v>
      </c>
    </row>
    <row r="156" spans="2:7" x14ac:dyDescent="0.3">
      <c r="B156" s="172" t="s">
        <v>39</v>
      </c>
      <c r="C156" s="172" t="s">
        <v>80</v>
      </c>
      <c r="D156" s="172" t="s">
        <v>218</v>
      </c>
      <c r="E156" s="172">
        <v>1.6712870589534499E-2</v>
      </c>
      <c r="F156" s="172">
        <v>1.5220639393460401E-2</v>
      </c>
      <c r="G156" s="172">
        <v>1.09803998094293</v>
      </c>
    </row>
    <row r="157" spans="2:7" x14ac:dyDescent="0.3">
      <c r="B157" s="172" t="s">
        <v>26</v>
      </c>
      <c r="C157" s="172" t="s">
        <v>80</v>
      </c>
      <c r="D157" s="172" t="s">
        <v>218</v>
      </c>
      <c r="E157" s="172">
        <v>1.36612075475172E-2</v>
      </c>
      <c r="F157" s="172">
        <v>1.24261014692144E-2</v>
      </c>
      <c r="G157" s="172">
        <v>1.0993961043504099</v>
      </c>
    </row>
    <row r="158" spans="2:7" x14ac:dyDescent="0.3">
      <c r="B158" s="172" t="s">
        <v>25</v>
      </c>
      <c r="C158" s="172" t="s">
        <v>80</v>
      </c>
      <c r="D158" s="172" t="s">
        <v>218</v>
      </c>
      <c r="E158" s="172">
        <v>1.03806177226312E-2</v>
      </c>
      <c r="F158" s="172">
        <v>9.4273897122707402E-3</v>
      </c>
      <c r="G158" s="172">
        <v>1.10111261329525</v>
      </c>
    </row>
    <row r="159" spans="2:7" x14ac:dyDescent="0.3">
      <c r="B159" s="172" t="s">
        <v>24</v>
      </c>
      <c r="C159" s="172" t="s">
        <v>80</v>
      </c>
      <c r="D159" s="172" t="s">
        <v>218</v>
      </c>
      <c r="E159" s="172">
        <v>6.9296739501481797E-3</v>
      </c>
      <c r="F159" s="172">
        <v>6.2807090126534302E-3</v>
      </c>
      <c r="G159" s="172">
        <v>1.1033267002478999</v>
      </c>
    </row>
    <row r="160" spans="2:7" x14ac:dyDescent="0.3">
      <c r="B160" s="172" t="s">
        <v>22</v>
      </c>
      <c r="C160" s="172" t="s">
        <v>80</v>
      </c>
      <c r="D160" s="172" t="s">
        <v>218</v>
      </c>
      <c r="E160" s="172">
        <v>3.3943779217099801E-3</v>
      </c>
      <c r="F160" s="172">
        <v>3.0671877190690199E-3</v>
      </c>
      <c r="G160" s="172">
        <v>1.1066743325186099</v>
      </c>
    </row>
    <row r="161" spans="2:7" hidden="1" x14ac:dyDescent="0.3">
      <c r="B161" s="172" t="s">
        <v>189</v>
      </c>
      <c r="C161" s="172" t="s">
        <v>81</v>
      </c>
      <c r="D161" s="172" t="s">
        <v>221</v>
      </c>
      <c r="E161" s="172">
        <v>2.4526041265698201E-2</v>
      </c>
      <c r="F161" s="172">
        <v>2.4471312903060798E-2</v>
      </c>
      <c r="G161" s="172">
        <v>1.00223642935931</v>
      </c>
    </row>
    <row r="162" spans="2:7" hidden="1" x14ac:dyDescent="0.3">
      <c r="B162" s="172" t="s">
        <v>187</v>
      </c>
      <c r="C162" s="172" t="s">
        <v>81</v>
      </c>
      <c r="D162" s="172" t="s">
        <v>221</v>
      </c>
      <c r="E162" s="172">
        <v>2.4336792755100201E-2</v>
      </c>
      <c r="F162" s="172">
        <v>2.4139172127357101E-2</v>
      </c>
      <c r="G162" s="172">
        <v>1.00818671935808</v>
      </c>
    </row>
    <row r="163" spans="2:7" hidden="1" x14ac:dyDescent="0.3">
      <c r="B163" s="172" t="s">
        <v>185</v>
      </c>
      <c r="C163" s="172" t="s">
        <v>81</v>
      </c>
      <c r="D163" s="172" t="s">
        <v>221</v>
      </c>
      <c r="E163" s="172">
        <v>2.33297783992822E-2</v>
      </c>
      <c r="F163" s="172">
        <v>2.3171370930696902E-2</v>
      </c>
      <c r="G163" s="172">
        <v>1.00683634425685</v>
      </c>
    </row>
    <row r="164" spans="2:7" hidden="1" x14ac:dyDescent="0.3">
      <c r="B164" s="172" t="s">
        <v>183</v>
      </c>
      <c r="C164" s="172" t="s">
        <v>81</v>
      </c>
      <c r="D164" s="172" t="s">
        <v>221</v>
      </c>
      <c r="E164" s="172">
        <v>2.1849203976984401E-2</v>
      </c>
      <c r="F164" s="172">
        <v>2.1723341015021502E-2</v>
      </c>
      <c r="G164" s="172">
        <v>1.0057939044402</v>
      </c>
    </row>
    <row r="165" spans="2:7" hidden="1" x14ac:dyDescent="0.3">
      <c r="B165" s="172" t="s">
        <v>181</v>
      </c>
      <c r="C165" s="172" t="s">
        <v>81</v>
      </c>
      <c r="D165" s="172" t="s">
        <v>221</v>
      </c>
      <c r="E165" s="172">
        <v>1.9932710386615801E-2</v>
      </c>
      <c r="F165" s="172">
        <v>1.9836553609512999E-2</v>
      </c>
      <c r="G165" s="172">
        <v>1.00484745379645</v>
      </c>
    </row>
    <row r="166" spans="2:7" hidden="1" x14ac:dyDescent="0.3">
      <c r="B166" s="172" t="s">
        <v>179</v>
      </c>
      <c r="C166" s="172" t="s">
        <v>81</v>
      </c>
      <c r="D166" s="172" t="s">
        <v>221</v>
      </c>
      <c r="E166" s="172">
        <v>1.7652605203304399E-2</v>
      </c>
      <c r="F166" s="172">
        <v>1.7583196908437699E-2</v>
      </c>
      <c r="G166" s="172">
        <v>1.00394742180436</v>
      </c>
    </row>
    <row r="167" spans="2:7" hidden="1" x14ac:dyDescent="0.3">
      <c r="B167" s="172" t="s">
        <v>39</v>
      </c>
      <c r="C167" s="172" t="s">
        <v>81</v>
      </c>
      <c r="D167" s="172" t="s">
        <v>221</v>
      </c>
      <c r="E167" s="172">
        <v>1.50733799457524E-2</v>
      </c>
      <c r="F167" s="172">
        <v>1.5028490021086501E-2</v>
      </c>
      <c r="G167" s="172">
        <v>1.00298698835365</v>
      </c>
    </row>
    <row r="168" spans="2:7" hidden="1" x14ac:dyDescent="0.3">
      <c r="B168" s="172" t="s">
        <v>26</v>
      </c>
      <c r="C168" s="172" t="s">
        <v>81</v>
      </c>
      <c r="D168" s="172" t="s">
        <v>221</v>
      </c>
      <c r="E168" s="172">
        <v>1.2251649047491001E-2</v>
      </c>
      <c r="F168" s="172">
        <v>1.22450837114073E-2</v>
      </c>
      <c r="G168" s="172">
        <v>1.00053616098007</v>
      </c>
    </row>
    <row r="169" spans="2:7" hidden="1" x14ac:dyDescent="0.3">
      <c r="B169" s="172" t="s">
        <v>25</v>
      </c>
      <c r="C169" s="172" t="s">
        <v>81</v>
      </c>
      <c r="D169" s="172" t="s">
        <v>221</v>
      </c>
      <c r="E169" s="172">
        <v>9.3271524585406308E-3</v>
      </c>
      <c r="F169" s="172">
        <v>9.2843927740343599E-3</v>
      </c>
      <c r="G169" s="172">
        <v>1.00460554454631</v>
      </c>
    </row>
    <row r="170" spans="2:7" hidden="1" x14ac:dyDescent="0.3">
      <c r="B170" s="172" t="s">
        <v>24</v>
      </c>
      <c r="C170" s="172" t="s">
        <v>81</v>
      </c>
      <c r="D170" s="172" t="s">
        <v>221</v>
      </c>
      <c r="E170" s="172">
        <v>6.2692342934877604E-3</v>
      </c>
      <c r="F170" s="172">
        <v>6.1863544021676497E-3</v>
      </c>
      <c r="G170" s="172">
        <v>1.0133972103652999</v>
      </c>
    </row>
    <row r="171" spans="2:7" hidden="1" x14ac:dyDescent="0.3">
      <c r="B171" s="172" t="s">
        <v>22</v>
      </c>
      <c r="C171" s="172" t="s">
        <v>81</v>
      </c>
      <c r="D171" s="172" t="s">
        <v>221</v>
      </c>
      <c r="E171" s="172">
        <v>3.1214994917802999E-3</v>
      </c>
      <c r="F171" s="172">
        <v>3.0258132960866899E-3</v>
      </c>
      <c r="G171" s="172">
        <v>1.0316232980459701</v>
      </c>
    </row>
    <row r="172" spans="2:7" hidden="1" x14ac:dyDescent="0.3">
      <c r="B172" s="172" t="s">
        <v>189</v>
      </c>
      <c r="C172" s="172" t="s">
        <v>82</v>
      </c>
      <c r="D172" s="172" t="s">
        <v>221</v>
      </c>
      <c r="E172" s="172">
        <v>2.3214830928650398E-2</v>
      </c>
      <c r="F172" s="172">
        <v>2.2059454239960901E-2</v>
      </c>
      <c r="G172" s="172">
        <v>1.05237557902029</v>
      </c>
    </row>
    <row r="173" spans="2:7" hidden="1" x14ac:dyDescent="0.3">
      <c r="B173" s="172" t="s">
        <v>187</v>
      </c>
      <c r="C173" s="172" t="s">
        <v>82</v>
      </c>
      <c r="D173" s="172" t="s">
        <v>221</v>
      </c>
      <c r="E173" s="172">
        <v>2.9521437453775098E-2</v>
      </c>
      <c r="F173" s="172">
        <v>2.49892207987449E-2</v>
      </c>
      <c r="G173" s="172">
        <v>1.1813668657991101</v>
      </c>
    </row>
    <row r="174" spans="2:7" hidden="1" x14ac:dyDescent="0.3">
      <c r="B174" s="172" t="s">
        <v>185</v>
      </c>
      <c r="C174" s="172" t="s">
        <v>82</v>
      </c>
      <c r="D174" s="172" t="s">
        <v>221</v>
      </c>
      <c r="E174" s="172">
        <v>2.83521438846429E-2</v>
      </c>
      <c r="F174" s="172">
        <v>2.39854103814959E-2</v>
      </c>
      <c r="G174" s="172">
        <v>1.1820579024370499</v>
      </c>
    </row>
    <row r="175" spans="2:7" hidden="1" x14ac:dyDescent="0.3">
      <c r="B175" s="172" t="s">
        <v>183</v>
      </c>
      <c r="C175" s="172" t="s">
        <v>82</v>
      </c>
      <c r="D175" s="172" t="s">
        <v>221</v>
      </c>
      <c r="E175" s="172">
        <v>2.65968555808727E-2</v>
      </c>
      <c r="F175" s="172">
        <v>2.24863434299554E-2</v>
      </c>
      <c r="G175" s="172">
        <v>1.18280038120566</v>
      </c>
    </row>
    <row r="176" spans="2:7" hidden="1" x14ac:dyDescent="0.3">
      <c r="B176" s="172" t="s">
        <v>181</v>
      </c>
      <c r="C176" s="172" t="s">
        <v>82</v>
      </c>
      <c r="D176" s="172" t="s">
        <v>221</v>
      </c>
      <c r="E176" s="172">
        <v>2.43016707491461E-2</v>
      </c>
      <c r="F176" s="172">
        <v>2.0533715013020599E-2</v>
      </c>
      <c r="G176" s="172">
        <v>1.18350092682869</v>
      </c>
    </row>
    <row r="177" spans="2:7" hidden="1" x14ac:dyDescent="0.3">
      <c r="B177" s="172" t="s">
        <v>179</v>
      </c>
      <c r="C177" s="172" t="s">
        <v>82</v>
      </c>
      <c r="D177" s="172" t="s">
        <v>221</v>
      </c>
      <c r="E177" s="172">
        <v>2.1554807073379E-2</v>
      </c>
      <c r="F177" s="172">
        <v>1.82020521591903E-2</v>
      </c>
      <c r="G177" s="172">
        <v>1.1841965337131499</v>
      </c>
    </row>
    <row r="178" spans="2:7" hidden="1" x14ac:dyDescent="0.3">
      <c r="B178" s="172" t="s">
        <v>39</v>
      </c>
      <c r="C178" s="172" t="s">
        <v>82</v>
      </c>
      <c r="D178" s="172" t="s">
        <v>221</v>
      </c>
      <c r="E178" s="172">
        <v>1.8434379057473398E-2</v>
      </c>
      <c r="F178" s="172">
        <v>1.55584642223457E-2</v>
      </c>
      <c r="G178" s="172">
        <v>1.1848456758988599</v>
      </c>
    </row>
    <row r="179" spans="2:7" hidden="1" x14ac:dyDescent="0.3">
      <c r="B179" s="172" t="s">
        <v>26</v>
      </c>
      <c r="C179" s="172" t="s">
        <v>82</v>
      </c>
      <c r="D179" s="172" t="s">
        <v>221</v>
      </c>
      <c r="E179" s="172">
        <v>1.5008456604268699E-2</v>
      </c>
      <c r="F179" s="172">
        <v>1.2674620128973401E-2</v>
      </c>
      <c r="G179" s="172">
        <v>1.1841346290103201</v>
      </c>
    </row>
    <row r="180" spans="2:7" hidden="1" x14ac:dyDescent="0.3">
      <c r="B180" s="172" t="s">
        <v>25</v>
      </c>
      <c r="C180" s="172" t="s">
        <v>82</v>
      </c>
      <c r="D180" s="172" t="s">
        <v>221</v>
      </c>
      <c r="E180" s="172">
        <v>1.1341366603615099E-2</v>
      </c>
      <c r="F180" s="172">
        <v>9.6036905828419897E-3</v>
      </c>
      <c r="G180" s="172">
        <v>1.1809383596632801</v>
      </c>
    </row>
    <row r="181" spans="2:7" hidden="1" x14ac:dyDescent="0.3">
      <c r="B181" s="172" t="s">
        <v>24</v>
      </c>
      <c r="C181" s="172" t="s">
        <v>82</v>
      </c>
      <c r="D181" s="172" t="s">
        <v>221</v>
      </c>
      <c r="E181" s="172">
        <v>7.5045874560215999E-3</v>
      </c>
      <c r="F181" s="172">
        <v>6.3905913715237702E-3</v>
      </c>
      <c r="G181" s="172">
        <v>1.1743181530056499</v>
      </c>
    </row>
    <row r="182" spans="2:7" hidden="1" x14ac:dyDescent="0.3">
      <c r="B182" s="172" t="s">
        <v>22</v>
      </c>
      <c r="C182" s="172" t="s">
        <v>82</v>
      </c>
      <c r="D182" s="172" t="s">
        <v>221</v>
      </c>
      <c r="E182" s="172">
        <v>3.6100917286096602E-3</v>
      </c>
      <c r="F182" s="172">
        <v>3.1159797786665601E-3</v>
      </c>
      <c r="G182" s="172">
        <v>1.1585735418843299</v>
      </c>
    </row>
    <row r="183" spans="2:7" hidden="1" x14ac:dyDescent="0.3">
      <c r="B183" s="172" t="s">
        <v>189</v>
      </c>
      <c r="C183" s="172" t="s">
        <v>246</v>
      </c>
      <c r="D183" s="172" t="s">
        <v>218</v>
      </c>
      <c r="E183" s="172">
        <v>3.9091795051617003E-3</v>
      </c>
      <c r="F183" s="172">
        <v>3.8693160048051101E-3</v>
      </c>
      <c r="G183" s="172">
        <v>1.01030246697532</v>
      </c>
    </row>
    <row r="184" spans="2:7" hidden="1" x14ac:dyDescent="0.3">
      <c r="B184" s="172" t="s">
        <v>187</v>
      </c>
      <c r="C184" s="172" t="s">
        <v>246</v>
      </c>
      <c r="D184" s="172" t="s">
        <v>218</v>
      </c>
      <c r="E184" s="172">
        <v>2.9963313625175599E-3</v>
      </c>
      <c r="F184" s="172">
        <v>2.7254811148508498E-3</v>
      </c>
      <c r="G184" s="172">
        <v>1.099377040696</v>
      </c>
    </row>
    <row r="185" spans="2:7" hidden="1" x14ac:dyDescent="0.3">
      <c r="B185" s="172" t="s">
        <v>185</v>
      </c>
      <c r="C185" s="172" t="s">
        <v>246</v>
      </c>
      <c r="D185" s="172" t="s">
        <v>218</v>
      </c>
      <c r="E185" s="172">
        <v>2.5672825406469701E-3</v>
      </c>
      <c r="F185" s="172">
        <v>2.3369043538184601E-3</v>
      </c>
      <c r="G185" s="172">
        <v>1.0985826340954301</v>
      </c>
    </row>
    <row r="186" spans="2:7" hidden="1" x14ac:dyDescent="0.3">
      <c r="B186" s="172" t="s">
        <v>183</v>
      </c>
      <c r="C186" s="172" t="s">
        <v>246</v>
      </c>
      <c r="D186" s="172" t="s">
        <v>218</v>
      </c>
      <c r="E186" s="172">
        <v>2.1430620585987398E-3</v>
      </c>
      <c r="F186" s="172">
        <v>1.9483213208797399E-3</v>
      </c>
      <c r="G186" s="172">
        <v>1.09995309071045</v>
      </c>
    </row>
    <row r="187" spans="2:7" hidden="1" x14ac:dyDescent="0.3">
      <c r="B187" s="172" t="s">
        <v>181</v>
      </c>
      <c r="C187" s="172" t="s">
        <v>246</v>
      </c>
      <c r="D187" s="172" t="s">
        <v>218</v>
      </c>
      <c r="E187" s="172">
        <v>1.7350039229916999E-3</v>
      </c>
      <c r="F187" s="172">
        <v>1.5755360089288E-3</v>
      </c>
      <c r="G187" s="172">
        <v>1.10121502343277</v>
      </c>
    </row>
    <row r="188" spans="2:7" hidden="1" x14ac:dyDescent="0.3">
      <c r="B188" s="172" t="s">
        <v>179</v>
      </c>
      <c r="C188" s="172" t="s">
        <v>246</v>
      </c>
      <c r="D188" s="172" t="s">
        <v>218</v>
      </c>
      <c r="E188" s="172">
        <v>1.3510187604353599E-3</v>
      </c>
      <c r="F188" s="172">
        <v>1.2257854899239101E-3</v>
      </c>
      <c r="G188" s="172">
        <v>1.10216573090551</v>
      </c>
    </row>
    <row r="189" spans="2:7" hidden="1" x14ac:dyDescent="0.3">
      <c r="B189" s="172" t="s">
        <v>39</v>
      </c>
      <c r="C189" s="172" t="s">
        <v>246</v>
      </c>
      <c r="D189" s="172" t="s">
        <v>218</v>
      </c>
      <c r="E189" s="172">
        <v>9.9891016799926596E-4</v>
      </c>
      <c r="F189" s="172">
        <v>9.0606862135657795E-4</v>
      </c>
      <c r="G189" s="172">
        <v>1.10246635238696</v>
      </c>
    </row>
    <row r="190" spans="2:7" hidden="1" x14ac:dyDescent="0.3">
      <c r="B190" s="172" t="s">
        <v>26</v>
      </c>
      <c r="C190" s="172" t="s">
        <v>246</v>
      </c>
      <c r="D190" s="172" t="s">
        <v>218</v>
      </c>
      <c r="E190" s="172">
        <v>6.8802893335258904E-4</v>
      </c>
      <c r="F190" s="172">
        <v>6.2183064295287895E-4</v>
      </c>
      <c r="G190" s="172">
        <v>1.1064571055639101</v>
      </c>
    </row>
    <row r="191" spans="2:7" hidden="1" x14ac:dyDescent="0.3">
      <c r="B191" s="172" t="s">
        <v>25</v>
      </c>
      <c r="C191" s="172" t="s">
        <v>246</v>
      </c>
      <c r="D191" s="172" t="s">
        <v>218</v>
      </c>
      <c r="E191" s="172">
        <v>4.2540113332283498E-4</v>
      </c>
      <c r="F191" s="172">
        <v>3.80297161319865E-4</v>
      </c>
      <c r="G191" s="172">
        <v>1.1186019160554099</v>
      </c>
    </row>
    <row r="192" spans="2:7" hidden="1" x14ac:dyDescent="0.3">
      <c r="B192" s="172" t="s">
        <v>24</v>
      </c>
      <c r="C192" s="172" t="s">
        <v>246</v>
      </c>
      <c r="D192" s="172" t="s">
        <v>218</v>
      </c>
      <c r="E192" s="172">
        <v>2.16119453049667E-4</v>
      </c>
      <c r="F192" s="172">
        <v>1.9005065381928399E-4</v>
      </c>
      <c r="G192" s="172">
        <v>1.1371676377139499</v>
      </c>
    </row>
    <row r="193" spans="2:7" hidden="1" x14ac:dyDescent="0.3">
      <c r="B193" s="172" t="s">
        <v>22</v>
      </c>
      <c r="C193" s="172" t="s">
        <v>246</v>
      </c>
      <c r="D193" s="172" t="s">
        <v>218</v>
      </c>
      <c r="E193" s="172">
        <v>6.7434891901258095E-5</v>
      </c>
      <c r="F193" s="172">
        <v>5.8452549642482402E-5</v>
      </c>
      <c r="G193" s="172">
        <v>1.1536689556523201</v>
      </c>
    </row>
    <row r="194" spans="2:7" hidden="1" x14ac:dyDescent="0.3">
      <c r="B194" s="172"/>
      <c r="C194" s="172"/>
      <c r="D194" s="172"/>
      <c r="E194" s="172"/>
      <c r="F194" s="172"/>
      <c r="G194" s="172"/>
    </row>
    <row r="195" spans="2:7" hidden="1" x14ac:dyDescent="0.3">
      <c r="B195" s="172"/>
      <c r="C195" s="172"/>
      <c r="D195" s="172"/>
      <c r="E195" s="172"/>
      <c r="F195" s="172"/>
      <c r="G195" s="172"/>
    </row>
    <row r="196" spans="2:7" hidden="1" x14ac:dyDescent="0.3">
      <c r="B196" s="172"/>
      <c r="C196" s="172"/>
      <c r="D196" s="172"/>
      <c r="E196" s="172"/>
      <c r="F196" s="172"/>
      <c r="G196" s="172"/>
    </row>
    <row r="197" spans="2:7" hidden="1" x14ac:dyDescent="0.3">
      <c r="B197" s="172"/>
      <c r="C197" s="172"/>
      <c r="D197" s="172"/>
      <c r="E197" s="172"/>
      <c r="F197" s="172"/>
      <c r="G197" s="172"/>
    </row>
    <row r="198" spans="2:7" hidden="1" x14ac:dyDescent="0.3">
      <c r="B198" s="172"/>
      <c r="C198" s="172"/>
      <c r="D198" s="172"/>
      <c r="E198" s="172"/>
      <c r="F198" s="172"/>
      <c r="G198" s="172"/>
    </row>
    <row r="199" spans="2:7" hidden="1" x14ac:dyDescent="0.3">
      <c r="B199" s="172"/>
      <c r="C199" s="172"/>
      <c r="D199" s="172"/>
      <c r="E199" s="172"/>
      <c r="F199" s="172"/>
      <c r="G199" s="172"/>
    </row>
    <row r="200" spans="2:7" hidden="1" x14ac:dyDescent="0.3">
      <c r="B200" s="172"/>
      <c r="C200" s="172"/>
      <c r="D200" s="172"/>
      <c r="E200" s="172"/>
      <c r="F200" s="172"/>
      <c r="G200" s="172"/>
    </row>
    <row r="201" spans="2:7" hidden="1" x14ac:dyDescent="0.3">
      <c r="B201" s="172"/>
      <c r="C201" s="172"/>
      <c r="D201" s="172"/>
      <c r="E201" s="172"/>
      <c r="F201" s="172"/>
      <c r="G201" s="172"/>
    </row>
    <row r="202" spans="2:7" hidden="1" x14ac:dyDescent="0.3">
      <c r="B202" s="172"/>
      <c r="C202" s="172"/>
      <c r="D202" s="172"/>
      <c r="E202" s="172"/>
      <c r="F202" s="172"/>
      <c r="G202" s="172"/>
    </row>
    <row r="203" spans="2:7" hidden="1" x14ac:dyDescent="0.3">
      <c r="B203" s="172"/>
      <c r="C203" s="172"/>
      <c r="D203" s="172"/>
      <c r="E203" s="172"/>
      <c r="F203" s="172"/>
      <c r="G203" s="172"/>
    </row>
    <row r="204" spans="2:7" hidden="1" x14ac:dyDescent="0.3">
      <c r="B204" s="172"/>
      <c r="C204" s="172"/>
      <c r="D204" s="172"/>
      <c r="E204" s="172"/>
      <c r="F204" s="172"/>
      <c r="G204" s="172"/>
    </row>
    <row r="205" spans="2:7" hidden="1" x14ac:dyDescent="0.3">
      <c r="B205" s="172"/>
      <c r="C205" s="172"/>
      <c r="D205" s="172"/>
      <c r="E205" s="172"/>
      <c r="F205" s="172"/>
      <c r="G205" s="172"/>
    </row>
    <row r="206" spans="2:7" hidden="1" x14ac:dyDescent="0.3">
      <c r="B206" s="172"/>
      <c r="C206" s="172"/>
      <c r="D206" s="172"/>
      <c r="E206" s="172"/>
      <c r="F206" s="172"/>
      <c r="G206" s="172"/>
    </row>
    <row r="207" spans="2:7" hidden="1" x14ac:dyDescent="0.3">
      <c r="B207" s="172"/>
      <c r="C207" s="172"/>
      <c r="D207" s="172"/>
      <c r="E207" s="172"/>
      <c r="F207" s="172"/>
      <c r="G207" s="172"/>
    </row>
    <row r="208" spans="2:7" hidden="1" x14ac:dyDescent="0.3">
      <c r="B208" s="172"/>
      <c r="C208" s="172"/>
      <c r="D208" s="172"/>
      <c r="E208" s="172"/>
      <c r="F208" s="172"/>
      <c r="G208" s="172"/>
    </row>
    <row r="209" spans="2:7" hidden="1" x14ac:dyDescent="0.3">
      <c r="B209" s="172"/>
      <c r="C209" s="172"/>
      <c r="D209" s="172"/>
      <c r="E209" s="172"/>
      <c r="F209" s="172"/>
      <c r="G209" s="172"/>
    </row>
    <row r="210" spans="2:7" hidden="1" x14ac:dyDescent="0.3">
      <c r="B210" s="172"/>
      <c r="C210" s="172"/>
      <c r="D210" s="172"/>
      <c r="E210" s="172"/>
      <c r="F210" s="172"/>
      <c r="G210" s="172"/>
    </row>
    <row r="211" spans="2:7" hidden="1" x14ac:dyDescent="0.3">
      <c r="B211" s="172"/>
      <c r="C211" s="172"/>
      <c r="D211" s="172"/>
      <c r="E211" s="172"/>
      <c r="F211" s="172"/>
      <c r="G211" s="172"/>
    </row>
    <row r="212" spans="2:7" hidden="1" x14ac:dyDescent="0.3">
      <c r="B212" s="172"/>
      <c r="C212" s="172"/>
      <c r="D212" s="172"/>
      <c r="E212" s="172"/>
      <c r="F212" s="172"/>
      <c r="G212" s="172"/>
    </row>
    <row r="213" spans="2:7" hidden="1" x14ac:dyDescent="0.3">
      <c r="B213" s="172"/>
      <c r="C213" s="172"/>
      <c r="D213" s="172"/>
      <c r="E213" s="172"/>
      <c r="F213" s="172"/>
      <c r="G213" s="172"/>
    </row>
    <row r="214" spans="2:7" hidden="1" x14ac:dyDescent="0.3">
      <c r="B214" s="172"/>
      <c r="C214" s="172"/>
      <c r="D214" s="172"/>
      <c r="E214" s="172"/>
      <c r="F214" s="172"/>
      <c r="G214" s="172"/>
    </row>
    <row r="215" spans="2:7" hidden="1" x14ac:dyDescent="0.3">
      <c r="B215" s="172"/>
      <c r="C215" s="172"/>
      <c r="D215" s="172"/>
      <c r="E215" s="172"/>
      <c r="F215" s="172"/>
      <c r="G215" s="172"/>
    </row>
    <row r="216" spans="2:7" hidden="1" x14ac:dyDescent="0.3">
      <c r="B216" s="172"/>
      <c r="C216" s="172"/>
      <c r="D216" s="172"/>
      <c r="E216" s="172"/>
      <c r="F216" s="172"/>
      <c r="G216" s="172"/>
    </row>
    <row r="217" spans="2:7" hidden="1" x14ac:dyDescent="0.3">
      <c r="B217" s="172"/>
      <c r="C217" s="172"/>
      <c r="D217" s="172"/>
      <c r="E217" s="172"/>
      <c r="F217" s="172"/>
      <c r="G217" s="172"/>
    </row>
    <row r="218" spans="2:7" hidden="1" x14ac:dyDescent="0.3">
      <c r="B218" s="172"/>
      <c r="C218" s="172"/>
      <c r="D218" s="172"/>
      <c r="E218" s="172"/>
      <c r="F218" s="172"/>
      <c r="G218" s="172"/>
    </row>
    <row r="219" spans="2:7" hidden="1" x14ac:dyDescent="0.3">
      <c r="B219" s="172"/>
      <c r="C219" s="172"/>
      <c r="D219" s="172"/>
      <c r="E219" s="172"/>
      <c r="F219" s="172"/>
      <c r="G219" s="172"/>
    </row>
    <row r="220" spans="2:7" hidden="1" x14ac:dyDescent="0.3">
      <c r="B220" s="172"/>
      <c r="C220" s="172"/>
      <c r="D220" s="172"/>
      <c r="E220" s="172"/>
      <c r="F220" s="172"/>
      <c r="G220" s="172"/>
    </row>
    <row r="221" spans="2:7" hidden="1" x14ac:dyDescent="0.3">
      <c r="B221" s="172"/>
      <c r="C221" s="172"/>
      <c r="D221" s="172"/>
      <c r="E221" s="172"/>
      <c r="F221" s="172"/>
      <c r="G221" s="172"/>
    </row>
    <row r="222" spans="2:7" hidden="1" x14ac:dyDescent="0.3">
      <c r="B222" s="172"/>
      <c r="C222" s="172"/>
      <c r="D222" s="172"/>
      <c r="E222" s="172"/>
      <c r="F222" s="172"/>
      <c r="G222" s="172"/>
    </row>
    <row r="223" spans="2:7" hidden="1" x14ac:dyDescent="0.3">
      <c r="B223" s="172"/>
      <c r="C223" s="172"/>
      <c r="D223" s="172"/>
      <c r="E223" s="172"/>
      <c r="F223" s="172"/>
      <c r="G223" s="172"/>
    </row>
    <row r="224" spans="2:7" hidden="1" x14ac:dyDescent="0.3">
      <c r="B224" s="172"/>
      <c r="C224" s="172"/>
      <c r="D224" s="172"/>
      <c r="E224" s="172"/>
      <c r="F224" s="172"/>
      <c r="G224" s="172"/>
    </row>
    <row r="225" spans="2:7" hidden="1" x14ac:dyDescent="0.3">
      <c r="B225" s="172"/>
      <c r="C225" s="172"/>
      <c r="D225" s="172"/>
      <c r="E225" s="172"/>
      <c r="F225" s="172"/>
      <c r="G225" s="172"/>
    </row>
    <row r="226" spans="2:7" hidden="1" x14ac:dyDescent="0.3">
      <c r="B226" s="172"/>
      <c r="C226" s="172"/>
      <c r="D226" s="172"/>
      <c r="E226" s="172"/>
      <c r="F226" s="172"/>
      <c r="G226" s="172"/>
    </row>
    <row r="227" spans="2:7" s="172" customFormat="1" hidden="1" x14ac:dyDescent="0.3"/>
    <row r="228" spans="2:7" hidden="1" x14ac:dyDescent="0.3">
      <c r="B228" s="172"/>
      <c r="C228" s="172"/>
      <c r="D228" s="172"/>
      <c r="E228" s="172"/>
      <c r="F228" s="172"/>
      <c r="G228" s="172"/>
    </row>
    <row r="229" spans="2:7" hidden="1" x14ac:dyDescent="0.3">
      <c r="B229" s="172"/>
      <c r="C229" s="172"/>
      <c r="D229" s="172"/>
      <c r="E229" s="172"/>
      <c r="F229" s="172"/>
      <c r="G229" s="172"/>
    </row>
    <row r="230" spans="2:7" s="172" customFormat="1" hidden="1" x14ac:dyDescent="0.3"/>
    <row r="231" spans="2:7" hidden="1" x14ac:dyDescent="0.3">
      <c r="B231" s="172"/>
      <c r="C231" s="172"/>
      <c r="D231" s="172"/>
      <c r="E231" s="172"/>
      <c r="F231" s="172"/>
      <c r="G231" s="172"/>
    </row>
    <row r="232" spans="2:7" hidden="1" x14ac:dyDescent="0.3">
      <c r="B232" s="172"/>
      <c r="C232" s="172"/>
      <c r="D232" s="172"/>
      <c r="E232" s="172"/>
      <c r="F232" s="172"/>
      <c r="G232" s="172"/>
    </row>
    <row r="233" spans="2:7" s="172" customFormat="1" hidden="1" x14ac:dyDescent="0.3"/>
    <row r="234" spans="2:7" hidden="1" x14ac:dyDescent="0.3">
      <c r="B234" s="172"/>
      <c r="C234" s="172"/>
      <c r="D234" s="172"/>
      <c r="E234" s="172"/>
      <c r="F234" s="172"/>
      <c r="G234" s="172"/>
    </row>
    <row r="235" spans="2:7" hidden="1" x14ac:dyDescent="0.3">
      <c r="B235" s="172"/>
      <c r="C235" s="172"/>
      <c r="D235" s="172"/>
      <c r="E235" s="172"/>
      <c r="F235" s="172"/>
      <c r="G235" s="172"/>
    </row>
    <row r="236" spans="2:7" s="172" customFormat="1" hidden="1" x14ac:dyDescent="0.3"/>
    <row r="237" spans="2:7" hidden="1" x14ac:dyDescent="0.3">
      <c r="B237" s="172"/>
      <c r="C237" s="172"/>
      <c r="D237" s="172"/>
      <c r="E237" s="172"/>
      <c r="F237" s="172"/>
      <c r="G237" s="172"/>
    </row>
    <row r="238" spans="2:7" hidden="1" x14ac:dyDescent="0.3">
      <c r="B238" s="172"/>
      <c r="C238" s="172"/>
      <c r="D238" s="172"/>
      <c r="E238" s="172"/>
      <c r="F238" s="172"/>
      <c r="G238" s="172"/>
    </row>
    <row r="239" spans="2:7" s="172" customFormat="1" hidden="1" x14ac:dyDescent="0.3"/>
    <row r="240" spans="2:7" hidden="1" x14ac:dyDescent="0.3">
      <c r="B240" s="172"/>
      <c r="C240" s="172"/>
      <c r="D240" s="172"/>
      <c r="E240" s="172"/>
      <c r="F240" s="172"/>
      <c r="G240" s="172"/>
    </row>
    <row r="241" spans="2:7" hidden="1" x14ac:dyDescent="0.3">
      <c r="B241" s="172"/>
      <c r="C241" s="172"/>
      <c r="D241" s="172"/>
      <c r="E241" s="172"/>
      <c r="F241" s="172"/>
      <c r="G241" s="172"/>
    </row>
    <row r="242" spans="2:7" s="172" customFormat="1" hidden="1" x14ac:dyDescent="0.3"/>
    <row r="243" spans="2:7" hidden="1" x14ac:dyDescent="0.3">
      <c r="B243" s="172"/>
      <c r="C243" s="172"/>
      <c r="D243" s="172"/>
      <c r="E243" s="172"/>
      <c r="F243" s="172"/>
      <c r="G243" s="172"/>
    </row>
    <row r="244" spans="2:7" hidden="1" x14ac:dyDescent="0.3">
      <c r="B244" s="172"/>
      <c r="C244" s="172"/>
      <c r="D244" s="172"/>
      <c r="E244" s="172"/>
      <c r="F244" s="172"/>
      <c r="G244" s="172"/>
    </row>
    <row r="245" spans="2:7" hidden="1" x14ac:dyDescent="0.3">
      <c r="B245" s="172"/>
      <c r="C245" s="172"/>
      <c r="D245" s="172"/>
      <c r="E245" s="172"/>
      <c r="F245" s="172"/>
      <c r="G245" s="172"/>
    </row>
    <row r="246" spans="2:7" hidden="1" x14ac:dyDescent="0.3">
      <c r="B246" s="172"/>
      <c r="C246" s="172"/>
      <c r="D246" s="172"/>
      <c r="E246" s="172"/>
      <c r="F246" s="172"/>
      <c r="G246" s="172"/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191"/>
      <c r="C268" s="191"/>
      <c r="D268" s="191"/>
      <c r="E268" s="191" t="s">
        <v>7</v>
      </c>
      <c r="F268" s="191" t="s">
        <v>7</v>
      </c>
      <c r="G268" s="192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2.5273836366962898E-2</v>
      </c>
      <c r="F270" s="172">
        <v>2.4679031280655399E-2</v>
      </c>
      <c r="G270" s="172">
        <v>1.0241016383318799</v>
      </c>
    </row>
    <row r="271" spans="2:7" hidden="1" x14ac:dyDescent="0.3">
      <c r="B271" s="172" t="s">
        <v>187</v>
      </c>
      <c r="C271" s="172" t="s">
        <v>79</v>
      </c>
      <c r="D271" s="172" t="s">
        <v>218</v>
      </c>
      <c r="E271" s="172">
        <v>2.5709558324880401E-2</v>
      </c>
      <c r="F271" s="172">
        <v>2.41035244272979E-2</v>
      </c>
      <c r="G271" s="172">
        <v>1.0666306664997001</v>
      </c>
    </row>
    <row r="272" spans="2:7" hidden="1" x14ac:dyDescent="0.3">
      <c r="B272" s="172" t="s">
        <v>185</v>
      </c>
      <c r="C272" s="172" t="s">
        <v>79</v>
      </c>
      <c r="D272" s="172" t="s">
        <v>218</v>
      </c>
      <c r="E272" s="172">
        <v>2.47253538435383E-2</v>
      </c>
      <c r="F272" s="172">
        <v>2.31731100086362E-2</v>
      </c>
      <c r="G272" s="172">
        <v>1.0669847005569699</v>
      </c>
    </row>
    <row r="273" spans="2:7" hidden="1" x14ac:dyDescent="0.3">
      <c r="B273" s="172" t="s">
        <v>183</v>
      </c>
      <c r="C273" s="172" t="s">
        <v>79</v>
      </c>
      <c r="D273" s="172" t="s">
        <v>218</v>
      </c>
      <c r="E273" s="172">
        <v>2.3227109743710599E-2</v>
      </c>
      <c r="F273" s="172">
        <v>2.1763637051301101E-2</v>
      </c>
      <c r="G273" s="172">
        <v>1.0672439394647</v>
      </c>
    </row>
    <row r="274" spans="2:7" hidden="1" x14ac:dyDescent="0.3">
      <c r="B274" s="172" t="s">
        <v>181</v>
      </c>
      <c r="C274" s="172" t="s">
        <v>79</v>
      </c>
      <c r="D274" s="172" t="s">
        <v>218</v>
      </c>
      <c r="E274" s="172">
        <v>2.12565119350001E-2</v>
      </c>
      <c r="F274" s="172">
        <v>1.9914401557044999E-2</v>
      </c>
      <c r="G274" s="172">
        <v>1.0673939597989299</v>
      </c>
    </row>
    <row r="275" spans="2:7" hidden="1" x14ac:dyDescent="0.3">
      <c r="B275" s="172" t="s">
        <v>179</v>
      </c>
      <c r="C275" s="172" t="s">
        <v>79</v>
      </c>
      <c r="D275" s="172" t="s">
        <v>218</v>
      </c>
      <c r="E275" s="172">
        <v>1.88869565716853E-2</v>
      </c>
      <c r="F275" s="172">
        <v>1.7693915280979699E-2</v>
      </c>
      <c r="G275" s="172">
        <v>1.0674266419704199</v>
      </c>
    </row>
    <row r="276" spans="2:7" hidden="1" x14ac:dyDescent="0.3">
      <c r="B276" s="172" t="s">
        <v>39</v>
      </c>
      <c r="C276" s="172" t="s">
        <v>79</v>
      </c>
      <c r="D276" s="172" t="s">
        <v>218</v>
      </c>
      <c r="E276" s="172">
        <v>1.6183649179095799E-2</v>
      </c>
      <c r="F276" s="172">
        <v>1.5162819601525801E-2</v>
      </c>
      <c r="G276" s="172">
        <v>1.06732452171806</v>
      </c>
    </row>
    <row r="277" spans="2:7" hidden="1" x14ac:dyDescent="0.3">
      <c r="B277" s="172" t="s">
        <v>26</v>
      </c>
      <c r="C277" s="172" t="s">
        <v>79</v>
      </c>
      <c r="D277" s="172" t="s">
        <v>218</v>
      </c>
      <c r="E277" s="172">
        <v>1.3207688339753399E-2</v>
      </c>
      <c r="F277" s="172">
        <v>1.23770870366289E-2</v>
      </c>
      <c r="G277" s="172">
        <v>1.06710797950005</v>
      </c>
    </row>
    <row r="278" spans="2:7" hidden="1" x14ac:dyDescent="0.3">
      <c r="B278" s="172" t="s">
        <v>25</v>
      </c>
      <c r="C278" s="172" t="s">
        <v>79</v>
      </c>
      <c r="D278" s="172" t="s">
        <v>218</v>
      </c>
      <c r="E278" s="172">
        <v>1.00150979615176E-2</v>
      </c>
      <c r="F278" s="172">
        <v>9.3885215655863507E-3</v>
      </c>
      <c r="G278" s="172">
        <v>1.06673855852107</v>
      </c>
    </row>
    <row r="279" spans="2:7" hidden="1" x14ac:dyDescent="0.3">
      <c r="B279" s="172" t="s">
        <v>24</v>
      </c>
      <c r="C279" s="172" t="s">
        <v>79</v>
      </c>
      <c r="D279" s="172" t="s">
        <v>218</v>
      </c>
      <c r="E279" s="172">
        <v>6.6659283339869499E-3</v>
      </c>
      <c r="F279" s="172">
        <v>6.2534097395420497E-3</v>
      </c>
      <c r="G279" s="172">
        <v>1.0659669862725301</v>
      </c>
    </row>
    <row r="280" spans="2:7" hidden="1" x14ac:dyDescent="0.3">
      <c r="B280" s="172" t="s">
        <v>22</v>
      </c>
      <c r="C280" s="172" t="s">
        <v>79</v>
      </c>
      <c r="D280" s="172" t="s">
        <v>218</v>
      </c>
      <c r="E280" s="172">
        <v>3.24845232386453E-3</v>
      </c>
      <c r="F280" s="172">
        <v>3.0528251208355099E-3</v>
      </c>
      <c r="G280" s="172">
        <v>1.0640807105830801</v>
      </c>
    </row>
    <row r="281" spans="2:7" hidden="1" x14ac:dyDescent="0.3">
      <c r="B281" s="172" t="s">
        <v>189</v>
      </c>
      <c r="C281" s="172" t="s">
        <v>80</v>
      </c>
      <c r="D281" s="172" t="s">
        <v>218</v>
      </c>
      <c r="E281" s="172">
        <v>2.5978750368885001E-2</v>
      </c>
      <c r="F281" s="172">
        <v>2.5266040686352301E-2</v>
      </c>
      <c r="G281" s="172">
        <v>1.02820820608105</v>
      </c>
    </row>
    <row r="282" spans="2:7" hidden="1" x14ac:dyDescent="0.3">
      <c r="B282" s="172" t="s">
        <v>189</v>
      </c>
      <c r="C282" s="172" t="s">
        <v>80</v>
      </c>
      <c r="D282" s="172" t="s">
        <v>221</v>
      </c>
      <c r="E282" s="172">
        <v>3.35302405496092E-3</v>
      </c>
      <c r="F282" s="172">
        <v>2.78285630893475E-3</v>
      </c>
      <c r="G282" s="172">
        <v>1.2048858017554001</v>
      </c>
    </row>
    <row r="283" spans="2:7" hidden="1" x14ac:dyDescent="0.3">
      <c r="B283" s="172" t="s">
        <v>187</v>
      </c>
      <c r="C283" s="172" t="s">
        <v>80</v>
      </c>
      <c r="D283" s="172" t="s">
        <v>218</v>
      </c>
      <c r="E283" s="172">
        <v>2.6416908026638999E-2</v>
      </c>
      <c r="F283" s="172">
        <v>2.41801110826898E-2</v>
      </c>
      <c r="G283" s="172">
        <v>1.0925056521163199</v>
      </c>
    </row>
    <row r="284" spans="2:7" hidden="1" x14ac:dyDescent="0.3">
      <c r="B284" s="172" t="s">
        <v>185</v>
      </c>
      <c r="C284" s="172" t="s">
        <v>80</v>
      </c>
      <c r="D284" s="172" t="s">
        <v>218</v>
      </c>
      <c r="E284" s="172">
        <v>2.5428737548884601E-2</v>
      </c>
      <c r="F284" s="172">
        <v>2.3250054327809699E-2</v>
      </c>
      <c r="G284" s="172">
        <v>1.09370658624522</v>
      </c>
    </row>
    <row r="285" spans="2:7" hidden="1" x14ac:dyDescent="0.3">
      <c r="B285" s="172" t="s">
        <v>183</v>
      </c>
      <c r="C285" s="172" t="s">
        <v>80</v>
      </c>
      <c r="D285" s="172" t="s">
        <v>218</v>
      </c>
      <c r="E285" s="172">
        <v>2.3908841707373899E-2</v>
      </c>
      <c r="F285" s="172">
        <v>2.18386353532358E-2</v>
      </c>
      <c r="G285" s="172">
        <v>1.0947955914210299</v>
      </c>
    </row>
    <row r="286" spans="2:7" hidden="1" x14ac:dyDescent="0.3">
      <c r="B286" s="172" t="s">
        <v>181</v>
      </c>
      <c r="C286" s="172" t="s">
        <v>80</v>
      </c>
      <c r="D286" s="172" t="s">
        <v>218</v>
      </c>
      <c r="E286" s="172">
        <v>2.1900928998583199E-2</v>
      </c>
      <c r="F286" s="172">
        <v>1.9985414345199001E-2</v>
      </c>
      <c r="G286" s="172">
        <v>1.0958456312337801</v>
      </c>
    </row>
    <row r="287" spans="2:7" hidden="1" x14ac:dyDescent="0.3">
      <c r="B287" s="172" t="s">
        <v>179</v>
      </c>
      <c r="C287" s="172" t="s">
        <v>80</v>
      </c>
      <c r="D287" s="172" t="s">
        <v>218</v>
      </c>
      <c r="E287" s="172">
        <v>1.9480173065761702E-2</v>
      </c>
      <c r="F287" s="172">
        <v>1.77591454068491E-2</v>
      </c>
      <c r="G287" s="172">
        <v>1.09690937370493</v>
      </c>
    </row>
    <row r="288" spans="2:7" hidden="1" x14ac:dyDescent="0.3">
      <c r="B288" s="172" t="s">
        <v>39</v>
      </c>
      <c r="C288" s="172" t="s">
        <v>80</v>
      </c>
      <c r="D288" s="172" t="s">
        <v>218</v>
      </c>
      <c r="E288" s="172">
        <v>1.6712870589534499E-2</v>
      </c>
      <c r="F288" s="172">
        <v>1.5220639393460401E-2</v>
      </c>
      <c r="G288" s="172">
        <v>1.09803998094293</v>
      </c>
    </row>
    <row r="289" spans="2:7" hidden="1" x14ac:dyDescent="0.3">
      <c r="B289" s="172" t="s">
        <v>26</v>
      </c>
      <c r="C289" s="172" t="s">
        <v>80</v>
      </c>
      <c r="D289" s="172" t="s">
        <v>218</v>
      </c>
      <c r="E289" s="172">
        <v>1.36612075475172E-2</v>
      </c>
      <c r="F289" s="172">
        <v>1.24261014692144E-2</v>
      </c>
      <c r="G289" s="172">
        <v>1.0993961043504099</v>
      </c>
    </row>
    <row r="290" spans="2:7" hidden="1" x14ac:dyDescent="0.3">
      <c r="B290" s="172" t="s">
        <v>25</v>
      </c>
      <c r="C290" s="172" t="s">
        <v>80</v>
      </c>
      <c r="D290" s="172" t="s">
        <v>218</v>
      </c>
      <c r="E290" s="172">
        <v>1.03806177226312E-2</v>
      </c>
      <c r="F290" s="172">
        <v>9.4273897122707402E-3</v>
      </c>
      <c r="G290" s="172">
        <v>1.10111261329525</v>
      </c>
    </row>
    <row r="291" spans="2:7" hidden="1" x14ac:dyDescent="0.3">
      <c r="B291" s="172" t="s">
        <v>24</v>
      </c>
      <c r="C291" s="172" t="s">
        <v>80</v>
      </c>
      <c r="D291" s="172" t="s">
        <v>218</v>
      </c>
      <c r="E291" s="172">
        <v>6.9296739501481797E-3</v>
      </c>
      <c r="F291" s="172">
        <v>6.2807090126534302E-3</v>
      </c>
      <c r="G291" s="172">
        <v>1.1033267002478999</v>
      </c>
    </row>
    <row r="292" spans="2:7" hidden="1" x14ac:dyDescent="0.3">
      <c r="B292" s="172" t="s">
        <v>22</v>
      </c>
      <c r="C292" s="172" t="s">
        <v>80</v>
      </c>
      <c r="D292" s="172" t="s">
        <v>218</v>
      </c>
      <c r="E292" s="172">
        <v>3.3943779217099801E-3</v>
      </c>
      <c r="F292" s="172">
        <v>3.0671877190690199E-3</v>
      </c>
      <c r="G292" s="172">
        <v>1.1066743325186099</v>
      </c>
    </row>
    <row r="293" spans="2:7" x14ac:dyDescent="0.3">
      <c r="B293" s="172" t="s">
        <v>189</v>
      </c>
      <c r="C293" s="172" t="s">
        <v>81</v>
      </c>
      <c r="D293" s="172" t="s">
        <v>221</v>
      </c>
      <c r="E293" s="172">
        <v>2.4526041265698201E-2</v>
      </c>
      <c r="F293" s="172">
        <v>2.4471312903060798E-2</v>
      </c>
      <c r="G293" s="172">
        <v>1.00223642935931</v>
      </c>
    </row>
    <row r="294" spans="2:7" x14ac:dyDescent="0.3">
      <c r="B294" s="172" t="s">
        <v>187</v>
      </c>
      <c r="C294" s="172" t="s">
        <v>81</v>
      </c>
      <c r="D294" s="172" t="s">
        <v>221</v>
      </c>
      <c r="E294" s="172">
        <v>2.4336792755100201E-2</v>
      </c>
      <c r="F294" s="172">
        <v>2.4139172127357101E-2</v>
      </c>
      <c r="G294" s="172">
        <v>1.00818671935808</v>
      </c>
    </row>
    <row r="295" spans="2:7" x14ac:dyDescent="0.3">
      <c r="B295" s="172" t="s">
        <v>185</v>
      </c>
      <c r="C295" s="172" t="s">
        <v>81</v>
      </c>
      <c r="D295" s="172" t="s">
        <v>221</v>
      </c>
      <c r="E295" s="172">
        <v>2.33297783992822E-2</v>
      </c>
      <c r="F295" s="172">
        <v>2.3171370930696902E-2</v>
      </c>
      <c r="G295" s="172">
        <v>1.00683634425685</v>
      </c>
    </row>
    <row r="296" spans="2:7" x14ac:dyDescent="0.3">
      <c r="B296" s="172" t="s">
        <v>183</v>
      </c>
      <c r="C296" s="172" t="s">
        <v>81</v>
      </c>
      <c r="D296" s="172" t="s">
        <v>221</v>
      </c>
      <c r="E296" s="172">
        <v>2.1849203976984401E-2</v>
      </c>
      <c r="F296" s="172">
        <v>2.1723341015021502E-2</v>
      </c>
      <c r="G296" s="172">
        <v>1.0057939044402</v>
      </c>
    </row>
    <row r="297" spans="2:7" x14ac:dyDescent="0.3">
      <c r="B297" s="172" t="s">
        <v>181</v>
      </c>
      <c r="C297" s="172" t="s">
        <v>81</v>
      </c>
      <c r="D297" s="172" t="s">
        <v>221</v>
      </c>
      <c r="E297" s="172">
        <v>1.9932710386615801E-2</v>
      </c>
      <c r="F297" s="172">
        <v>1.9836553609512999E-2</v>
      </c>
      <c r="G297" s="172">
        <v>1.00484745379645</v>
      </c>
    </row>
    <row r="298" spans="2:7" x14ac:dyDescent="0.3">
      <c r="B298" s="172" t="s">
        <v>179</v>
      </c>
      <c r="C298" s="172" t="s">
        <v>81</v>
      </c>
      <c r="D298" s="172" t="s">
        <v>221</v>
      </c>
      <c r="E298" s="172">
        <v>1.7652605203304399E-2</v>
      </c>
      <c r="F298" s="172">
        <v>1.7583196908437699E-2</v>
      </c>
      <c r="G298" s="172">
        <v>1.00394742180436</v>
      </c>
    </row>
    <row r="299" spans="2:7" x14ac:dyDescent="0.3">
      <c r="B299" s="172" t="s">
        <v>39</v>
      </c>
      <c r="C299" s="172" t="s">
        <v>81</v>
      </c>
      <c r="D299" s="172" t="s">
        <v>221</v>
      </c>
      <c r="E299" s="172">
        <v>1.50733799457524E-2</v>
      </c>
      <c r="F299" s="172">
        <v>1.5028490021086501E-2</v>
      </c>
      <c r="G299" s="172">
        <v>1.00298698835365</v>
      </c>
    </row>
    <row r="300" spans="2:7" x14ac:dyDescent="0.3">
      <c r="B300" s="172" t="s">
        <v>26</v>
      </c>
      <c r="C300" s="172" t="s">
        <v>81</v>
      </c>
      <c r="D300" s="172" t="s">
        <v>221</v>
      </c>
      <c r="E300" s="172">
        <v>1.2251649047491001E-2</v>
      </c>
      <c r="F300" s="172">
        <v>1.22450837114073E-2</v>
      </c>
      <c r="G300" s="172">
        <v>1.00053616098007</v>
      </c>
    </row>
    <row r="301" spans="2:7" x14ac:dyDescent="0.3">
      <c r="B301" s="172" t="s">
        <v>25</v>
      </c>
      <c r="C301" s="172" t="s">
        <v>81</v>
      </c>
      <c r="D301" s="172" t="s">
        <v>221</v>
      </c>
      <c r="E301" s="172">
        <v>9.3271524585406308E-3</v>
      </c>
      <c r="F301" s="172">
        <v>9.2843927740343599E-3</v>
      </c>
      <c r="G301" s="172">
        <v>1.00460554454631</v>
      </c>
    </row>
    <row r="302" spans="2:7" x14ac:dyDescent="0.3">
      <c r="B302" s="172" t="s">
        <v>24</v>
      </c>
      <c r="C302" s="172" t="s">
        <v>81</v>
      </c>
      <c r="D302" s="172" t="s">
        <v>221</v>
      </c>
      <c r="E302" s="172">
        <v>6.2692342934877604E-3</v>
      </c>
      <c r="F302" s="172">
        <v>6.1863544021676497E-3</v>
      </c>
      <c r="G302" s="172">
        <v>1.0133972103652999</v>
      </c>
    </row>
    <row r="303" spans="2:7" x14ac:dyDescent="0.3">
      <c r="B303" s="172" t="s">
        <v>22</v>
      </c>
      <c r="C303" s="172" t="s">
        <v>81</v>
      </c>
      <c r="D303" s="172" t="s">
        <v>221</v>
      </c>
      <c r="E303" s="172">
        <v>3.1214994917802999E-3</v>
      </c>
      <c r="F303" s="172">
        <v>3.0258132960866899E-3</v>
      </c>
      <c r="G303" s="172">
        <v>1.0316232980459701</v>
      </c>
    </row>
    <row r="304" spans="2:7" hidden="1" x14ac:dyDescent="0.3">
      <c r="B304" s="172" t="s">
        <v>189</v>
      </c>
      <c r="C304" s="172" t="s">
        <v>82</v>
      </c>
      <c r="D304" s="172" t="s">
        <v>221</v>
      </c>
      <c r="E304" s="172">
        <v>2.3214830928650398E-2</v>
      </c>
      <c r="F304" s="172">
        <v>2.2059454239960901E-2</v>
      </c>
      <c r="G304" s="172">
        <v>1.05237557902029</v>
      </c>
    </row>
    <row r="305" spans="2:7" hidden="1" x14ac:dyDescent="0.3">
      <c r="B305" s="172" t="s">
        <v>187</v>
      </c>
      <c r="C305" s="172" t="s">
        <v>82</v>
      </c>
      <c r="D305" s="172" t="s">
        <v>221</v>
      </c>
      <c r="E305" s="172">
        <v>2.9521437453775098E-2</v>
      </c>
      <c r="F305" s="172">
        <v>2.49892207987449E-2</v>
      </c>
      <c r="G305" s="172">
        <v>1.1813668657991101</v>
      </c>
    </row>
    <row r="306" spans="2:7" hidden="1" x14ac:dyDescent="0.3">
      <c r="B306" s="172" t="s">
        <v>185</v>
      </c>
      <c r="C306" s="172" t="s">
        <v>82</v>
      </c>
      <c r="D306" s="172" t="s">
        <v>221</v>
      </c>
      <c r="E306" s="172">
        <v>2.83521438846429E-2</v>
      </c>
      <c r="F306" s="172">
        <v>2.39854103814959E-2</v>
      </c>
      <c r="G306" s="172">
        <v>1.1820579024370499</v>
      </c>
    </row>
    <row r="307" spans="2:7" hidden="1" x14ac:dyDescent="0.3">
      <c r="B307" s="172" t="s">
        <v>183</v>
      </c>
      <c r="C307" s="172" t="s">
        <v>82</v>
      </c>
      <c r="D307" s="172" t="s">
        <v>221</v>
      </c>
      <c r="E307" s="172">
        <v>2.65968555808727E-2</v>
      </c>
      <c r="F307" s="172">
        <v>2.24863434299554E-2</v>
      </c>
      <c r="G307" s="172">
        <v>1.18280038120566</v>
      </c>
    </row>
    <row r="308" spans="2:7" hidden="1" x14ac:dyDescent="0.3">
      <c r="B308" s="172" t="s">
        <v>181</v>
      </c>
      <c r="C308" s="172" t="s">
        <v>82</v>
      </c>
      <c r="D308" s="172" t="s">
        <v>221</v>
      </c>
      <c r="E308" s="172">
        <v>2.43016707491461E-2</v>
      </c>
      <c r="F308" s="172">
        <v>2.0533715013020599E-2</v>
      </c>
      <c r="G308" s="172">
        <v>1.18350092682869</v>
      </c>
    </row>
    <row r="309" spans="2:7" hidden="1" x14ac:dyDescent="0.3">
      <c r="B309" s="172" t="s">
        <v>179</v>
      </c>
      <c r="C309" s="172" t="s">
        <v>82</v>
      </c>
      <c r="D309" s="172" t="s">
        <v>221</v>
      </c>
      <c r="E309" s="172">
        <v>2.1554807073379E-2</v>
      </c>
      <c r="F309" s="172">
        <v>1.82020521591903E-2</v>
      </c>
      <c r="G309" s="172">
        <v>1.1841965337131499</v>
      </c>
    </row>
    <row r="310" spans="2:7" hidden="1" x14ac:dyDescent="0.3">
      <c r="B310" s="172" t="s">
        <v>39</v>
      </c>
      <c r="C310" s="172" t="s">
        <v>82</v>
      </c>
      <c r="D310" s="172" t="s">
        <v>221</v>
      </c>
      <c r="E310" s="172">
        <v>1.8434379057473398E-2</v>
      </c>
      <c r="F310" s="172">
        <v>1.55584642223457E-2</v>
      </c>
      <c r="G310" s="172">
        <v>1.1848456758988599</v>
      </c>
    </row>
    <row r="311" spans="2:7" hidden="1" x14ac:dyDescent="0.3">
      <c r="B311" s="172" t="s">
        <v>26</v>
      </c>
      <c r="C311" s="172" t="s">
        <v>82</v>
      </c>
      <c r="D311" s="172" t="s">
        <v>221</v>
      </c>
      <c r="E311" s="172">
        <v>1.5008456604268699E-2</v>
      </c>
      <c r="F311" s="172">
        <v>1.2674620128973401E-2</v>
      </c>
      <c r="G311" s="172">
        <v>1.1841346290103201</v>
      </c>
    </row>
    <row r="312" spans="2:7" hidden="1" x14ac:dyDescent="0.3">
      <c r="B312" s="172" t="s">
        <v>25</v>
      </c>
      <c r="C312" s="172" t="s">
        <v>82</v>
      </c>
      <c r="D312" s="172" t="s">
        <v>221</v>
      </c>
      <c r="E312" s="172">
        <v>1.1341366603615099E-2</v>
      </c>
      <c r="F312" s="172">
        <v>9.6036905828419897E-3</v>
      </c>
      <c r="G312" s="172">
        <v>1.1809383596632801</v>
      </c>
    </row>
    <row r="313" spans="2:7" hidden="1" x14ac:dyDescent="0.3">
      <c r="B313" s="172" t="s">
        <v>24</v>
      </c>
      <c r="C313" s="172" t="s">
        <v>82</v>
      </c>
      <c r="D313" s="172" t="s">
        <v>221</v>
      </c>
      <c r="E313" s="172">
        <v>7.5045874560215999E-3</v>
      </c>
      <c r="F313" s="172">
        <v>6.3905913715237702E-3</v>
      </c>
      <c r="G313" s="172">
        <v>1.1743181530056499</v>
      </c>
    </row>
    <row r="314" spans="2:7" hidden="1" x14ac:dyDescent="0.3">
      <c r="B314" s="172" t="s">
        <v>22</v>
      </c>
      <c r="C314" s="172" t="s">
        <v>82</v>
      </c>
      <c r="D314" s="172" t="s">
        <v>221</v>
      </c>
      <c r="E314" s="172">
        <v>3.6100917286096602E-3</v>
      </c>
      <c r="F314" s="172">
        <v>3.1159797786665601E-3</v>
      </c>
      <c r="G314" s="172">
        <v>1.1585735418843299</v>
      </c>
    </row>
    <row r="315" spans="2:7" hidden="1" x14ac:dyDescent="0.3">
      <c r="B315" s="172" t="s">
        <v>189</v>
      </c>
      <c r="C315" s="172" t="s">
        <v>246</v>
      </c>
      <c r="D315" s="172" t="s">
        <v>218</v>
      </c>
      <c r="E315" s="172">
        <v>3.9091795051617003E-3</v>
      </c>
      <c r="F315" s="172">
        <v>3.8693160048051101E-3</v>
      </c>
      <c r="G315" s="172">
        <v>1.01030246697532</v>
      </c>
    </row>
    <row r="316" spans="2:7" hidden="1" x14ac:dyDescent="0.3">
      <c r="B316" s="172" t="s">
        <v>187</v>
      </c>
      <c r="C316" s="172" t="s">
        <v>246</v>
      </c>
      <c r="D316" s="172" t="s">
        <v>218</v>
      </c>
      <c r="E316" s="172">
        <v>2.9963313625175599E-3</v>
      </c>
      <c r="F316" s="172">
        <v>2.7254811148508498E-3</v>
      </c>
      <c r="G316" s="172">
        <v>1.099377040696</v>
      </c>
    </row>
    <row r="317" spans="2:7" hidden="1" x14ac:dyDescent="0.3">
      <c r="B317" s="172" t="s">
        <v>185</v>
      </c>
      <c r="C317" s="172" t="s">
        <v>246</v>
      </c>
      <c r="D317" s="172" t="s">
        <v>218</v>
      </c>
      <c r="E317" s="172">
        <v>2.5672825406469701E-3</v>
      </c>
      <c r="F317" s="172">
        <v>2.3369043538184601E-3</v>
      </c>
      <c r="G317" s="172">
        <v>1.0985826340954301</v>
      </c>
    </row>
    <row r="318" spans="2:7" hidden="1" x14ac:dyDescent="0.3">
      <c r="B318" s="172" t="s">
        <v>183</v>
      </c>
      <c r="C318" s="172" t="s">
        <v>246</v>
      </c>
      <c r="D318" s="172" t="s">
        <v>218</v>
      </c>
      <c r="E318" s="172">
        <v>2.1430620585987398E-3</v>
      </c>
      <c r="F318" s="172">
        <v>1.9483213208797399E-3</v>
      </c>
      <c r="G318" s="172">
        <v>1.09995309071045</v>
      </c>
    </row>
    <row r="319" spans="2:7" hidden="1" x14ac:dyDescent="0.3">
      <c r="B319" s="172" t="s">
        <v>181</v>
      </c>
      <c r="C319" s="172" t="s">
        <v>246</v>
      </c>
      <c r="D319" s="172" t="s">
        <v>218</v>
      </c>
      <c r="E319" s="172">
        <v>1.7350039229916999E-3</v>
      </c>
      <c r="F319" s="172">
        <v>1.5755360089288E-3</v>
      </c>
      <c r="G319" s="172">
        <v>1.10121502343277</v>
      </c>
    </row>
    <row r="320" spans="2:7" hidden="1" x14ac:dyDescent="0.3">
      <c r="B320" s="172" t="s">
        <v>179</v>
      </c>
      <c r="C320" s="172" t="s">
        <v>246</v>
      </c>
      <c r="D320" s="172" t="s">
        <v>218</v>
      </c>
      <c r="E320" s="172">
        <v>1.3510187604353599E-3</v>
      </c>
      <c r="F320" s="172">
        <v>1.2257854899239101E-3</v>
      </c>
      <c r="G320" s="172">
        <v>1.10216573090551</v>
      </c>
    </row>
    <row r="321" spans="2:7" hidden="1" x14ac:dyDescent="0.3">
      <c r="B321" s="172" t="s">
        <v>39</v>
      </c>
      <c r="C321" s="172" t="s">
        <v>246</v>
      </c>
      <c r="D321" s="172" t="s">
        <v>218</v>
      </c>
      <c r="E321" s="172">
        <v>9.9891016799926596E-4</v>
      </c>
      <c r="F321" s="172">
        <v>9.0606862135657795E-4</v>
      </c>
      <c r="G321" s="172">
        <v>1.10246635238696</v>
      </c>
    </row>
    <row r="322" spans="2:7" hidden="1" x14ac:dyDescent="0.3">
      <c r="B322" s="172" t="s">
        <v>26</v>
      </c>
      <c r="C322" s="172" t="s">
        <v>246</v>
      </c>
      <c r="D322" s="172" t="s">
        <v>218</v>
      </c>
      <c r="E322" s="172">
        <v>6.8802893335258904E-4</v>
      </c>
      <c r="F322" s="172">
        <v>6.2183064295287895E-4</v>
      </c>
      <c r="G322" s="172">
        <v>1.1064571055639101</v>
      </c>
    </row>
    <row r="323" spans="2:7" hidden="1" x14ac:dyDescent="0.3">
      <c r="B323" s="172" t="s">
        <v>25</v>
      </c>
      <c r="C323" s="172" t="s">
        <v>246</v>
      </c>
      <c r="D323" s="172" t="s">
        <v>218</v>
      </c>
      <c r="E323" s="172">
        <v>4.2540113332283498E-4</v>
      </c>
      <c r="F323" s="172">
        <v>3.80297161319865E-4</v>
      </c>
      <c r="G323" s="172">
        <v>1.1186019160554099</v>
      </c>
    </row>
    <row r="324" spans="2:7" hidden="1" x14ac:dyDescent="0.3">
      <c r="B324" s="172" t="s">
        <v>24</v>
      </c>
      <c r="C324" s="172" t="s">
        <v>246</v>
      </c>
      <c r="D324" s="172" t="s">
        <v>218</v>
      </c>
      <c r="E324" s="172">
        <v>2.16119453049667E-4</v>
      </c>
      <c r="F324" s="172">
        <v>1.9005065381928399E-4</v>
      </c>
      <c r="G324" s="172">
        <v>1.1371676377139499</v>
      </c>
    </row>
    <row r="325" spans="2:7" hidden="1" x14ac:dyDescent="0.3">
      <c r="B325" s="172" t="s">
        <v>22</v>
      </c>
      <c r="C325" s="172" t="s">
        <v>246</v>
      </c>
      <c r="D325" s="172" t="s">
        <v>218</v>
      </c>
      <c r="E325" s="172">
        <v>6.7434891901258095E-5</v>
      </c>
      <c r="F325" s="172">
        <v>5.8452549642482402E-5</v>
      </c>
      <c r="G325" s="172">
        <v>1.1536689556523201</v>
      </c>
    </row>
    <row r="326" spans="2:7" hidden="1" x14ac:dyDescent="0.3">
      <c r="B326" s="172"/>
      <c r="C326" s="172"/>
      <c r="D326" s="172"/>
      <c r="E326" s="172"/>
      <c r="F326" s="172"/>
      <c r="G326" s="172"/>
    </row>
    <row r="327" spans="2:7" hidden="1" x14ac:dyDescent="0.3">
      <c r="B327" s="172"/>
      <c r="C327" s="172"/>
      <c r="D327" s="172"/>
      <c r="E327" s="172"/>
      <c r="F327" s="172"/>
      <c r="G327" s="172"/>
    </row>
    <row r="328" spans="2:7" hidden="1" x14ac:dyDescent="0.3">
      <c r="B328" s="172"/>
      <c r="C328" s="172"/>
      <c r="D328" s="172"/>
      <c r="E328" s="172"/>
      <c r="F328" s="172"/>
      <c r="G328" s="172"/>
    </row>
    <row r="329" spans="2:7" hidden="1" x14ac:dyDescent="0.3">
      <c r="B329" s="172"/>
      <c r="C329" s="172"/>
      <c r="D329" s="172"/>
      <c r="E329" s="172"/>
      <c r="F329" s="172"/>
      <c r="G329" s="172"/>
    </row>
    <row r="330" spans="2:7" hidden="1" x14ac:dyDescent="0.3">
      <c r="B330" s="172"/>
      <c r="C330" s="172"/>
      <c r="D330" s="172"/>
      <c r="E330" s="172"/>
      <c r="F330" s="172"/>
      <c r="G330" s="172"/>
    </row>
    <row r="331" spans="2:7" hidden="1" x14ac:dyDescent="0.3">
      <c r="B331" s="172"/>
      <c r="C331" s="172"/>
      <c r="D331" s="172"/>
      <c r="E331" s="172"/>
      <c r="F331" s="172"/>
      <c r="G331" s="172"/>
    </row>
    <row r="332" spans="2:7" hidden="1" x14ac:dyDescent="0.3">
      <c r="B332" s="172"/>
      <c r="C332" s="172"/>
      <c r="D332" s="172"/>
      <c r="E332" s="172"/>
      <c r="F332" s="172"/>
      <c r="G332" s="172"/>
    </row>
    <row r="333" spans="2:7" hidden="1" x14ac:dyDescent="0.3">
      <c r="B333" s="172"/>
      <c r="C333" s="172"/>
      <c r="D333" s="172"/>
      <c r="E333" s="172"/>
      <c r="F333" s="172"/>
      <c r="G333" s="172"/>
    </row>
    <row r="334" spans="2:7" hidden="1" x14ac:dyDescent="0.3">
      <c r="B334" s="172"/>
      <c r="C334" s="172"/>
      <c r="D334" s="172"/>
      <c r="E334" s="172"/>
      <c r="F334" s="172"/>
      <c r="G334" s="172"/>
    </row>
    <row r="335" spans="2:7" hidden="1" x14ac:dyDescent="0.3">
      <c r="B335" s="172"/>
      <c r="C335" s="172"/>
      <c r="D335" s="172"/>
      <c r="E335" s="172"/>
      <c r="F335" s="172"/>
      <c r="G335" s="172"/>
    </row>
    <row r="336" spans="2:7" hidden="1" x14ac:dyDescent="0.3">
      <c r="B336" s="172"/>
      <c r="C336" s="172"/>
      <c r="D336" s="172"/>
      <c r="E336" s="172"/>
      <c r="F336" s="172"/>
      <c r="G336" s="172"/>
    </row>
    <row r="337" spans="2:7" hidden="1" x14ac:dyDescent="0.3">
      <c r="B337" s="172"/>
      <c r="C337" s="172"/>
      <c r="D337" s="172"/>
      <c r="E337" s="172"/>
      <c r="F337" s="172"/>
      <c r="G337" s="172"/>
    </row>
    <row r="338" spans="2:7" hidden="1" x14ac:dyDescent="0.3">
      <c r="B338" s="172"/>
      <c r="C338" s="172"/>
      <c r="D338" s="172"/>
      <c r="E338" s="172"/>
      <c r="F338" s="172"/>
      <c r="G338" s="172"/>
    </row>
    <row r="339" spans="2:7" s="172" customFormat="1" hidden="1" x14ac:dyDescent="0.3"/>
    <row r="340" spans="2:7" hidden="1" x14ac:dyDescent="0.3">
      <c r="B340" s="172"/>
      <c r="C340" s="172"/>
      <c r="D340" s="172"/>
      <c r="E340" s="172"/>
      <c r="F340" s="172"/>
      <c r="G340" s="172"/>
    </row>
    <row r="341" spans="2:7" hidden="1" x14ac:dyDescent="0.3">
      <c r="B341" s="172"/>
      <c r="C341" s="172"/>
      <c r="D341" s="172"/>
      <c r="E341" s="172"/>
      <c r="F341" s="172"/>
      <c r="G341" s="172"/>
    </row>
    <row r="342" spans="2:7" hidden="1" x14ac:dyDescent="0.3">
      <c r="B342" s="172"/>
      <c r="C342" s="172"/>
      <c r="D342" s="172"/>
      <c r="E342" s="172"/>
      <c r="F342" s="172"/>
      <c r="G342" s="172"/>
    </row>
    <row r="343" spans="2:7" s="172" customFormat="1" hidden="1" x14ac:dyDescent="0.3"/>
    <row r="344" spans="2:7" hidden="1" x14ac:dyDescent="0.3">
      <c r="B344" s="172"/>
      <c r="C344" s="172"/>
      <c r="D344" s="172"/>
      <c r="E344" s="172"/>
      <c r="F344" s="172"/>
      <c r="G344" s="172"/>
    </row>
    <row r="345" spans="2:7" hidden="1" x14ac:dyDescent="0.3">
      <c r="B345" s="172"/>
      <c r="C345" s="172"/>
      <c r="D345" s="172"/>
      <c r="E345" s="172"/>
      <c r="F345" s="172"/>
      <c r="G345" s="172"/>
    </row>
    <row r="346" spans="2:7" hidden="1" x14ac:dyDescent="0.3">
      <c r="B346" s="172"/>
      <c r="C346" s="172"/>
      <c r="D346" s="172"/>
      <c r="E346" s="172"/>
      <c r="F346" s="172"/>
      <c r="G346" s="172"/>
    </row>
    <row r="347" spans="2:7" s="172" customFormat="1" hidden="1" x14ac:dyDescent="0.3"/>
    <row r="348" spans="2:7" hidden="1" x14ac:dyDescent="0.3">
      <c r="B348" s="172"/>
      <c r="C348" s="172"/>
      <c r="D348" s="172"/>
      <c r="E348" s="172"/>
      <c r="F348" s="172"/>
      <c r="G348" s="172"/>
    </row>
    <row r="349" spans="2:7" hidden="1" x14ac:dyDescent="0.3">
      <c r="B349" s="172"/>
      <c r="C349" s="172"/>
      <c r="D349" s="172"/>
      <c r="E349" s="172"/>
      <c r="F349" s="172"/>
      <c r="G349" s="172"/>
    </row>
    <row r="350" spans="2:7" hidden="1" x14ac:dyDescent="0.3">
      <c r="B350" s="172"/>
      <c r="C350" s="172"/>
      <c r="D350" s="172"/>
      <c r="E350" s="172"/>
      <c r="F350" s="172"/>
      <c r="G350" s="172"/>
    </row>
    <row r="351" spans="2:7" s="172" customFormat="1" hidden="1" x14ac:dyDescent="0.3"/>
    <row r="352" spans="2:7" hidden="1" x14ac:dyDescent="0.3">
      <c r="B352" s="172"/>
      <c r="C352" s="172"/>
      <c r="D352" s="172"/>
      <c r="E352" s="172"/>
      <c r="F352" s="172"/>
      <c r="G352" s="172"/>
    </row>
    <row r="353" spans="2:7" hidden="1" x14ac:dyDescent="0.3">
      <c r="B353" s="172"/>
      <c r="C353" s="172"/>
      <c r="D353" s="172"/>
      <c r="E353" s="172"/>
      <c r="F353" s="172"/>
      <c r="G353" s="172"/>
    </row>
    <row r="354" spans="2:7" hidden="1" x14ac:dyDescent="0.3">
      <c r="B354" s="172"/>
      <c r="C354" s="172"/>
      <c r="D354" s="172"/>
      <c r="E354" s="172"/>
      <c r="F354" s="172"/>
      <c r="G354" s="172"/>
    </row>
    <row r="355" spans="2:7" s="172" customFormat="1" hidden="1" x14ac:dyDescent="0.3"/>
    <row r="356" spans="2:7" hidden="1" x14ac:dyDescent="0.3">
      <c r="B356" s="172"/>
      <c r="C356" s="172"/>
      <c r="D356" s="172"/>
      <c r="E356" s="172"/>
      <c r="F356" s="172"/>
      <c r="G356" s="172"/>
    </row>
    <row r="357" spans="2:7" hidden="1" x14ac:dyDescent="0.3">
      <c r="B357" s="172"/>
      <c r="C357" s="172"/>
      <c r="D357" s="172"/>
      <c r="E357" s="172"/>
      <c r="F357" s="172"/>
      <c r="G357" s="172"/>
    </row>
    <row r="358" spans="2:7" hidden="1" x14ac:dyDescent="0.3">
      <c r="B358" s="172"/>
      <c r="C358" s="172"/>
      <c r="D358" s="172"/>
      <c r="E358" s="172"/>
      <c r="F358" s="172"/>
      <c r="G358" s="172"/>
    </row>
    <row r="359" spans="2:7" s="172" customFormat="1" hidden="1" x14ac:dyDescent="0.3"/>
    <row r="360" spans="2:7" hidden="1" x14ac:dyDescent="0.3">
      <c r="B360" s="172"/>
      <c r="C360" s="172"/>
      <c r="D360" s="172"/>
      <c r="E360" s="172"/>
      <c r="F360" s="172"/>
      <c r="G360" s="172"/>
    </row>
    <row r="361" spans="2:7" hidden="1" x14ac:dyDescent="0.3">
      <c r="B361" s="172"/>
      <c r="C361" s="172"/>
      <c r="D361" s="172"/>
      <c r="E361" s="172"/>
      <c r="F361" s="172"/>
      <c r="G361" s="172"/>
    </row>
    <row r="362" spans="2:7" hidden="1" x14ac:dyDescent="0.3">
      <c r="B362" s="172"/>
      <c r="C362" s="172"/>
      <c r="D362" s="172"/>
      <c r="E362" s="172"/>
      <c r="F362" s="172"/>
      <c r="G362" s="172"/>
    </row>
    <row r="363" spans="2:7" hidden="1" x14ac:dyDescent="0.3">
      <c r="B363" s="172"/>
      <c r="C363" s="172"/>
      <c r="D363" s="172"/>
      <c r="E363" s="172"/>
      <c r="F363" s="172"/>
      <c r="G363" s="172"/>
    </row>
    <row r="364" spans="2:7" hidden="1" x14ac:dyDescent="0.3">
      <c r="B364" s="172"/>
      <c r="C364" s="172"/>
      <c r="D364" s="172"/>
      <c r="E364" s="172"/>
      <c r="F364" s="172"/>
      <c r="G364" s="172"/>
    </row>
    <row r="365" spans="2:7" hidden="1" x14ac:dyDescent="0.3">
      <c r="B365" s="172"/>
      <c r="C365" s="172"/>
      <c r="D365" s="172"/>
      <c r="E365" s="172"/>
      <c r="F365" s="172"/>
      <c r="G365" s="172"/>
    </row>
    <row r="366" spans="2:7" hidden="1" x14ac:dyDescent="0.3">
      <c r="B366" s="172"/>
      <c r="C366" s="172"/>
      <c r="D366" s="172"/>
      <c r="E366" s="172"/>
      <c r="F366" s="172"/>
      <c r="G366" s="172"/>
    </row>
    <row r="367" spans="2:7" hidden="1" x14ac:dyDescent="0.3">
      <c r="B367" s="172"/>
      <c r="C367" s="172"/>
      <c r="D367" s="172"/>
      <c r="E367" s="172"/>
      <c r="F367" s="172"/>
      <c r="G367" s="172"/>
    </row>
    <row r="368" spans="2:7" hidden="1" x14ac:dyDescent="0.3">
      <c r="B368" s="172"/>
      <c r="C368" s="172"/>
      <c r="D368" s="172"/>
      <c r="E368" s="172"/>
      <c r="F368" s="172"/>
      <c r="G368" s="172"/>
    </row>
    <row r="369" spans="2:7" hidden="1" x14ac:dyDescent="0.3">
      <c r="B369" s="172"/>
      <c r="C369" s="172"/>
      <c r="D369" s="172"/>
      <c r="E369" s="172"/>
      <c r="F369" s="172"/>
      <c r="G369" s="172"/>
    </row>
    <row r="370" spans="2:7" hidden="1" x14ac:dyDescent="0.3">
      <c r="B370" s="172"/>
      <c r="C370" s="172"/>
      <c r="D370" s="172"/>
      <c r="E370" s="172"/>
      <c r="F370" s="172"/>
      <c r="G370" s="172"/>
    </row>
    <row r="371" spans="2:7" hidden="1" x14ac:dyDescent="0.3">
      <c r="B371" s="172"/>
      <c r="C371" s="172"/>
      <c r="D371" s="172"/>
      <c r="E371" s="172"/>
      <c r="F371" s="172"/>
      <c r="G371" s="172"/>
    </row>
    <row r="372" spans="2:7" hidden="1" x14ac:dyDescent="0.3">
      <c r="B372" s="172"/>
      <c r="C372" s="172"/>
      <c r="D372" s="172"/>
      <c r="E372" s="172"/>
      <c r="F372" s="172"/>
      <c r="G372" s="172"/>
    </row>
    <row r="373" spans="2:7" hidden="1" x14ac:dyDescent="0.3">
      <c r="B373" s="172"/>
      <c r="C373" s="172"/>
      <c r="D373" s="172"/>
      <c r="E373" s="172"/>
      <c r="F373" s="172"/>
      <c r="G373" s="172"/>
    </row>
    <row r="374" spans="2:7" hidden="1" x14ac:dyDescent="0.3">
      <c r="B374" s="172"/>
      <c r="C374" s="172"/>
      <c r="D374" s="172"/>
      <c r="E374" s="172"/>
      <c r="F374" s="172"/>
      <c r="G374" s="172"/>
    </row>
    <row r="375" spans="2:7" hidden="1" x14ac:dyDescent="0.3">
      <c r="B375" s="172"/>
      <c r="C375" s="172"/>
      <c r="D375" s="172"/>
      <c r="E375" s="172"/>
      <c r="F375" s="172"/>
      <c r="G375" s="172"/>
    </row>
    <row r="376" spans="2:7" hidden="1" x14ac:dyDescent="0.3">
      <c r="B376" s="172"/>
      <c r="C376" s="172"/>
      <c r="D376" s="172"/>
      <c r="E376" s="172"/>
      <c r="F376" s="172"/>
      <c r="G376" s="172"/>
    </row>
    <row r="377" spans="2:7" hidden="1" x14ac:dyDescent="0.3">
      <c r="B377" s="172"/>
      <c r="C377" s="172"/>
      <c r="D377" s="172"/>
      <c r="E377" s="172"/>
      <c r="F377" s="172"/>
      <c r="G377" s="172"/>
    </row>
    <row r="378" spans="2:7" hidden="1" x14ac:dyDescent="0.3">
      <c r="B378" s="172"/>
      <c r="C378" s="172"/>
      <c r="D378" s="172"/>
      <c r="E378" s="172"/>
      <c r="F378" s="172"/>
      <c r="G378" s="172"/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191"/>
      <c r="C400" s="191"/>
      <c r="D400" s="191"/>
      <c r="E400" s="191" t="s">
        <v>7</v>
      </c>
      <c r="F400" s="191" t="s">
        <v>7</v>
      </c>
      <c r="G400" s="192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2.5273836366962898E-2</v>
      </c>
      <c r="F402" s="172">
        <v>2.4679031280655399E-2</v>
      </c>
      <c r="G402" s="172">
        <v>1.0241016383318799</v>
      </c>
    </row>
    <row r="403" spans="2:7" hidden="1" x14ac:dyDescent="0.3">
      <c r="B403" s="172" t="s">
        <v>187</v>
      </c>
      <c r="C403" s="172" t="s">
        <v>79</v>
      </c>
      <c r="D403" s="172" t="s">
        <v>218</v>
      </c>
      <c r="E403" s="172">
        <v>2.5709558324880401E-2</v>
      </c>
      <c r="F403" s="172">
        <v>2.41035244272979E-2</v>
      </c>
      <c r="G403" s="172">
        <v>1.0666306664997001</v>
      </c>
    </row>
    <row r="404" spans="2:7" hidden="1" x14ac:dyDescent="0.3">
      <c r="B404" s="172" t="s">
        <v>185</v>
      </c>
      <c r="C404" s="172" t="s">
        <v>79</v>
      </c>
      <c r="D404" s="172" t="s">
        <v>218</v>
      </c>
      <c r="E404" s="172">
        <v>2.47253538435383E-2</v>
      </c>
      <c r="F404" s="172">
        <v>2.31731100086362E-2</v>
      </c>
      <c r="G404" s="172">
        <v>1.0669847005569699</v>
      </c>
    </row>
    <row r="405" spans="2:7" hidden="1" x14ac:dyDescent="0.3">
      <c r="B405" s="172" t="s">
        <v>183</v>
      </c>
      <c r="C405" s="172" t="s">
        <v>79</v>
      </c>
      <c r="D405" s="172" t="s">
        <v>218</v>
      </c>
      <c r="E405" s="172">
        <v>2.3227109743710599E-2</v>
      </c>
      <c r="F405" s="172">
        <v>2.1763637051301101E-2</v>
      </c>
      <c r="G405" s="172">
        <v>1.0672439394647</v>
      </c>
    </row>
    <row r="406" spans="2:7" hidden="1" x14ac:dyDescent="0.3">
      <c r="B406" s="172" t="s">
        <v>181</v>
      </c>
      <c r="C406" s="172" t="s">
        <v>79</v>
      </c>
      <c r="D406" s="172" t="s">
        <v>218</v>
      </c>
      <c r="E406" s="172">
        <v>2.12565119350001E-2</v>
      </c>
      <c r="F406" s="172">
        <v>1.9914401557044999E-2</v>
      </c>
      <c r="G406" s="172">
        <v>1.0673939597989299</v>
      </c>
    </row>
    <row r="407" spans="2:7" hidden="1" x14ac:dyDescent="0.3">
      <c r="B407" s="172" t="s">
        <v>179</v>
      </c>
      <c r="C407" s="172" t="s">
        <v>79</v>
      </c>
      <c r="D407" s="172" t="s">
        <v>218</v>
      </c>
      <c r="E407" s="172">
        <v>1.88869565716853E-2</v>
      </c>
      <c r="F407" s="172">
        <v>1.7693915280979699E-2</v>
      </c>
      <c r="G407" s="172">
        <v>1.0674266419704199</v>
      </c>
    </row>
    <row r="408" spans="2:7" hidden="1" x14ac:dyDescent="0.3">
      <c r="B408" s="172" t="s">
        <v>39</v>
      </c>
      <c r="C408" s="172" t="s">
        <v>79</v>
      </c>
      <c r="D408" s="172" t="s">
        <v>218</v>
      </c>
      <c r="E408" s="172">
        <v>1.6183649179095799E-2</v>
      </c>
      <c r="F408" s="172">
        <v>1.5162819601525801E-2</v>
      </c>
      <c r="G408" s="172">
        <v>1.06732452171806</v>
      </c>
    </row>
    <row r="409" spans="2:7" hidden="1" x14ac:dyDescent="0.3">
      <c r="B409" s="172" t="s">
        <v>26</v>
      </c>
      <c r="C409" s="172" t="s">
        <v>79</v>
      </c>
      <c r="D409" s="172" t="s">
        <v>218</v>
      </c>
      <c r="E409" s="172">
        <v>1.3207688339753399E-2</v>
      </c>
      <c r="F409" s="172">
        <v>1.23770870366289E-2</v>
      </c>
      <c r="G409" s="172">
        <v>1.06710797950005</v>
      </c>
    </row>
    <row r="410" spans="2:7" hidden="1" x14ac:dyDescent="0.3">
      <c r="B410" s="172" t="s">
        <v>25</v>
      </c>
      <c r="C410" s="172" t="s">
        <v>79</v>
      </c>
      <c r="D410" s="172" t="s">
        <v>218</v>
      </c>
      <c r="E410" s="172">
        <v>1.00150979615176E-2</v>
      </c>
      <c r="F410" s="172">
        <v>9.3885215655863507E-3</v>
      </c>
      <c r="G410" s="172">
        <v>1.06673855852107</v>
      </c>
    </row>
    <row r="411" spans="2:7" hidden="1" x14ac:dyDescent="0.3">
      <c r="B411" s="172" t="s">
        <v>24</v>
      </c>
      <c r="C411" s="172" t="s">
        <v>79</v>
      </c>
      <c r="D411" s="172" t="s">
        <v>218</v>
      </c>
      <c r="E411" s="172">
        <v>6.6659283339869499E-3</v>
      </c>
      <c r="F411" s="172">
        <v>6.2534097395420497E-3</v>
      </c>
      <c r="G411" s="172">
        <v>1.0659669862725301</v>
      </c>
    </row>
    <row r="412" spans="2:7" hidden="1" x14ac:dyDescent="0.3">
      <c r="B412" s="172" t="s">
        <v>22</v>
      </c>
      <c r="C412" s="172" t="s">
        <v>79</v>
      </c>
      <c r="D412" s="172" t="s">
        <v>218</v>
      </c>
      <c r="E412" s="172">
        <v>3.24845232386453E-3</v>
      </c>
      <c r="F412" s="172">
        <v>3.0528251208355099E-3</v>
      </c>
      <c r="G412" s="172">
        <v>1.0640807105830801</v>
      </c>
    </row>
    <row r="413" spans="2:7" hidden="1" x14ac:dyDescent="0.3">
      <c r="B413" s="172" t="s">
        <v>189</v>
      </c>
      <c r="C413" s="172" t="s">
        <v>80</v>
      </c>
      <c r="D413" s="172" t="s">
        <v>218</v>
      </c>
      <c r="E413" s="172">
        <v>2.5978750368885001E-2</v>
      </c>
      <c r="F413" s="172">
        <v>2.5266040686352301E-2</v>
      </c>
      <c r="G413" s="172">
        <v>1.02820820608105</v>
      </c>
    </row>
    <row r="414" spans="2:7" hidden="1" x14ac:dyDescent="0.3">
      <c r="B414" s="172" t="s">
        <v>189</v>
      </c>
      <c r="C414" s="172" t="s">
        <v>80</v>
      </c>
      <c r="D414" s="172" t="s">
        <v>221</v>
      </c>
      <c r="E414" s="172">
        <v>3.35302405496092E-3</v>
      </c>
      <c r="F414" s="172">
        <v>2.78285630893475E-3</v>
      </c>
      <c r="G414" s="172">
        <v>1.2048858017554001</v>
      </c>
    </row>
    <row r="415" spans="2:7" hidden="1" x14ac:dyDescent="0.3">
      <c r="B415" s="172" t="s">
        <v>187</v>
      </c>
      <c r="C415" s="172" t="s">
        <v>80</v>
      </c>
      <c r="D415" s="172" t="s">
        <v>218</v>
      </c>
      <c r="E415" s="172">
        <v>2.6416908026638999E-2</v>
      </c>
      <c r="F415" s="172">
        <v>2.41801110826898E-2</v>
      </c>
      <c r="G415" s="172">
        <v>1.0925056521163199</v>
      </c>
    </row>
    <row r="416" spans="2:7" hidden="1" x14ac:dyDescent="0.3">
      <c r="B416" s="172" t="s">
        <v>185</v>
      </c>
      <c r="C416" s="172" t="s">
        <v>80</v>
      </c>
      <c r="D416" s="172" t="s">
        <v>218</v>
      </c>
      <c r="E416" s="172">
        <v>2.5428737548884601E-2</v>
      </c>
      <c r="F416" s="172">
        <v>2.3250054327809699E-2</v>
      </c>
      <c r="G416" s="172">
        <v>1.09370658624522</v>
      </c>
    </row>
    <row r="417" spans="2:7" hidden="1" x14ac:dyDescent="0.3">
      <c r="B417" s="172" t="s">
        <v>183</v>
      </c>
      <c r="C417" s="172" t="s">
        <v>80</v>
      </c>
      <c r="D417" s="172" t="s">
        <v>218</v>
      </c>
      <c r="E417" s="172">
        <v>2.3908841707373899E-2</v>
      </c>
      <c r="F417" s="172">
        <v>2.18386353532358E-2</v>
      </c>
      <c r="G417" s="172">
        <v>1.0947955914210299</v>
      </c>
    </row>
    <row r="418" spans="2:7" hidden="1" x14ac:dyDescent="0.3">
      <c r="B418" s="172" t="s">
        <v>181</v>
      </c>
      <c r="C418" s="172" t="s">
        <v>80</v>
      </c>
      <c r="D418" s="172" t="s">
        <v>218</v>
      </c>
      <c r="E418" s="172">
        <v>2.1900928998583199E-2</v>
      </c>
      <c r="F418" s="172">
        <v>1.9985414345199001E-2</v>
      </c>
      <c r="G418" s="172">
        <v>1.0958456312337801</v>
      </c>
    </row>
    <row r="419" spans="2:7" hidden="1" x14ac:dyDescent="0.3">
      <c r="B419" s="172" t="s">
        <v>179</v>
      </c>
      <c r="C419" s="172" t="s">
        <v>80</v>
      </c>
      <c r="D419" s="172" t="s">
        <v>218</v>
      </c>
      <c r="E419" s="172">
        <v>1.9480173065761702E-2</v>
      </c>
      <c r="F419" s="172">
        <v>1.77591454068491E-2</v>
      </c>
      <c r="G419" s="172">
        <v>1.09690937370493</v>
      </c>
    </row>
    <row r="420" spans="2:7" hidden="1" x14ac:dyDescent="0.3">
      <c r="B420" s="172" t="s">
        <v>39</v>
      </c>
      <c r="C420" s="172" t="s">
        <v>80</v>
      </c>
      <c r="D420" s="172" t="s">
        <v>218</v>
      </c>
      <c r="E420" s="172">
        <v>1.6712870589534499E-2</v>
      </c>
      <c r="F420" s="172">
        <v>1.5220639393460401E-2</v>
      </c>
      <c r="G420" s="172">
        <v>1.09803998094293</v>
      </c>
    </row>
    <row r="421" spans="2:7" hidden="1" x14ac:dyDescent="0.3">
      <c r="B421" s="172" t="s">
        <v>26</v>
      </c>
      <c r="C421" s="172" t="s">
        <v>80</v>
      </c>
      <c r="D421" s="172" t="s">
        <v>218</v>
      </c>
      <c r="E421" s="172">
        <v>1.36612075475172E-2</v>
      </c>
      <c r="F421" s="172">
        <v>1.24261014692144E-2</v>
      </c>
      <c r="G421" s="172">
        <v>1.0993961043504099</v>
      </c>
    </row>
    <row r="422" spans="2:7" hidden="1" x14ac:dyDescent="0.3">
      <c r="B422" s="172" t="s">
        <v>25</v>
      </c>
      <c r="C422" s="172" t="s">
        <v>80</v>
      </c>
      <c r="D422" s="172" t="s">
        <v>218</v>
      </c>
      <c r="E422" s="172">
        <v>1.03806177226312E-2</v>
      </c>
      <c r="F422" s="172">
        <v>9.4273897122707402E-3</v>
      </c>
      <c r="G422" s="172">
        <v>1.10111261329525</v>
      </c>
    </row>
    <row r="423" spans="2:7" hidden="1" x14ac:dyDescent="0.3">
      <c r="B423" s="172" t="s">
        <v>24</v>
      </c>
      <c r="C423" s="172" t="s">
        <v>80</v>
      </c>
      <c r="D423" s="172" t="s">
        <v>218</v>
      </c>
      <c r="E423" s="172">
        <v>6.9296739501481797E-3</v>
      </c>
      <c r="F423" s="172">
        <v>6.2807090126534302E-3</v>
      </c>
      <c r="G423" s="172">
        <v>1.1033267002478999</v>
      </c>
    </row>
    <row r="424" spans="2:7" hidden="1" x14ac:dyDescent="0.3">
      <c r="B424" s="172" t="s">
        <v>22</v>
      </c>
      <c r="C424" s="172" t="s">
        <v>80</v>
      </c>
      <c r="D424" s="172" t="s">
        <v>218</v>
      </c>
      <c r="E424" s="172">
        <v>3.3943779217099801E-3</v>
      </c>
      <c r="F424" s="172">
        <v>3.0671877190690199E-3</v>
      </c>
      <c r="G424" s="172">
        <v>1.1066743325186099</v>
      </c>
    </row>
    <row r="425" spans="2:7" hidden="1" x14ac:dyDescent="0.3">
      <c r="B425" s="172" t="s">
        <v>189</v>
      </c>
      <c r="C425" s="172" t="s">
        <v>81</v>
      </c>
      <c r="D425" s="172" t="s">
        <v>221</v>
      </c>
      <c r="E425" s="172">
        <v>2.4526041265698201E-2</v>
      </c>
      <c r="F425" s="172">
        <v>2.4471312903060798E-2</v>
      </c>
      <c r="G425" s="172">
        <v>1.00223642935931</v>
      </c>
    </row>
    <row r="426" spans="2:7" hidden="1" x14ac:dyDescent="0.3">
      <c r="B426" s="172" t="s">
        <v>187</v>
      </c>
      <c r="C426" s="172" t="s">
        <v>81</v>
      </c>
      <c r="D426" s="172" t="s">
        <v>221</v>
      </c>
      <c r="E426" s="172">
        <v>2.4336792755100201E-2</v>
      </c>
      <c r="F426" s="172">
        <v>2.4139172127357101E-2</v>
      </c>
      <c r="G426" s="172">
        <v>1.00818671935808</v>
      </c>
    </row>
    <row r="427" spans="2:7" hidden="1" x14ac:dyDescent="0.3">
      <c r="B427" s="172" t="s">
        <v>185</v>
      </c>
      <c r="C427" s="172" t="s">
        <v>81</v>
      </c>
      <c r="D427" s="172" t="s">
        <v>221</v>
      </c>
      <c r="E427" s="172">
        <v>2.33297783992822E-2</v>
      </c>
      <c r="F427" s="172">
        <v>2.3171370930696902E-2</v>
      </c>
      <c r="G427" s="172">
        <v>1.00683634425685</v>
      </c>
    </row>
    <row r="428" spans="2:7" hidden="1" x14ac:dyDescent="0.3">
      <c r="B428" s="172" t="s">
        <v>183</v>
      </c>
      <c r="C428" s="172" t="s">
        <v>81</v>
      </c>
      <c r="D428" s="172" t="s">
        <v>221</v>
      </c>
      <c r="E428" s="172">
        <v>2.1849203976984401E-2</v>
      </c>
      <c r="F428" s="172">
        <v>2.1723341015021502E-2</v>
      </c>
      <c r="G428" s="172">
        <v>1.0057939044402</v>
      </c>
    </row>
    <row r="429" spans="2:7" hidden="1" x14ac:dyDescent="0.3">
      <c r="B429" s="172" t="s">
        <v>181</v>
      </c>
      <c r="C429" s="172" t="s">
        <v>81</v>
      </c>
      <c r="D429" s="172" t="s">
        <v>221</v>
      </c>
      <c r="E429" s="172">
        <v>1.9932710386615801E-2</v>
      </c>
      <c r="F429" s="172">
        <v>1.9836553609512999E-2</v>
      </c>
      <c r="G429" s="172">
        <v>1.00484745379645</v>
      </c>
    </row>
    <row r="430" spans="2:7" hidden="1" x14ac:dyDescent="0.3">
      <c r="B430" s="172" t="s">
        <v>179</v>
      </c>
      <c r="C430" s="172" t="s">
        <v>81</v>
      </c>
      <c r="D430" s="172" t="s">
        <v>221</v>
      </c>
      <c r="E430" s="172">
        <v>1.7652605203304399E-2</v>
      </c>
      <c r="F430" s="172">
        <v>1.7583196908437699E-2</v>
      </c>
      <c r="G430" s="172">
        <v>1.00394742180436</v>
      </c>
    </row>
    <row r="431" spans="2:7" hidden="1" x14ac:dyDescent="0.3">
      <c r="B431" s="172" t="s">
        <v>39</v>
      </c>
      <c r="C431" s="172" t="s">
        <v>81</v>
      </c>
      <c r="D431" s="172" t="s">
        <v>221</v>
      </c>
      <c r="E431" s="172">
        <v>1.50733799457524E-2</v>
      </c>
      <c r="F431" s="172">
        <v>1.5028490021086501E-2</v>
      </c>
      <c r="G431" s="172">
        <v>1.00298698835365</v>
      </c>
    </row>
    <row r="432" spans="2:7" hidden="1" x14ac:dyDescent="0.3">
      <c r="B432" s="172" t="s">
        <v>26</v>
      </c>
      <c r="C432" s="172" t="s">
        <v>81</v>
      </c>
      <c r="D432" s="172" t="s">
        <v>221</v>
      </c>
      <c r="E432" s="172">
        <v>1.2251649047491001E-2</v>
      </c>
      <c r="F432" s="172">
        <v>1.22450837114073E-2</v>
      </c>
      <c r="G432" s="172">
        <v>1.00053616098007</v>
      </c>
    </row>
    <row r="433" spans="2:7" hidden="1" x14ac:dyDescent="0.3">
      <c r="B433" s="172" t="s">
        <v>25</v>
      </c>
      <c r="C433" s="172" t="s">
        <v>81</v>
      </c>
      <c r="D433" s="172" t="s">
        <v>221</v>
      </c>
      <c r="E433" s="172">
        <v>9.3271524585406308E-3</v>
      </c>
      <c r="F433" s="172">
        <v>9.2843927740343599E-3</v>
      </c>
      <c r="G433" s="172">
        <v>1.00460554454631</v>
      </c>
    </row>
    <row r="434" spans="2:7" hidden="1" x14ac:dyDescent="0.3">
      <c r="B434" s="172" t="s">
        <v>24</v>
      </c>
      <c r="C434" s="172" t="s">
        <v>81</v>
      </c>
      <c r="D434" s="172" t="s">
        <v>221</v>
      </c>
      <c r="E434" s="172">
        <v>6.2692342934877604E-3</v>
      </c>
      <c r="F434" s="172">
        <v>6.1863544021676497E-3</v>
      </c>
      <c r="G434" s="172">
        <v>1.0133972103652999</v>
      </c>
    </row>
    <row r="435" spans="2:7" hidden="1" x14ac:dyDescent="0.3">
      <c r="B435" s="172" t="s">
        <v>22</v>
      </c>
      <c r="C435" s="172" t="s">
        <v>81</v>
      </c>
      <c r="D435" s="172" t="s">
        <v>221</v>
      </c>
      <c r="E435" s="172">
        <v>3.1214994917802999E-3</v>
      </c>
      <c r="F435" s="172">
        <v>3.0258132960866899E-3</v>
      </c>
      <c r="G435" s="172">
        <v>1.0316232980459701</v>
      </c>
    </row>
    <row r="436" spans="2:7" x14ac:dyDescent="0.3">
      <c r="B436" s="172" t="s">
        <v>189</v>
      </c>
      <c r="C436" s="172" t="s">
        <v>82</v>
      </c>
      <c r="D436" s="172" t="s">
        <v>221</v>
      </c>
      <c r="E436" s="172">
        <v>2.3214830928650398E-2</v>
      </c>
      <c r="F436" s="172">
        <v>2.2059454239960901E-2</v>
      </c>
      <c r="G436" s="172">
        <v>1.05237557902029</v>
      </c>
    </row>
    <row r="437" spans="2:7" x14ac:dyDescent="0.3">
      <c r="B437" s="172" t="s">
        <v>187</v>
      </c>
      <c r="C437" s="172" t="s">
        <v>82</v>
      </c>
      <c r="D437" s="172" t="s">
        <v>221</v>
      </c>
      <c r="E437" s="172">
        <v>2.9521437453775098E-2</v>
      </c>
      <c r="F437" s="172">
        <v>2.49892207987449E-2</v>
      </c>
      <c r="G437" s="172">
        <v>1.1813668657991101</v>
      </c>
    </row>
    <row r="438" spans="2:7" x14ac:dyDescent="0.3">
      <c r="B438" s="172" t="s">
        <v>185</v>
      </c>
      <c r="C438" s="172" t="s">
        <v>82</v>
      </c>
      <c r="D438" s="172" t="s">
        <v>221</v>
      </c>
      <c r="E438" s="172">
        <v>2.83521438846429E-2</v>
      </c>
      <c r="F438" s="172">
        <v>2.39854103814959E-2</v>
      </c>
      <c r="G438" s="172">
        <v>1.1820579024370499</v>
      </c>
    </row>
    <row r="439" spans="2:7" x14ac:dyDescent="0.3">
      <c r="B439" s="172" t="s">
        <v>183</v>
      </c>
      <c r="C439" s="172" t="s">
        <v>82</v>
      </c>
      <c r="D439" s="172" t="s">
        <v>221</v>
      </c>
      <c r="E439" s="172">
        <v>2.65968555808727E-2</v>
      </c>
      <c r="F439" s="172">
        <v>2.24863434299554E-2</v>
      </c>
      <c r="G439" s="172">
        <v>1.18280038120566</v>
      </c>
    </row>
    <row r="440" spans="2:7" x14ac:dyDescent="0.3">
      <c r="B440" s="172" t="s">
        <v>181</v>
      </c>
      <c r="C440" s="172" t="s">
        <v>82</v>
      </c>
      <c r="D440" s="172" t="s">
        <v>221</v>
      </c>
      <c r="E440" s="172">
        <v>2.43016707491461E-2</v>
      </c>
      <c r="F440" s="172">
        <v>2.0533715013020599E-2</v>
      </c>
      <c r="G440" s="172">
        <v>1.18350092682869</v>
      </c>
    </row>
    <row r="441" spans="2:7" x14ac:dyDescent="0.3">
      <c r="B441" s="172" t="s">
        <v>179</v>
      </c>
      <c r="C441" s="172" t="s">
        <v>82</v>
      </c>
      <c r="D441" s="172" t="s">
        <v>221</v>
      </c>
      <c r="E441" s="172">
        <v>2.1554807073379E-2</v>
      </c>
      <c r="F441" s="172">
        <v>1.82020521591903E-2</v>
      </c>
      <c r="G441" s="172">
        <v>1.1841965337131499</v>
      </c>
    </row>
    <row r="442" spans="2:7" x14ac:dyDescent="0.3">
      <c r="B442" s="172" t="s">
        <v>39</v>
      </c>
      <c r="C442" s="172" t="s">
        <v>82</v>
      </c>
      <c r="D442" s="172" t="s">
        <v>221</v>
      </c>
      <c r="E442" s="172">
        <v>1.8434379057473398E-2</v>
      </c>
      <c r="F442" s="172">
        <v>1.55584642223457E-2</v>
      </c>
      <c r="G442" s="172">
        <v>1.1848456758988599</v>
      </c>
    </row>
    <row r="443" spans="2:7" x14ac:dyDescent="0.3">
      <c r="B443" s="172" t="s">
        <v>26</v>
      </c>
      <c r="C443" s="172" t="s">
        <v>82</v>
      </c>
      <c r="D443" s="172" t="s">
        <v>221</v>
      </c>
      <c r="E443" s="172">
        <v>1.5008456604268699E-2</v>
      </c>
      <c r="F443" s="172">
        <v>1.2674620128973401E-2</v>
      </c>
      <c r="G443" s="172">
        <v>1.1841346290103201</v>
      </c>
    </row>
    <row r="444" spans="2:7" x14ac:dyDescent="0.3">
      <c r="B444" s="172" t="s">
        <v>25</v>
      </c>
      <c r="C444" s="172" t="s">
        <v>82</v>
      </c>
      <c r="D444" s="172" t="s">
        <v>221</v>
      </c>
      <c r="E444" s="172">
        <v>1.1341366603615099E-2</v>
      </c>
      <c r="F444" s="172">
        <v>9.6036905828419897E-3</v>
      </c>
      <c r="G444" s="172">
        <v>1.1809383596632801</v>
      </c>
    </row>
    <row r="445" spans="2:7" x14ac:dyDescent="0.3">
      <c r="B445" s="172" t="s">
        <v>24</v>
      </c>
      <c r="C445" s="172" t="s">
        <v>82</v>
      </c>
      <c r="D445" s="172" t="s">
        <v>221</v>
      </c>
      <c r="E445" s="172">
        <v>7.5045874560215999E-3</v>
      </c>
      <c r="F445" s="172">
        <v>6.3905913715237702E-3</v>
      </c>
      <c r="G445" s="172">
        <v>1.1743181530056499</v>
      </c>
    </row>
    <row r="446" spans="2:7" x14ac:dyDescent="0.3">
      <c r="B446" s="172" t="s">
        <v>22</v>
      </c>
      <c r="C446" s="172" t="s">
        <v>82</v>
      </c>
      <c r="D446" s="172" t="s">
        <v>221</v>
      </c>
      <c r="E446" s="172">
        <v>3.6100917286096602E-3</v>
      </c>
      <c r="F446" s="172">
        <v>3.1159797786665601E-3</v>
      </c>
      <c r="G446" s="172">
        <v>1.1585735418843299</v>
      </c>
    </row>
    <row r="447" spans="2:7" hidden="1" x14ac:dyDescent="0.3">
      <c r="B447" s="172" t="s">
        <v>189</v>
      </c>
      <c r="C447" s="172" t="s">
        <v>246</v>
      </c>
      <c r="D447" s="172" t="s">
        <v>218</v>
      </c>
      <c r="E447" s="172">
        <v>3.9091795051617003E-3</v>
      </c>
      <c r="F447" s="172">
        <v>3.8693160048051101E-3</v>
      </c>
      <c r="G447" s="172">
        <v>1.01030246697532</v>
      </c>
    </row>
    <row r="448" spans="2:7" hidden="1" x14ac:dyDescent="0.3">
      <c r="B448" s="172" t="s">
        <v>187</v>
      </c>
      <c r="C448" s="172" t="s">
        <v>246</v>
      </c>
      <c r="D448" s="172" t="s">
        <v>218</v>
      </c>
      <c r="E448" s="172">
        <v>2.9963313625175599E-3</v>
      </c>
      <c r="F448" s="172">
        <v>2.7254811148508498E-3</v>
      </c>
      <c r="G448" s="172">
        <v>1.099377040696</v>
      </c>
    </row>
    <row r="449" spans="2:7" hidden="1" x14ac:dyDescent="0.3">
      <c r="B449" s="172" t="s">
        <v>185</v>
      </c>
      <c r="C449" s="172" t="s">
        <v>246</v>
      </c>
      <c r="D449" s="172" t="s">
        <v>218</v>
      </c>
      <c r="E449" s="172">
        <v>2.5672825406469701E-3</v>
      </c>
      <c r="F449" s="172">
        <v>2.3369043538184601E-3</v>
      </c>
      <c r="G449" s="172">
        <v>1.0985826340954301</v>
      </c>
    </row>
    <row r="450" spans="2:7" hidden="1" x14ac:dyDescent="0.3">
      <c r="B450" s="172" t="s">
        <v>183</v>
      </c>
      <c r="C450" s="172" t="s">
        <v>246</v>
      </c>
      <c r="D450" s="172" t="s">
        <v>218</v>
      </c>
      <c r="E450" s="172">
        <v>2.1430620585987398E-3</v>
      </c>
      <c r="F450" s="172">
        <v>1.9483213208797399E-3</v>
      </c>
      <c r="G450" s="172">
        <v>1.09995309071045</v>
      </c>
    </row>
    <row r="451" spans="2:7" hidden="1" x14ac:dyDescent="0.3">
      <c r="B451" s="172" t="s">
        <v>181</v>
      </c>
      <c r="C451" s="172" t="s">
        <v>246</v>
      </c>
      <c r="D451" s="172" t="s">
        <v>218</v>
      </c>
      <c r="E451" s="172">
        <v>1.7350039229916999E-3</v>
      </c>
      <c r="F451" s="172">
        <v>1.5755360089288E-3</v>
      </c>
      <c r="G451" s="172">
        <v>1.10121502343277</v>
      </c>
    </row>
    <row r="452" spans="2:7" hidden="1" x14ac:dyDescent="0.3">
      <c r="B452" s="172" t="s">
        <v>179</v>
      </c>
      <c r="C452" s="172" t="s">
        <v>246</v>
      </c>
      <c r="D452" s="172" t="s">
        <v>218</v>
      </c>
      <c r="E452" s="172">
        <v>1.3510187604353599E-3</v>
      </c>
      <c r="F452" s="172">
        <v>1.2257854899239101E-3</v>
      </c>
      <c r="G452" s="172">
        <v>1.10216573090551</v>
      </c>
    </row>
    <row r="453" spans="2:7" hidden="1" x14ac:dyDescent="0.3">
      <c r="B453" s="172" t="s">
        <v>39</v>
      </c>
      <c r="C453" s="172" t="s">
        <v>246</v>
      </c>
      <c r="D453" s="172" t="s">
        <v>218</v>
      </c>
      <c r="E453" s="172">
        <v>9.9891016799926596E-4</v>
      </c>
      <c r="F453" s="172">
        <v>9.0606862135657795E-4</v>
      </c>
      <c r="G453" s="172">
        <v>1.10246635238696</v>
      </c>
    </row>
    <row r="454" spans="2:7" hidden="1" x14ac:dyDescent="0.3">
      <c r="B454" s="172" t="s">
        <v>26</v>
      </c>
      <c r="C454" s="172" t="s">
        <v>246</v>
      </c>
      <c r="D454" s="172" t="s">
        <v>218</v>
      </c>
      <c r="E454" s="172">
        <v>6.8802893335258904E-4</v>
      </c>
      <c r="F454" s="172">
        <v>6.2183064295287895E-4</v>
      </c>
      <c r="G454" s="172">
        <v>1.1064571055639101</v>
      </c>
    </row>
    <row r="455" spans="2:7" hidden="1" x14ac:dyDescent="0.3">
      <c r="B455" s="172" t="s">
        <v>25</v>
      </c>
      <c r="C455" s="172" t="s">
        <v>246</v>
      </c>
      <c r="D455" s="172" t="s">
        <v>218</v>
      </c>
      <c r="E455" s="172">
        <v>4.2540113332283498E-4</v>
      </c>
      <c r="F455" s="172">
        <v>3.80297161319865E-4</v>
      </c>
      <c r="G455" s="172">
        <v>1.1186019160554099</v>
      </c>
    </row>
    <row r="456" spans="2:7" hidden="1" x14ac:dyDescent="0.3">
      <c r="B456" s="172" t="s">
        <v>24</v>
      </c>
      <c r="C456" s="172" t="s">
        <v>246</v>
      </c>
      <c r="D456" s="172" t="s">
        <v>218</v>
      </c>
      <c r="E456" s="172">
        <v>2.16119453049667E-4</v>
      </c>
      <c r="F456" s="172">
        <v>1.9005065381928399E-4</v>
      </c>
      <c r="G456" s="172">
        <v>1.1371676377139499</v>
      </c>
    </row>
    <row r="457" spans="2:7" hidden="1" x14ac:dyDescent="0.3">
      <c r="B457" s="172" t="s">
        <v>22</v>
      </c>
      <c r="C457" s="172" t="s">
        <v>246</v>
      </c>
      <c r="D457" s="172" t="s">
        <v>218</v>
      </c>
      <c r="E457" s="172">
        <v>6.7434891901258095E-5</v>
      </c>
      <c r="F457" s="172">
        <v>5.8452549642482402E-5</v>
      </c>
      <c r="G457" s="172">
        <v>1.1536689556523201</v>
      </c>
    </row>
    <row r="458" spans="2:7" hidden="1" x14ac:dyDescent="0.3">
      <c r="B458" s="172"/>
      <c r="C458" s="172"/>
      <c r="D458" s="172"/>
      <c r="E458" s="172"/>
      <c r="F458" s="172"/>
      <c r="G458" s="172"/>
    </row>
    <row r="459" spans="2:7" hidden="1" x14ac:dyDescent="0.3">
      <c r="B459" s="172"/>
      <c r="C459" s="172"/>
      <c r="D459" s="172"/>
      <c r="E459" s="172"/>
      <c r="F459" s="172"/>
      <c r="G459" s="172"/>
    </row>
    <row r="460" spans="2:7" hidden="1" x14ac:dyDescent="0.3">
      <c r="B460" s="172"/>
      <c r="C460" s="172"/>
      <c r="D460" s="172"/>
      <c r="E460" s="172"/>
      <c r="F460" s="172"/>
      <c r="G460" s="172"/>
    </row>
    <row r="461" spans="2:7" hidden="1" x14ac:dyDescent="0.3">
      <c r="B461" s="172"/>
      <c r="C461" s="172"/>
      <c r="D461" s="172"/>
      <c r="E461" s="172"/>
      <c r="F461" s="172"/>
      <c r="G461" s="172"/>
    </row>
    <row r="462" spans="2:7" hidden="1" x14ac:dyDescent="0.3">
      <c r="B462" s="172"/>
      <c r="C462" s="172"/>
      <c r="D462" s="172"/>
      <c r="E462" s="172"/>
      <c r="F462" s="172"/>
      <c r="G462" s="172"/>
    </row>
    <row r="463" spans="2:7" hidden="1" x14ac:dyDescent="0.3">
      <c r="B463" s="172"/>
      <c r="C463" s="172"/>
      <c r="D463" s="172"/>
      <c r="E463" s="172"/>
      <c r="F463" s="172"/>
      <c r="G463" s="172"/>
    </row>
    <row r="464" spans="2:7" hidden="1" x14ac:dyDescent="0.3">
      <c r="B464" s="172"/>
      <c r="C464" s="172"/>
      <c r="D464" s="172"/>
      <c r="E464" s="172"/>
      <c r="F464" s="172"/>
      <c r="G464" s="172"/>
    </row>
    <row r="465" spans="2:7" hidden="1" x14ac:dyDescent="0.3">
      <c r="B465" s="172"/>
      <c r="C465" s="172"/>
      <c r="D465" s="172"/>
      <c r="E465" s="172"/>
      <c r="F465" s="172"/>
      <c r="G465" s="172"/>
    </row>
    <row r="466" spans="2:7" hidden="1" x14ac:dyDescent="0.3">
      <c r="B466" s="172"/>
      <c r="C466" s="172"/>
      <c r="D466" s="172"/>
      <c r="E466" s="172"/>
      <c r="F466" s="172"/>
      <c r="G466" s="172"/>
    </row>
    <row r="467" spans="2:7" hidden="1" x14ac:dyDescent="0.3">
      <c r="B467" s="172"/>
      <c r="C467" s="172"/>
      <c r="D467" s="172"/>
      <c r="E467" s="172"/>
      <c r="F467" s="172"/>
      <c r="G467" s="172"/>
    </row>
    <row r="468" spans="2:7" hidden="1" x14ac:dyDescent="0.3">
      <c r="B468" s="172"/>
      <c r="C468" s="172"/>
      <c r="D468" s="172"/>
      <c r="E468" s="172"/>
      <c r="F468" s="172"/>
      <c r="G468" s="172"/>
    </row>
    <row r="469" spans="2:7" hidden="1" x14ac:dyDescent="0.3">
      <c r="B469" s="172"/>
      <c r="C469" s="172"/>
      <c r="D469" s="172"/>
      <c r="E469" s="172"/>
      <c r="F469" s="172"/>
      <c r="G469" s="172"/>
    </row>
    <row r="470" spans="2:7" hidden="1" x14ac:dyDescent="0.3">
      <c r="B470" s="172"/>
      <c r="C470" s="172"/>
      <c r="D470" s="172"/>
      <c r="E470" s="172"/>
      <c r="F470" s="172"/>
      <c r="G470" s="172"/>
    </row>
    <row r="471" spans="2:7" hidden="1" x14ac:dyDescent="0.3">
      <c r="B471" s="172"/>
      <c r="C471" s="172"/>
      <c r="D471" s="172"/>
      <c r="E471" s="172"/>
      <c r="F471" s="172"/>
      <c r="G471" s="172"/>
    </row>
    <row r="472" spans="2:7" hidden="1" x14ac:dyDescent="0.3">
      <c r="B472" s="172"/>
      <c r="C472" s="172"/>
      <c r="D472" s="172"/>
      <c r="E472" s="172"/>
      <c r="F472" s="172"/>
      <c r="G472" s="172"/>
    </row>
    <row r="473" spans="2:7" hidden="1" x14ac:dyDescent="0.3">
      <c r="B473" s="172"/>
      <c r="C473" s="172"/>
      <c r="D473" s="172"/>
      <c r="E473" s="172"/>
      <c r="F473" s="172"/>
      <c r="G473" s="172"/>
    </row>
    <row r="474" spans="2:7" hidden="1" x14ac:dyDescent="0.3">
      <c r="B474" s="172"/>
      <c r="C474" s="172"/>
      <c r="D474" s="172"/>
      <c r="E474" s="172"/>
      <c r="F474" s="172"/>
      <c r="G474" s="172"/>
    </row>
    <row r="475" spans="2:7" hidden="1" x14ac:dyDescent="0.3">
      <c r="B475" s="172"/>
      <c r="C475" s="172"/>
      <c r="D475" s="172"/>
      <c r="E475" s="172"/>
      <c r="F475" s="172"/>
      <c r="G475" s="172"/>
    </row>
    <row r="476" spans="2:7" hidden="1" x14ac:dyDescent="0.3">
      <c r="B476" s="172"/>
      <c r="C476" s="172"/>
      <c r="D476" s="172"/>
      <c r="E476" s="172"/>
      <c r="F476" s="172"/>
      <c r="G476" s="172"/>
    </row>
    <row r="477" spans="2:7" hidden="1" x14ac:dyDescent="0.3">
      <c r="B477" s="172"/>
      <c r="C477" s="172"/>
      <c r="D477" s="172"/>
      <c r="E477" s="172"/>
      <c r="F477" s="172"/>
      <c r="G477" s="172"/>
    </row>
    <row r="478" spans="2:7" hidden="1" x14ac:dyDescent="0.3">
      <c r="B478" s="172"/>
      <c r="C478" s="172"/>
      <c r="D478" s="172"/>
      <c r="E478" s="172"/>
      <c r="F478" s="172"/>
      <c r="G478" s="172"/>
    </row>
    <row r="479" spans="2:7" hidden="1" x14ac:dyDescent="0.3">
      <c r="B479" s="172"/>
      <c r="C479" s="172"/>
      <c r="D479" s="172"/>
      <c r="E479" s="172"/>
      <c r="F479" s="172"/>
      <c r="G479" s="172"/>
    </row>
    <row r="480" spans="2:7" hidden="1" x14ac:dyDescent="0.3">
      <c r="B480" s="172"/>
      <c r="C480" s="172"/>
      <c r="D480" s="172"/>
      <c r="E480" s="172"/>
      <c r="F480" s="172"/>
      <c r="G480" s="172"/>
    </row>
    <row r="481" spans="2:7" hidden="1" x14ac:dyDescent="0.3">
      <c r="B481" s="172"/>
      <c r="C481" s="172"/>
      <c r="D481" s="172"/>
      <c r="E481" s="172"/>
      <c r="F481" s="172"/>
      <c r="G481" s="172"/>
    </row>
    <row r="482" spans="2:7" hidden="1" x14ac:dyDescent="0.3">
      <c r="B482" s="172"/>
      <c r="C482" s="172"/>
      <c r="D482" s="172"/>
      <c r="E482" s="172"/>
      <c r="F482" s="172"/>
      <c r="G482" s="172"/>
    </row>
    <row r="483" spans="2:7" hidden="1" x14ac:dyDescent="0.3">
      <c r="B483" s="172"/>
      <c r="C483" s="172"/>
      <c r="D483" s="172"/>
      <c r="E483" s="172"/>
      <c r="F483" s="172"/>
      <c r="G483" s="172"/>
    </row>
    <row r="484" spans="2:7" hidden="1" x14ac:dyDescent="0.3">
      <c r="B484" s="172"/>
      <c r="C484" s="172"/>
      <c r="D484" s="172"/>
      <c r="E484" s="172"/>
      <c r="F484" s="172"/>
      <c r="G484" s="172"/>
    </row>
    <row r="485" spans="2:7" hidden="1" x14ac:dyDescent="0.3">
      <c r="B485" s="172"/>
      <c r="C485" s="172"/>
      <c r="D485" s="172"/>
      <c r="E485" s="172"/>
      <c r="F485" s="172"/>
      <c r="G485" s="172"/>
    </row>
    <row r="486" spans="2:7" hidden="1" x14ac:dyDescent="0.3">
      <c r="B486" s="172"/>
      <c r="C486" s="172"/>
      <c r="D486" s="172"/>
      <c r="E486" s="172"/>
      <c r="F486" s="172"/>
      <c r="G486" s="172"/>
    </row>
    <row r="487" spans="2:7" hidden="1" x14ac:dyDescent="0.3">
      <c r="B487" s="172"/>
      <c r="C487" s="172"/>
      <c r="D487" s="172"/>
      <c r="E487" s="172"/>
      <c r="F487" s="172"/>
      <c r="G487" s="172"/>
    </row>
    <row r="488" spans="2:7" hidden="1" x14ac:dyDescent="0.3">
      <c r="B488" s="172"/>
      <c r="C488" s="172"/>
      <c r="D488" s="172"/>
      <c r="E488" s="172"/>
      <c r="F488" s="172"/>
      <c r="G488" s="172"/>
    </row>
    <row r="489" spans="2:7" hidden="1" x14ac:dyDescent="0.3">
      <c r="B489" s="172"/>
      <c r="C489" s="172"/>
      <c r="D489" s="172"/>
      <c r="E489" s="172"/>
      <c r="F489" s="172"/>
      <c r="G489" s="172"/>
    </row>
    <row r="490" spans="2:7" hidden="1" x14ac:dyDescent="0.3">
      <c r="B490" s="172"/>
      <c r="C490" s="172"/>
      <c r="D490" s="172"/>
      <c r="E490" s="172"/>
      <c r="F490" s="172"/>
      <c r="G490" s="172"/>
    </row>
    <row r="491" spans="2:7" hidden="1" x14ac:dyDescent="0.3">
      <c r="B491" s="172"/>
      <c r="C491" s="172"/>
      <c r="D491" s="172"/>
      <c r="E491" s="172"/>
      <c r="F491" s="172"/>
      <c r="G491" s="172"/>
    </row>
    <row r="492" spans="2:7" hidden="1" x14ac:dyDescent="0.3">
      <c r="B492" s="172"/>
      <c r="C492" s="172"/>
      <c r="D492" s="172"/>
      <c r="E492" s="172"/>
      <c r="F492" s="172"/>
      <c r="G492" s="172"/>
    </row>
    <row r="493" spans="2:7" hidden="1" x14ac:dyDescent="0.3">
      <c r="B493" s="172"/>
      <c r="C493" s="172"/>
      <c r="D493" s="172"/>
      <c r="E493" s="172"/>
      <c r="F493" s="172"/>
      <c r="G493" s="172"/>
    </row>
    <row r="494" spans="2:7" hidden="1" x14ac:dyDescent="0.3">
      <c r="B494" s="172"/>
      <c r="C494" s="172"/>
      <c r="D494" s="172"/>
      <c r="E494" s="172"/>
      <c r="F494" s="172"/>
      <c r="G494" s="172"/>
    </row>
    <row r="495" spans="2:7" hidden="1" x14ac:dyDescent="0.3">
      <c r="B495" s="172"/>
      <c r="C495" s="172"/>
      <c r="D495" s="172"/>
      <c r="E495" s="172"/>
      <c r="F495" s="172"/>
      <c r="G495" s="172"/>
    </row>
    <row r="496" spans="2:7" hidden="1" x14ac:dyDescent="0.3">
      <c r="B496" s="172"/>
      <c r="C496" s="172"/>
      <c r="D496" s="172"/>
      <c r="E496" s="172"/>
      <c r="F496" s="172"/>
      <c r="G496" s="172"/>
    </row>
    <row r="497" spans="2:7" hidden="1" x14ac:dyDescent="0.3">
      <c r="B497" s="172"/>
      <c r="C497" s="172"/>
      <c r="D497" s="172"/>
      <c r="E497" s="172"/>
      <c r="F497" s="172"/>
      <c r="G497" s="172"/>
    </row>
    <row r="498" spans="2:7" hidden="1" x14ac:dyDescent="0.3">
      <c r="B498" s="172"/>
      <c r="C498" s="172"/>
      <c r="D498" s="172"/>
      <c r="E498" s="172"/>
      <c r="F498" s="172"/>
      <c r="G498" s="172"/>
    </row>
    <row r="499" spans="2:7" hidden="1" x14ac:dyDescent="0.3">
      <c r="B499" s="172"/>
      <c r="C499" s="172"/>
      <c r="D499" s="172"/>
      <c r="E499" s="172"/>
      <c r="F499" s="172"/>
      <c r="G499" s="172"/>
    </row>
    <row r="500" spans="2:7" hidden="1" x14ac:dyDescent="0.3">
      <c r="B500" s="172"/>
      <c r="C500" s="172"/>
      <c r="D500" s="172"/>
      <c r="E500" s="172"/>
      <c r="F500" s="172"/>
      <c r="G500" s="172"/>
    </row>
    <row r="501" spans="2:7" hidden="1" x14ac:dyDescent="0.3">
      <c r="B501" s="172"/>
      <c r="C501" s="172"/>
      <c r="D501" s="172"/>
      <c r="E501" s="172"/>
      <c r="F501" s="172"/>
      <c r="G501" s="172"/>
    </row>
    <row r="502" spans="2:7" hidden="1" x14ac:dyDescent="0.3">
      <c r="B502" s="172"/>
      <c r="C502" s="172"/>
      <c r="D502" s="172"/>
      <c r="E502" s="172"/>
      <c r="F502" s="172"/>
      <c r="G502" s="172"/>
    </row>
    <row r="503" spans="2:7" hidden="1" x14ac:dyDescent="0.3">
      <c r="B503" s="172"/>
      <c r="C503" s="172"/>
      <c r="D503" s="172"/>
      <c r="E503" s="172"/>
      <c r="F503" s="172"/>
      <c r="G503" s="172"/>
    </row>
    <row r="504" spans="2:7" hidden="1" x14ac:dyDescent="0.3">
      <c r="B504" s="172"/>
      <c r="C504" s="172"/>
      <c r="D504" s="172"/>
      <c r="E504" s="172"/>
      <c r="F504" s="172"/>
      <c r="G504" s="172"/>
    </row>
    <row r="505" spans="2:7" hidden="1" x14ac:dyDescent="0.3">
      <c r="B505" s="172"/>
      <c r="C505" s="172"/>
      <c r="D505" s="172"/>
      <c r="E505" s="172"/>
      <c r="F505" s="172"/>
      <c r="G505" s="172"/>
    </row>
    <row r="506" spans="2:7" hidden="1" x14ac:dyDescent="0.3">
      <c r="B506" s="172"/>
      <c r="C506" s="172"/>
      <c r="D506" s="172"/>
      <c r="E506" s="172"/>
      <c r="F506" s="172"/>
      <c r="G506" s="172"/>
    </row>
    <row r="507" spans="2:7" hidden="1" x14ac:dyDescent="0.3">
      <c r="B507" s="172"/>
      <c r="C507" s="172"/>
      <c r="D507" s="172"/>
      <c r="E507" s="172"/>
      <c r="F507" s="172"/>
      <c r="G507" s="172"/>
    </row>
    <row r="508" spans="2:7" hidden="1" x14ac:dyDescent="0.3">
      <c r="B508" s="172"/>
      <c r="C508" s="172"/>
      <c r="D508" s="172"/>
      <c r="E508" s="172"/>
      <c r="F508" s="172"/>
      <c r="G508" s="172"/>
    </row>
    <row r="509" spans="2:7" hidden="1" x14ac:dyDescent="0.3">
      <c r="B509" s="172"/>
      <c r="C509" s="172"/>
      <c r="D509" s="172"/>
      <c r="E509" s="172"/>
      <c r="F509" s="172"/>
      <c r="G509" s="172"/>
    </row>
    <row r="510" spans="2:7" hidden="1" x14ac:dyDescent="0.3">
      <c r="B510" s="172"/>
      <c r="C510" s="172"/>
      <c r="D510" s="172"/>
      <c r="E510" s="172"/>
      <c r="F510" s="172"/>
      <c r="G510" s="172"/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784860</xdr:colOff>
                    <xdr:row>0</xdr:row>
                    <xdr:rowOff>99060</xdr:rowOff>
                  </from>
                  <to>
                    <xdr:col>11</xdr:col>
                    <xdr:colOff>381000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89" workbookViewId="0">
      <selection activeCell="E405" sqref="E405:E459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191"/>
      <c r="C4" s="191"/>
      <c r="D4" s="191"/>
      <c r="E4" s="191"/>
      <c r="F4" s="191"/>
      <c r="G4" s="191" t="s">
        <v>7</v>
      </c>
      <c r="H4" s="191" t="s">
        <v>7</v>
      </c>
      <c r="I4" s="192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2.8303505338285299E-4</v>
      </c>
      <c r="F6" s="172">
        <v>36</v>
      </c>
      <c r="G6" s="172">
        <v>16</v>
      </c>
      <c r="H6" s="172">
        <v>9</v>
      </c>
      <c r="I6" s="172">
        <v>38.5</v>
      </c>
    </row>
    <row r="7" spans="2:9" s="172" customFormat="1" hidden="1" x14ac:dyDescent="0.3">
      <c r="B7" s="172" t="s">
        <v>189</v>
      </c>
      <c r="C7" s="172" t="s">
        <v>80</v>
      </c>
      <c r="D7" s="172" t="s">
        <v>218</v>
      </c>
      <c r="E7" s="172">
        <v>2.73526436639881E-4</v>
      </c>
      <c r="F7" s="172">
        <v>36</v>
      </c>
      <c r="G7" s="172">
        <v>16</v>
      </c>
      <c r="H7" s="172">
        <v>9</v>
      </c>
      <c r="I7" s="172">
        <v>38.5</v>
      </c>
    </row>
    <row r="8" spans="2:9" s="172" customFormat="1" hidden="1" x14ac:dyDescent="0.3">
      <c r="B8" s="172" t="s">
        <v>189</v>
      </c>
      <c r="C8" s="172" t="s">
        <v>81</v>
      </c>
      <c r="D8" s="172" t="s">
        <v>221</v>
      </c>
      <c r="E8" s="172">
        <v>1.6189315073755401E-4</v>
      </c>
      <c r="F8" s="172">
        <v>37</v>
      </c>
      <c r="G8" s="172">
        <v>12</v>
      </c>
      <c r="H8" s="172">
        <v>9</v>
      </c>
      <c r="I8" s="172">
        <v>38.5</v>
      </c>
    </row>
    <row r="9" spans="2:9" s="172" customFormat="1" hidden="1" x14ac:dyDescent="0.3">
      <c r="B9" s="172" t="s">
        <v>189</v>
      </c>
      <c r="C9" s="172" t="s">
        <v>82</v>
      </c>
      <c r="D9" s="172" t="s">
        <v>221</v>
      </c>
      <c r="E9" s="172">
        <v>1.6390615247352099E-4</v>
      </c>
      <c r="F9" s="172">
        <v>37</v>
      </c>
      <c r="G9" s="172">
        <v>12</v>
      </c>
      <c r="H9" s="172">
        <v>9</v>
      </c>
      <c r="I9" s="172">
        <v>38.5</v>
      </c>
    </row>
    <row r="10" spans="2:9" s="172" customFormat="1" hidden="1" x14ac:dyDescent="0.3">
      <c r="B10" s="172" t="s">
        <v>189</v>
      </c>
      <c r="C10" s="172" t="s">
        <v>246</v>
      </c>
      <c r="D10" s="172" t="s">
        <v>218</v>
      </c>
      <c r="E10" s="172">
        <v>4.1012272394738101E-4</v>
      </c>
      <c r="F10" s="172">
        <v>31</v>
      </c>
      <c r="G10" s="172">
        <v>16</v>
      </c>
      <c r="H10" s="172">
        <v>4</v>
      </c>
      <c r="I10" s="172">
        <v>38.5</v>
      </c>
    </row>
    <row r="11" spans="2:9" s="172" customFormat="1" hidden="1" x14ac:dyDescent="0.3">
      <c r="B11" s="172" t="s">
        <v>189</v>
      </c>
      <c r="C11" s="172" t="s">
        <v>246</v>
      </c>
      <c r="D11" s="172" t="s">
        <v>221</v>
      </c>
      <c r="E11" s="172">
        <v>9.6799514462703401E-5</v>
      </c>
      <c r="F11" s="172">
        <v>36</v>
      </c>
      <c r="G11" s="172">
        <v>16</v>
      </c>
      <c r="H11" s="172">
        <v>9</v>
      </c>
      <c r="I11" s="172">
        <v>38.5</v>
      </c>
    </row>
    <row r="12" spans="2:9" s="172" customFormat="1" x14ac:dyDescent="0.3">
      <c r="B12" s="172" t="s">
        <v>187</v>
      </c>
      <c r="C12" s="172" t="s">
        <v>79</v>
      </c>
      <c r="D12" s="172" t="s">
        <v>218</v>
      </c>
      <c r="E12" s="172">
        <v>2.8171356669469898E-4</v>
      </c>
      <c r="F12" s="172">
        <v>118</v>
      </c>
      <c r="G12" s="172">
        <v>16.25</v>
      </c>
      <c r="H12" s="172">
        <v>15.25</v>
      </c>
      <c r="I12" s="172">
        <v>35.5</v>
      </c>
    </row>
    <row r="13" spans="2:9" s="172" customFormat="1" hidden="1" x14ac:dyDescent="0.3">
      <c r="B13" s="172" t="s">
        <v>187</v>
      </c>
      <c r="C13" s="172" t="s">
        <v>80</v>
      </c>
      <c r="D13" s="172" t="s">
        <v>218</v>
      </c>
      <c r="E13" s="172">
        <v>2.8288788624289499E-4</v>
      </c>
      <c r="F13" s="172">
        <v>111</v>
      </c>
      <c r="G13" s="172">
        <v>16.25</v>
      </c>
      <c r="H13" s="172">
        <v>-0.25</v>
      </c>
      <c r="I13" s="172">
        <v>35.5</v>
      </c>
    </row>
    <row r="14" spans="2:9" hidden="1" x14ac:dyDescent="0.3">
      <c r="B14" s="172" t="s">
        <v>187</v>
      </c>
      <c r="C14" s="172" t="s">
        <v>81</v>
      </c>
      <c r="D14" s="172" t="s">
        <v>221</v>
      </c>
      <c r="E14" s="172">
        <v>2.8806850486906002E-4</v>
      </c>
      <c r="F14" s="172">
        <v>107</v>
      </c>
      <c r="G14" s="172">
        <v>-0.25</v>
      </c>
      <c r="H14" s="172">
        <v>15.25</v>
      </c>
      <c r="I14" s="172">
        <v>35.5</v>
      </c>
    </row>
    <row r="15" spans="2:9" hidden="1" x14ac:dyDescent="0.3">
      <c r="B15" s="172" t="s">
        <v>187</v>
      </c>
      <c r="C15" s="172" t="s">
        <v>82</v>
      </c>
      <c r="D15" s="172" t="s">
        <v>221</v>
      </c>
      <c r="E15" s="172">
        <v>3.3556140503673398E-4</v>
      </c>
      <c r="F15" s="172">
        <v>107</v>
      </c>
      <c r="G15" s="172">
        <v>-0.25</v>
      </c>
      <c r="H15" s="172">
        <v>15.25</v>
      </c>
      <c r="I15" s="172">
        <v>35.5</v>
      </c>
    </row>
    <row r="16" spans="2:9" hidden="1" x14ac:dyDescent="0.3">
      <c r="B16" s="172" t="s">
        <v>187</v>
      </c>
      <c r="C16" s="172" t="s">
        <v>246</v>
      </c>
      <c r="D16" s="172" t="s">
        <v>218</v>
      </c>
      <c r="E16" s="172">
        <v>1.2297082587577101E-4</v>
      </c>
      <c r="F16" s="172">
        <v>118</v>
      </c>
      <c r="G16" s="172">
        <v>16.25</v>
      </c>
      <c r="H16" s="172">
        <v>15.25</v>
      </c>
      <c r="I16" s="172">
        <v>35.5</v>
      </c>
    </row>
    <row r="17" spans="2:9" x14ac:dyDescent="0.3">
      <c r="B17" s="172" t="s">
        <v>185</v>
      </c>
      <c r="C17" s="172" t="s">
        <v>79</v>
      </c>
      <c r="D17" s="172" t="s">
        <v>218</v>
      </c>
      <c r="E17" s="172">
        <v>4.2891518226022399E-4</v>
      </c>
      <c r="F17" s="172">
        <v>118</v>
      </c>
      <c r="G17" s="172">
        <v>16.25</v>
      </c>
      <c r="H17" s="172">
        <v>15.25</v>
      </c>
      <c r="I17" s="172">
        <v>32</v>
      </c>
    </row>
    <row r="18" spans="2:9" hidden="1" x14ac:dyDescent="0.3">
      <c r="B18" s="172" t="s">
        <v>185</v>
      </c>
      <c r="C18" s="172" t="s">
        <v>80</v>
      </c>
      <c r="D18" s="172" t="s">
        <v>218</v>
      </c>
      <c r="E18" s="172">
        <v>4.3528906773580199E-4</v>
      </c>
      <c r="F18" s="172">
        <v>111</v>
      </c>
      <c r="G18" s="172">
        <v>16.25</v>
      </c>
      <c r="H18" s="172">
        <v>-0.25</v>
      </c>
      <c r="I18" s="172">
        <v>32</v>
      </c>
    </row>
    <row r="19" spans="2:9" hidden="1" x14ac:dyDescent="0.3">
      <c r="B19" s="172" t="s">
        <v>185</v>
      </c>
      <c r="C19" s="172" t="s">
        <v>81</v>
      </c>
      <c r="D19" s="172" t="s">
        <v>221</v>
      </c>
      <c r="E19" s="172">
        <v>4.2331183946565801E-4</v>
      </c>
      <c r="F19" s="172">
        <v>107</v>
      </c>
      <c r="G19" s="172">
        <v>-0.25</v>
      </c>
      <c r="H19" s="172">
        <v>15.25</v>
      </c>
      <c r="I19" s="172">
        <v>32</v>
      </c>
    </row>
    <row r="20" spans="2:9" hidden="1" x14ac:dyDescent="0.3">
      <c r="B20" s="172" t="s">
        <v>185</v>
      </c>
      <c r="C20" s="172" t="s">
        <v>82</v>
      </c>
      <c r="D20" s="172" t="s">
        <v>221</v>
      </c>
      <c r="E20" s="172">
        <v>5.0379863457926204E-4</v>
      </c>
      <c r="F20" s="172">
        <v>107</v>
      </c>
      <c r="G20" s="172">
        <v>-0.25</v>
      </c>
      <c r="H20" s="172">
        <v>15.25</v>
      </c>
      <c r="I20" s="172">
        <v>32</v>
      </c>
    </row>
    <row r="21" spans="2:9" hidden="1" x14ac:dyDescent="0.3">
      <c r="B21" s="172" t="s">
        <v>185</v>
      </c>
      <c r="C21" s="172" t="s">
        <v>246</v>
      </c>
      <c r="D21" s="172" t="s">
        <v>218</v>
      </c>
      <c r="E21" s="172">
        <v>1.2154525629101399E-4</v>
      </c>
      <c r="F21" s="172">
        <v>118</v>
      </c>
      <c r="G21" s="172">
        <v>16.25</v>
      </c>
      <c r="H21" s="172">
        <v>15.25</v>
      </c>
      <c r="I21" s="172">
        <v>32</v>
      </c>
    </row>
    <row r="22" spans="2:9" hidden="1" x14ac:dyDescent="0.3">
      <c r="B22" s="172" t="s">
        <v>185</v>
      </c>
      <c r="C22" s="172" t="s">
        <v>246</v>
      </c>
      <c r="D22" s="172" t="s">
        <v>221</v>
      </c>
      <c r="E22" s="172">
        <v>2.37520854960675E-5</v>
      </c>
      <c r="F22" s="172">
        <v>100</v>
      </c>
      <c r="G22" s="172">
        <v>-0.25</v>
      </c>
      <c r="H22" s="172">
        <v>-0.25</v>
      </c>
      <c r="I22" s="172">
        <v>32</v>
      </c>
    </row>
    <row r="23" spans="2:9" x14ac:dyDescent="0.3">
      <c r="B23" s="172" t="s">
        <v>183</v>
      </c>
      <c r="C23" s="172" t="s">
        <v>79</v>
      </c>
      <c r="D23" s="172" t="s">
        <v>218</v>
      </c>
      <c r="E23" s="172">
        <v>5.6418377691208903E-4</v>
      </c>
      <c r="F23" s="172">
        <v>118</v>
      </c>
      <c r="G23" s="172">
        <v>16.25</v>
      </c>
      <c r="H23" s="172">
        <v>15.25</v>
      </c>
      <c r="I23" s="172">
        <v>28.5</v>
      </c>
    </row>
    <row r="24" spans="2:9" hidden="1" x14ac:dyDescent="0.3">
      <c r="B24" s="172" t="s">
        <v>183</v>
      </c>
      <c r="C24" s="172" t="s">
        <v>80</v>
      </c>
      <c r="D24" s="172" t="s">
        <v>218</v>
      </c>
      <c r="E24" s="172">
        <v>5.7516259966166098E-4</v>
      </c>
      <c r="F24" s="172">
        <v>111</v>
      </c>
      <c r="G24" s="172">
        <v>16.25</v>
      </c>
      <c r="H24" s="172">
        <v>-0.25</v>
      </c>
      <c r="I24" s="172">
        <v>28.5</v>
      </c>
    </row>
    <row r="25" spans="2:9" hidden="1" x14ac:dyDescent="0.3">
      <c r="B25" s="172" t="s">
        <v>183</v>
      </c>
      <c r="C25" s="172" t="s">
        <v>81</v>
      </c>
      <c r="D25" s="172" t="s">
        <v>221</v>
      </c>
      <c r="E25" s="172">
        <v>5.4783483104154003E-4</v>
      </c>
      <c r="F25" s="172">
        <v>107</v>
      </c>
      <c r="G25" s="172">
        <v>-0.25</v>
      </c>
      <c r="H25" s="172">
        <v>15.25</v>
      </c>
      <c r="I25" s="172">
        <v>28.5</v>
      </c>
    </row>
    <row r="26" spans="2:9" hidden="1" x14ac:dyDescent="0.3">
      <c r="B26" s="172" t="s">
        <v>183</v>
      </c>
      <c r="C26" s="172" t="s">
        <v>82</v>
      </c>
      <c r="D26" s="172" t="s">
        <v>221</v>
      </c>
      <c r="E26" s="172">
        <v>6.5882563419680199E-4</v>
      </c>
      <c r="F26" s="172">
        <v>107</v>
      </c>
      <c r="G26" s="172">
        <v>-0.25</v>
      </c>
      <c r="H26" s="172">
        <v>15.25</v>
      </c>
      <c r="I26" s="172">
        <v>28.5</v>
      </c>
    </row>
    <row r="27" spans="2:9" hidden="1" x14ac:dyDescent="0.3">
      <c r="B27" s="172" t="s">
        <v>183</v>
      </c>
      <c r="C27" s="172" t="s">
        <v>246</v>
      </c>
      <c r="D27" s="172" t="s">
        <v>218</v>
      </c>
      <c r="E27" s="172">
        <v>1.16923970398734E-4</v>
      </c>
      <c r="F27" s="172">
        <v>118</v>
      </c>
      <c r="G27" s="172">
        <v>16.25</v>
      </c>
      <c r="H27" s="172">
        <v>15.25</v>
      </c>
      <c r="I27" s="172">
        <v>28.5</v>
      </c>
    </row>
    <row r="28" spans="2:9" hidden="1" x14ac:dyDescent="0.3">
      <c r="B28" s="172" t="s">
        <v>183</v>
      </c>
      <c r="C28" s="172" t="s">
        <v>246</v>
      </c>
      <c r="D28" s="172" t="s">
        <v>221</v>
      </c>
      <c r="E28" s="172">
        <v>2.2647023540992599E-5</v>
      </c>
      <c r="F28" s="172">
        <v>107</v>
      </c>
      <c r="G28" s="172">
        <v>-0.25</v>
      </c>
      <c r="H28" s="172">
        <v>15.25</v>
      </c>
      <c r="I28" s="172">
        <v>28.5</v>
      </c>
    </row>
    <row r="29" spans="2:9" x14ac:dyDescent="0.3">
      <c r="B29" s="172" t="s">
        <v>181</v>
      </c>
      <c r="C29" s="172" t="s">
        <v>79</v>
      </c>
      <c r="D29" s="172" t="s">
        <v>218</v>
      </c>
      <c r="E29" s="172">
        <v>6.7843552368281902E-4</v>
      </c>
      <c r="F29" s="172">
        <v>118</v>
      </c>
      <c r="G29" s="172">
        <v>16.25</v>
      </c>
      <c r="H29" s="172">
        <v>15.25</v>
      </c>
      <c r="I29" s="172">
        <v>25</v>
      </c>
    </row>
    <row r="30" spans="2:9" hidden="1" x14ac:dyDescent="0.3">
      <c r="B30" s="172" t="s">
        <v>181</v>
      </c>
      <c r="C30" s="172" t="s">
        <v>80</v>
      </c>
      <c r="D30" s="172" t="s">
        <v>218</v>
      </c>
      <c r="E30" s="172">
        <v>6.9349680932493003E-4</v>
      </c>
      <c r="F30" s="172">
        <v>111</v>
      </c>
      <c r="G30" s="172">
        <v>16.25</v>
      </c>
      <c r="H30" s="172">
        <v>-0.25</v>
      </c>
      <c r="I30" s="172">
        <v>25</v>
      </c>
    </row>
    <row r="31" spans="2:9" hidden="1" x14ac:dyDescent="0.3">
      <c r="B31" s="172" t="s">
        <v>181</v>
      </c>
      <c r="C31" s="172" t="s">
        <v>81</v>
      </c>
      <c r="D31" s="172" t="s">
        <v>221</v>
      </c>
      <c r="E31" s="172">
        <v>6.5169744953751097E-4</v>
      </c>
      <c r="F31" s="172">
        <v>107</v>
      </c>
      <c r="G31" s="172">
        <v>-0.25</v>
      </c>
      <c r="H31" s="172">
        <v>15.25</v>
      </c>
      <c r="I31" s="172">
        <v>25</v>
      </c>
    </row>
    <row r="32" spans="2:9" hidden="1" x14ac:dyDescent="0.3">
      <c r="B32" s="172" t="s">
        <v>181</v>
      </c>
      <c r="C32" s="172" t="s">
        <v>82</v>
      </c>
      <c r="D32" s="172" t="s">
        <v>221</v>
      </c>
      <c r="E32" s="172">
        <v>7.8852534327218205E-4</v>
      </c>
      <c r="F32" s="172">
        <v>107</v>
      </c>
      <c r="G32" s="172">
        <v>-0.25</v>
      </c>
      <c r="H32" s="172">
        <v>15.25</v>
      </c>
      <c r="I32" s="172">
        <v>25</v>
      </c>
    </row>
    <row r="33" spans="2:9" hidden="1" x14ac:dyDescent="0.3">
      <c r="B33" s="172" t="s">
        <v>181</v>
      </c>
      <c r="C33" s="172" t="s">
        <v>246</v>
      </c>
      <c r="D33" s="172" t="s">
        <v>218</v>
      </c>
      <c r="E33" s="172">
        <v>1.10036090668969E-4</v>
      </c>
      <c r="F33" s="172">
        <v>118</v>
      </c>
      <c r="G33" s="172">
        <v>16.25</v>
      </c>
      <c r="H33" s="172">
        <v>15.25</v>
      </c>
      <c r="I33" s="172">
        <v>25</v>
      </c>
    </row>
    <row r="34" spans="2:9" hidden="1" x14ac:dyDescent="0.3">
      <c r="B34" s="172" t="s">
        <v>181</v>
      </c>
      <c r="C34" s="172" t="s">
        <v>246</v>
      </c>
      <c r="D34" s="172" t="s">
        <v>221</v>
      </c>
      <c r="E34" s="172">
        <v>2.0926071538530998E-5</v>
      </c>
      <c r="F34" s="172">
        <v>107</v>
      </c>
      <c r="G34" s="172">
        <v>-0.25</v>
      </c>
      <c r="H34" s="172">
        <v>15.25</v>
      </c>
      <c r="I34" s="172">
        <v>25</v>
      </c>
    </row>
    <row r="35" spans="2:9" x14ac:dyDescent="0.3">
      <c r="B35" s="172" t="s">
        <v>179</v>
      </c>
      <c r="C35" s="172" t="s">
        <v>79</v>
      </c>
      <c r="D35" s="172" t="s">
        <v>218</v>
      </c>
      <c r="E35" s="172">
        <v>7.7401365229352805E-4</v>
      </c>
      <c r="F35" s="172">
        <v>118</v>
      </c>
      <c r="G35" s="172">
        <v>16.25</v>
      </c>
      <c r="H35" s="172">
        <v>15.25</v>
      </c>
      <c r="I35" s="172">
        <v>21.5</v>
      </c>
    </row>
    <row r="36" spans="2:9" hidden="1" x14ac:dyDescent="0.3">
      <c r="B36" s="172" t="s">
        <v>179</v>
      </c>
      <c r="C36" s="172" t="s">
        <v>80</v>
      </c>
      <c r="D36" s="172" t="s">
        <v>218</v>
      </c>
      <c r="E36" s="172">
        <v>7.9283686428242405E-4</v>
      </c>
      <c r="F36" s="172">
        <v>111</v>
      </c>
      <c r="G36" s="172">
        <v>16.25</v>
      </c>
      <c r="H36" s="172">
        <v>-0.25</v>
      </c>
      <c r="I36" s="172">
        <v>21.5</v>
      </c>
    </row>
    <row r="37" spans="2:9" hidden="1" x14ac:dyDescent="0.3">
      <c r="B37" s="172" t="s">
        <v>179</v>
      </c>
      <c r="C37" s="172" t="s">
        <v>81</v>
      </c>
      <c r="D37" s="172" t="s">
        <v>221</v>
      </c>
      <c r="E37" s="172">
        <v>7.3714041617737604E-4</v>
      </c>
      <c r="F37" s="172">
        <v>107</v>
      </c>
      <c r="G37" s="172">
        <v>-0.25</v>
      </c>
      <c r="H37" s="172">
        <v>15.25</v>
      </c>
      <c r="I37" s="172">
        <v>21.5</v>
      </c>
    </row>
    <row r="38" spans="2:9" hidden="1" x14ac:dyDescent="0.3">
      <c r="B38" s="172" t="s">
        <v>179</v>
      </c>
      <c r="C38" s="172" t="s">
        <v>82</v>
      </c>
      <c r="D38" s="172" t="s">
        <v>221</v>
      </c>
      <c r="E38" s="172">
        <v>8.9580836239322502E-4</v>
      </c>
      <c r="F38" s="172">
        <v>107</v>
      </c>
      <c r="G38" s="172">
        <v>-0.25</v>
      </c>
      <c r="H38" s="172">
        <v>15.25</v>
      </c>
      <c r="I38" s="172">
        <v>21.5</v>
      </c>
    </row>
    <row r="39" spans="2:9" hidden="1" x14ac:dyDescent="0.3">
      <c r="B39" s="172" t="s">
        <v>179</v>
      </c>
      <c r="C39" s="172" t="s">
        <v>246</v>
      </c>
      <c r="D39" s="172" t="s">
        <v>218</v>
      </c>
      <c r="E39" s="172">
        <v>1.0091094759001499E-4</v>
      </c>
      <c r="F39" s="172">
        <v>118</v>
      </c>
      <c r="G39" s="172">
        <v>16.25</v>
      </c>
      <c r="H39" s="172">
        <v>15.25</v>
      </c>
      <c r="I39" s="172">
        <v>21.5</v>
      </c>
    </row>
    <row r="40" spans="2:9" x14ac:dyDescent="0.3">
      <c r="B40" s="172" t="s">
        <v>39</v>
      </c>
      <c r="C40" s="172" t="s">
        <v>79</v>
      </c>
      <c r="D40" s="172" t="s">
        <v>218</v>
      </c>
      <c r="E40" s="172">
        <v>8.5208622337824998E-4</v>
      </c>
      <c r="F40" s="172">
        <v>118</v>
      </c>
      <c r="G40" s="172">
        <v>16.25</v>
      </c>
      <c r="H40" s="172">
        <v>15.25</v>
      </c>
      <c r="I40" s="172">
        <v>18</v>
      </c>
    </row>
    <row r="41" spans="2:9" hidden="1" x14ac:dyDescent="0.3">
      <c r="B41" s="172" t="s">
        <v>39</v>
      </c>
      <c r="C41" s="172" t="s">
        <v>80</v>
      </c>
      <c r="D41" s="172" t="s">
        <v>218</v>
      </c>
      <c r="E41" s="172">
        <v>8.74352536936099E-4</v>
      </c>
      <c r="F41" s="172">
        <v>111</v>
      </c>
      <c r="G41" s="172">
        <v>16.25</v>
      </c>
      <c r="H41" s="172">
        <v>-0.25</v>
      </c>
      <c r="I41" s="172">
        <v>18</v>
      </c>
    </row>
    <row r="42" spans="2:9" hidden="1" x14ac:dyDescent="0.3">
      <c r="B42" s="172" t="s">
        <v>39</v>
      </c>
      <c r="C42" s="172" t="s">
        <v>81</v>
      </c>
      <c r="D42" s="172" t="s">
        <v>221</v>
      </c>
      <c r="E42" s="172">
        <v>8.0655101190130597E-4</v>
      </c>
      <c r="F42" s="172">
        <v>107</v>
      </c>
      <c r="G42" s="172">
        <v>-0.25</v>
      </c>
      <c r="H42" s="172">
        <v>15.25</v>
      </c>
      <c r="I42" s="172">
        <v>18</v>
      </c>
    </row>
    <row r="43" spans="2:9" hidden="1" x14ac:dyDescent="0.3">
      <c r="B43" s="172" t="s">
        <v>39</v>
      </c>
      <c r="C43" s="172" t="s">
        <v>82</v>
      </c>
      <c r="D43" s="172" t="s">
        <v>221</v>
      </c>
      <c r="E43" s="172">
        <v>9.8367497198556899E-4</v>
      </c>
      <c r="F43" s="172">
        <v>107</v>
      </c>
      <c r="G43" s="172">
        <v>-0.25</v>
      </c>
      <c r="H43" s="172">
        <v>15.25</v>
      </c>
      <c r="I43" s="172">
        <v>18</v>
      </c>
    </row>
    <row r="44" spans="2:9" hidden="1" x14ac:dyDescent="0.3">
      <c r="B44" s="172" t="s">
        <v>39</v>
      </c>
      <c r="C44" s="172" t="s">
        <v>246</v>
      </c>
      <c r="D44" s="172" t="s">
        <v>218</v>
      </c>
      <c r="E44" s="172">
        <v>8.90769551966026E-5</v>
      </c>
      <c r="F44" s="172">
        <v>118</v>
      </c>
      <c r="G44" s="172">
        <v>16.25</v>
      </c>
      <c r="H44" s="172">
        <v>15.25</v>
      </c>
      <c r="I44" s="172">
        <v>18</v>
      </c>
    </row>
    <row r="45" spans="2:9" x14ac:dyDescent="0.3">
      <c r="B45" s="172" t="s">
        <v>26</v>
      </c>
      <c r="C45" s="172" t="s">
        <v>79</v>
      </c>
      <c r="D45" s="172" t="s">
        <v>218</v>
      </c>
      <c r="E45" s="172">
        <v>9.14111773850167E-4</v>
      </c>
      <c r="F45" s="172">
        <v>118</v>
      </c>
      <c r="G45" s="172">
        <v>16.25</v>
      </c>
      <c r="H45" s="172">
        <v>15.25</v>
      </c>
      <c r="I45" s="172">
        <v>14.5</v>
      </c>
    </row>
    <row r="46" spans="2:9" hidden="1" x14ac:dyDescent="0.3">
      <c r="B46" s="172" t="s">
        <v>26</v>
      </c>
      <c r="C46" s="172" t="s">
        <v>80</v>
      </c>
      <c r="D46" s="172" t="s">
        <v>218</v>
      </c>
      <c r="E46" s="172">
        <v>9.39995931566869E-4</v>
      </c>
      <c r="F46" s="172">
        <v>111</v>
      </c>
      <c r="G46" s="172">
        <v>16.25</v>
      </c>
      <c r="H46" s="172">
        <v>-0.25</v>
      </c>
      <c r="I46" s="172">
        <v>14.5</v>
      </c>
    </row>
    <row r="47" spans="2:9" hidden="1" x14ac:dyDescent="0.3">
      <c r="B47" s="172" t="s">
        <v>26</v>
      </c>
      <c r="C47" s="172" t="s">
        <v>81</v>
      </c>
      <c r="D47" s="172" t="s">
        <v>221</v>
      </c>
      <c r="E47" s="172">
        <v>8.6044496138753504E-4</v>
      </c>
      <c r="F47" s="172">
        <v>107</v>
      </c>
      <c r="G47" s="172">
        <v>-0.25</v>
      </c>
      <c r="H47" s="172">
        <v>15.25</v>
      </c>
      <c r="I47" s="172">
        <v>14.5</v>
      </c>
    </row>
    <row r="48" spans="2:9" hidden="1" x14ac:dyDescent="0.3">
      <c r="B48" s="172" t="s">
        <v>26</v>
      </c>
      <c r="C48" s="172" t="s">
        <v>82</v>
      </c>
      <c r="D48" s="172" t="s">
        <v>221</v>
      </c>
      <c r="E48" s="172">
        <v>1.05306286138781E-3</v>
      </c>
      <c r="F48" s="172">
        <v>107</v>
      </c>
      <c r="G48" s="172">
        <v>-0.25</v>
      </c>
      <c r="H48" s="172">
        <v>15.25</v>
      </c>
      <c r="I48" s="172">
        <v>14.5</v>
      </c>
    </row>
    <row r="49" spans="2:9" hidden="1" x14ac:dyDescent="0.3">
      <c r="B49" s="172" t="s">
        <v>26</v>
      </c>
      <c r="C49" s="172" t="s">
        <v>246</v>
      </c>
      <c r="D49" s="172" t="s">
        <v>218</v>
      </c>
      <c r="E49" s="172">
        <v>7.5237412564660506E-5</v>
      </c>
      <c r="F49" s="172">
        <v>118</v>
      </c>
      <c r="G49" s="172">
        <v>16.25</v>
      </c>
      <c r="H49" s="172">
        <v>15.25</v>
      </c>
      <c r="I49" s="172">
        <v>14.5</v>
      </c>
    </row>
    <row r="50" spans="2:9" x14ac:dyDescent="0.3">
      <c r="B50" s="172" t="s">
        <v>25</v>
      </c>
      <c r="C50" s="172" t="s">
        <v>79</v>
      </c>
      <c r="D50" s="172" t="s">
        <v>218</v>
      </c>
      <c r="E50" s="172">
        <v>9.5894425359434299E-4</v>
      </c>
      <c r="F50" s="172">
        <v>118</v>
      </c>
      <c r="G50" s="172">
        <v>16.25</v>
      </c>
      <c r="H50" s="172">
        <v>15.25</v>
      </c>
      <c r="I50" s="172">
        <v>11</v>
      </c>
    </row>
    <row r="51" spans="2:9" hidden="1" x14ac:dyDescent="0.3">
      <c r="B51" s="172" t="s">
        <v>25</v>
      </c>
      <c r="C51" s="172" t="s">
        <v>80</v>
      </c>
      <c r="D51" s="172" t="s">
        <v>218</v>
      </c>
      <c r="E51" s="172">
        <v>9.8888167854625309E-4</v>
      </c>
      <c r="F51" s="172">
        <v>111</v>
      </c>
      <c r="G51" s="172">
        <v>16.25</v>
      </c>
      <c r="H51" s="172">
        <v>-0.25</v>
      </c>
      <c r="I51" s="172">
        <v>11</v>
      </c>
    </row>
    <row r="52" spans="2:9" hidden="1" x14ac:dyDescent="0.3">
      <c r="B52" s="172" t="s">
        <v>25</v>
      </c>
      <c r="C52" s="172" t="s">
        <v>81</v>
      </c>
      <c r="D52" s="172" t="s">
        <v>221</v>
      </c>
      <c r="E52" s="172">
        <v>8.9697495289813999E-4</v>
      </c>
      <c r="F52" s="172">
        <v>107</v>
      </c>
      <c r="G52" s="172">
        <v>-0.25</v>
      </c>
      <c r="H52" s="172">
        <v>15.25</v>
      </c>
      <c r="I52" s="172">
        <v>11</v>
      </c>
    </row>
    <row r="53" spans="2:9" hidden="1" x14ac:dyDescent="0.3">
      <c r="B53" s="172" t="s">
        <v>25</v>
      </c>
      <c r="C53" s="172" t="s">
        <v>82</v>
      </c>
      <c r="D53" s="172" t="s">
        <v>221</v>
      </c>
      <c r="E53" s="172">
        <v>1.10179118445775E-3</v>
      </c>
      <c r="F53" s="172">
        <v>107</v>
      </c>
      <c r="G53" s="172">
        <v>-0.25</v>
      </c>
      <c r="H53" s="172">
        <v>15.25</v>
      </c>
      <c r="I53" s="172">
        <v>11</v>
      </c>
    </row>
    <row r="54" spans="2:9" hidden="1" x14ac:dyDescent="0.3">
      <c r="B54" s="172" t="s">
        <v>25</v>
      </c>
      <c r="C54" s="172" t="s">
        <v>246</v>
      </c>
      <c r="D54" s="172" t="s">
        <v>218</v>
      </c>
      <c r="E54" s="172">
        <v>5.9976053152072699E-5</v>
      </c>
      <c r="F54" s="172">
        <v>118</v>
      </c>
      <c r="G54" s="172">
        <v>16.25</v>
      </c>
      <c r="H54" s="172">
        <v>15.25</v>
      </c>
      <c r="I54" s="172">
        <v>11</v>
      </c>
    </row>
    <row r="55" spans="2:9" x14ac:dyDescent="0.3">
      <c r="B55" s="172" t="s">
        <v>24</v>
      </c>
      <c r="C55" s="172" t="s">
        <v>79</v>
      </c>
      <c r="D55" s="172" t="s">
        <v>218</v>
      </c>
      <c r="E55" s="172">
        <v>9.7848734947703206E-4</v>
      </c>
      <c r="F55" s="172">
        <v>118</v>
      </c>
      <c r="G55" s="172">
        <v>16.25</v>
      </c>
      <c r="H55" s="172">
        <v>15.25</v>
      </c>
      <c r="I55" s="172">
        <v>7.5</v>
      </c>
    </row>
    <row r="56" spans="2:9" hidden="1" x14ac:dyDescent="0.3">
      <c r="B56" s="172" t="s">
        <v>24</v>
      </c>
      <c r="C56" s="172" t="s">
        <v>80</v>
      </c>
      <c r="D56" s="172" t="s">
        <v>218</v>
      </c>
      <c r="E56" s="172">
        <v>1.0131491008380899E-3</v>
      </c>
      <c r="F56" s="172">
        <v>111</v>
      </c>
      <c r="G56" s="172">
        <v>16.25</v>
      </c>
      <c r="H56" s="172">
        <v>-0.25</v>
      </c>
      <c r="I56" s="172">
        <v>7.5</v>
      </c>
    </row>
    <row r="57" spans="2:9" hidden="1" x14ac:dyDescent="0.3">
      <c r="B57" s="172" t="s">
        <v>24</v>
      </c>
      <c r="C57" s="172" t="s">
        <v>81</v>
      </c>
      <c r="D57" s="172" t="s">
        <v>221</v>
      </c>
      <c r="E57" s="172">
        <v>9.0678503070460695E-4</v>
      </c>
      <c r="F57" s="172">
        <v>107</v>
      </c>
      <c r="G57" s="172">
        <v>-0.25</v>
      </c>
      <c r="H57" s="172">
        <v>15.25</v>
      </c>
      <c r="I57" s="172">
        <v>7.5</v>
      </c>
    </row>
    <row r="58" spans="2:9" hidden="1" x14ac:dyDescent="0.3">
      <c r="B58" s="172" t="s">
        <v>24</v>
      </c>
      <c r="C58" s="172" t="s">
        <v>82</v>
      </c>
      <c r="D58" s="172" t="s">
        <v>221</v>
      </c>
      <c r="E58" s="172">
        <v>1.11824774474765E-3</v>
      </c>
      <c r="F58" s="172">
        <v>107</v>
      </c>
      <c r="G58" s="172">
        <v>-0.25</v>
      </c>
      <c r="H58" s="172">
        <v>15.25</v>
      </c>
      <c r="I58" s="172">
        <v>7.5</v>
      </c>
    </row>
    <row r="59" spans="2:9" hidden="1" x14ac:dyDescent="0.3">
      <c r="B59" s="172" t="s">
        <v>24</v>
      </c>
      <c r="C59" s="172" t="s">
        <v>246</v>
      </c>
      <c r="D59" s="172" t="s">
        <v>218</v>
      </c>
      <c r="E59" s="172">
        <v>4.2644031346894E-5</v>
      </c>
      <c r="F59" s="172">
        <v>118</v>
      </c>
      <c r="G59" s="172">
        <v>16.25</v>
      </c>
      <c r="H59" s="172">
        <v>15.25</v>
      </c>
      <c r="I59" s="172">
        <v>7.5</v>
      </c>
    </row>
    <row r="60" spans="2:9" x14ac:dyDescent="0.3">
      <c r="B60" s="172" t="s">
        <v>22</v>
      </c>
      <c r="C60" s="172" t="s">
        <v>79</v>
      </c>
      <c r="D60" s="172" t="s">
        <v>218</v>
      </c>
      <c r="E60" s="172">
        <v>8.1211308096613196E-4</v>
      </c>
      <c r="F60" s="172">
        <v>33</v>
      </c>
      <c r="G60" s="172">
        <v>16</v>
      </c>
      <c r="H60" s="172">
        <v>15</v>
      </c>
      <c r="I60" s="172">
        <v>4</v>
      </c>
    </row>
    <row r="61" spans="2:9" hidden="1" x14ac:dyDescent="0.3">
      <c r="B61" s="172" t="s">
        <v>22</v>
      </c>
      <c r="C61" s="172" t="s">
        <v>80</v>
      </c>
      <c r="D61" s="172" t="s">
        <v>218</v>
      </c>
      <c r="E61" s="172">
        <v>8.4859448042749405E-4</v>
      </c>
      <c r="F61" s="172">
        <v>30</v>
      </c>
      <c r="G61" s="172">
        <v>16</v>
      </c>
      <c r="H61" s="172">
        <v>0</v>
      </c>
      <c r="I61" s="172">
        <v>4</v>
      </c>
    </row>
    <row r="62" spans="2:9" hidden="1" x14ac:dyDescent="0.3">
      <c r="B62" s="172" t="s">
        <v>22</v>
      </c>
      <c r="C62" s="172" t="s">
        <v>81</v>
      </c>
      <c r="D62" s="172" t="s">
        <v>221</v>
      </c>
      <c r="E62" s="172">
        <v>7.8037487294507605E-4</v>
      </c>
      <c r="F62" s="172">
        <v>36</v>
      </c>
      <c r="G62" s="172">
        <v>16</v>
      </c>
      <c r="H62" s="172">
        <v>9</v>
      </c>
      <c r="I62" s="172">
        <v>4</v>
      </c>
    </row>
    <row r="63" spans="2:9" hidden="1" x14ac:dyDescent="0.3">
      <c r="B63" s="172" t="s">
        <v>22</v>
      </c>
      <c r="C63" s="172" t="s">
        <v>82</v>
      </c>
      <c r="D63" s="172" t="s">
        <v>221</v>
      </c>
      <c r="E63" s="172">
        <v>9.0252293215241396E-4</v>
      </c>
      <c r="F63" s="172">
        <v>21</v>
      </c>
      <c r="G63" s="172">
        <v>0</v>
      </c>
      <c r="H63" s="172">
        <v>15</v>
      </c>
      <c r="I63" s="172">
        <v>4</v>
      </c>
    </row>
    <row r="64" spans="2:9" hidden="1" x14ac:dyDescent="0.3">
      <c r="B64" s="172" t="s">
        <v>22</v>
      </c>
      <c r="C64" s="172" t="s">
        <v>246</v>
      </c>
      <c r="D64" s="172" t="s">
        <v>218</v>
      </c>
      <c r="E64" s="172">
        <v>1.68587229753145E-5</v>
      </c>
      <c r="F64" s="172">
        <v>33</v>
      </c>
      <c r="G64" s="172">
        <v>16</v>
      </c>
      <c r="H64" s="172">
        <v>15</v>
      </c>
      <c r="I64" s="172">
        <v>4</v>
      </c>
    </row>
    <row r="65" spans="2:9" hidden="1" x14ac:dyDescent="0.3">
      <c r="B65" s="172"/>
      <c r="C65" s="172"/>
      <c r="D65" s="172"/>
      <c r="E65" s="172"/>
      <c r="F65" s="172"/>
      <c r="G65" s="172"/>
      <c r="H65" s="172"/>
      <c r="I65" s="172"/>
    </row>
    <row r="66" spans="2:9" hidden="1" x14ac:dyDescent="0.3">
      <c r="B66" s="172"/>
      <c r="C66" s="172"/>
      <c r="D66" s="172"/>
      <c r="E66" s="172"/>
      <c r="F66" s="172"/>
      <c r="G66" s="172"/>
      <c r="H66" s="172"/>
      <c r="I66" s="172"/>
    </row>
    <row r="67" spans="2:9" hidden="1" x14ac:dyDescent="0.3">
      <c r="B67" s="172"/>
      <c r="C67" s="172"/>
      <c r="D67" s="172"/>
      <c r="E67" s="172"/>
      <c r="F67" s="172"/>
      <c r="G67" s="172"/>
      <c r="H67" s="172"/>
      <c r="I67" s="172"/>
    </row>
    <row r="68" spans="2:9" hidden="1" x14ac:dyDescent="0.3">
      <c r="B68" s="172"/>
      <c r="C68" s="172"/>
      <c r="D68" s="172"/>
      <c r="E68" s="172"/>
      <c r="F68" s="172"/>
      <c r="G68" s="172"/>
      <c r="H68" s="172"/>
      <c r="I68" s="172"/>
    </row>
    <row r="69" spans="2:9" hidden="1" x14ac:dyDescent="0.3">
      <c r="B69" s="172"/>
      <c r="C69" s="172"/>
      <c r="D69" s="172"/>
      <c r="E69" s="172"/>
      <c r="F69" s="172"/>
      <c r="G69" s="172"/>
      <c r="H69" s="172"/>
      <c r="I69" s="172"/>
    </row>
    <row r="70" spans="2:9" hidden="1" x14ac:dyDescent="0.3">
      <c r="B70" s="172"/>
      <c r="C70" s="172"/>
      <c r="D70" s="172"/>
      <c r="E70" s="172"/>
      <c r="F70" s="172"/>
      <c r="G70" s="172"/>
      <c r="H70" s="172"/>
      <c r="I70" s="172"/>
    </row>
    <row r="71" spans="2:9" hidden="1" x14ac:dyDescent="0.3">
      <c r="B71" s="172"/>
      <c r="C71" s="172"/>
      <c r="D71" s="172"/>
      <c r="E71" s="172"/>
      <c r="F71" s="172"/>
      <c r="G71" s="172"/>
      <c r="H71" s="172"/>
      <c r="I71" s="172"/>
    </row>
    <row r="72" spans="2:9" hidden="1" x14ac:dyDescent="0.3">
      <c r="B72" s="172"/>
      <c r="C72" s="172"/>
      <c r="D72" s="172"/>
      <c r="E72" s="172"/>
      <c r="F72" s="172"/>
      <c r="G72" s="172"/>
      <c r="H72" s="172"/>
      <c r="I72" s="172"/>
    </row>
    <row r="73" spans="2:9" hidden="1" x14ac:dyDescent="0.3">
      <c r="B73" s="172"/>
      <c r="C73" s="172"/>
      <c r="D73" s="172"/>
      <c r="E73" s="172"/>
      <c r="F73" s="172"/>
      <c r="G73" s="172"/>
      <c r="H73" s="172"/>
      <c r="I73" s="172"/>
    </row>
    <row r="74" spans="2:9" hidden="1" x14ac:dyDescent="0.3">
      <c r="B74" s="172"/>
      <c r="C74" s="172"/>
      <c r="D74" s="172"/>
      <c r="E74" s="172"/>
      <c r="F74" s="172"/>
      <c r="G74" s="172"/>
      <c r="H74" s="172"/>
      <c r="I74" s="172"/>
    </row>
    <row r="75" spans="2:9" hidden="1" x14ac:dyDescent="0.3">
      <c r="B75" s="172"/>
      <c r="C75" s="172"/>
      <c r="D75" s="172"/>
      <c r="E75" s="172"/>
      <c r="F75" s="172"/>
      <c r="G75" s="172"/>
      <c r="H75" s="172"/>
      <c r="I75" s="172"/>
    </row>
    <row r="76" spans="2:9" hidden="1" x14ac:dyDescent="0.3">
      <c r="B76" s="172"/>
      <c r="C76" s="172"/>
      <c r="D76" s="172"/>
      <c r="E76" s="172"/>
      <c r="F76" s="172"/>
      <c r="G76" s="172"/>
      <c r="H76" s="172"/>
      <c r="I76" s="172"/>
    </row>
    <row r="77" spans="2:9" hidden="1" x14ac:dyDescent="0.3">
      <c r="B77" s="172"/>
      <c r="C77" s="172"/>
      <c r="D77" s="172"/>
      <c r="E77" s="172"/>
      <c r="F77" s="172"/>
      <c r="G77" s="172"/>
      <c r="H77" s="172"/>
      <c r="I77" s="172"/>
    </row>
    <row r="78" spans="2:9" hidden="1" x14ac:dyDescent="0.3">
      <c r="B78" s="172"/>
      <c r="C78" s="172"/>
      <c r="D78" s="172"/>
      <c r="E78" s="172"/>
      <c r="F78" s="172"/>
      <c r="G78" s="172"/>
      <c r="H78" s="172"/>
      <c r="I78" s="172"/>
    </row>
    <row r="79" spans="2:9" hidden="1" x14ac:dyDescent="0.3">
      <c r="B79" s="172"/>
      <c r="C79" s="172"/>
      <c r="D79" s="172"/>
      <c r="E79" s="172"/>
      <c r="F79" s="172"/>
      <c r="G79" s="172"/>
      <c r="H79" s="172"/>
      <c r="I79" s="172"/>
    </row>
    <row r="80" spans="2:9" hidden="1" x14ac:dyDescent="0.3">
      <c r="B80" s="172"/>
      <c r="C80" s="172"/>
      <c r="D80" s="172"/>
      <c r="E80" s="172"/>
      <c r="F80" s="172"/>
      <c r="G80" s="172"/>
      <c r="H80" s="172"/>
      <c r="I80" s="172"/>
    </row>
    <row r="81" spans="2:9" hidden="1" x14ac:dyDescent="0.3">
      <c r="B81" s="172"/>
      <c r="C81" s="172"/>
      <c r="D81" s="172"/>
      <c r="E81" s="172"/>
      <c r="F81" s="172"/>
      <c r="G81" s="172"/>
      <c r="H81" s="172"/>
      <c r="I81" s="172"/>
    </row>
    <row r="82" spans="2:9" hidden="1" x14ac:dyDescent="0.3">
      <c r="B82" s="172"/>
      <c r="C82" s="172"/>
      <c r="D82" s="172"/>
      <c r="E82" s="172"/>
      <c r="F82" s="172"/>
      <c r="G82" s="172"/>
      <c r="H82" s="172"/>
      <c r="I82" s="172"/>
    </row>
    <row r="83" spans="2:9" hidden="1" x14ac:dyDescent="0.3">
      <c r="B83" s="172"/>
      <c r="C83" s="172"/>
      <c r="D83" s="172"/>
      <c r="E83" s="172"/>
      <c r="F83" s="172"/>
      <c r="G83" s="172"/>
      <c r="H83" s="172"/>
      <c r="I83" s="172"/>
    </row>
    <row r="84" spans="2:9" hidden="1" x14ac:dyDescent="0.3">
      <c r="B84" s="172"/>
      <c r="C84" s="172"/>
      <c r="D84" s="172"/>
      <c r="E84" s="172"/>
      <c r="F84" s="172"/>
      <c r="G84" s="172"/>
      <c r="H84" s="172"/>
      <c r="I84" s="172"/>
    </row>
    <row r="85" spans="2:9" hidden="1" x14ac:dyDescent="0.3">
      <c r="B85" s="172"/>
      <c r="C85" s="172"/>
      <c r="D85" s="172"/>
      <c r="E85" s="172"/>
      <c r="F85" s="172"/>
      <c r="G85" s="172"/>
      <c r="H85" s="172"/>
      <c r="I85" s="172"/>
    </row>
    <row r="86" spans="2:9" hidden="1" x14ac:dyDescent="0.3">
      <c r="B86" s="172"/>
      <c r="C86" s="172"/>
      <c r="D86" s="172"/>
      <c r="E86" s="172"/>
      <c r="F86" s="172"/>
      <c r="G86" s="172"/>
      <c r="H86" s="172"/>
      <c r="I86" s="172"/>
    </row>
    <row r="87" spans="2:9" hidden="1" x14ac:dyDescent="0.3">
      <c r="B87" s="172"/>
      <c r="C87" s="172"/>
      <c r="D87" s="172"/>
      <c r="E87" s="172"/>
      <c r="F87" s="172"/>
      <c r="G87" s="172"/>
      <c r="H87" s="172"/>
      <c r="I87" s="172"/>
    </row>
    <row r="88" spans="2:9" hidden="1" x14ac:dyDescent="0.3">
      <c r="B88" s="172"/>
      <c r="C88" s="172"/>
      <c r="D88" s="172"/>
      <c r="E88" s="172"/>
      <c r="F88" s="172"/>
      <c r="G88" s="172"/>
      <c r="H88" s="172"/>
      <c r="I88" s="172"/>
    </row>
    <row r="89" spans="2:9" hidden="1" x14ac:dyDescent="0.3">
      <c r="B89" s="172"/>
      <c r="C89" s="172"/>
      <c r="D89" s="172"/>
      <c r="E89" s="172"/>
      <c r="F89" s="172"/>
      <c r="G89" s="172"/>
      <c r="H89" s="172"/>
      <c r="I89" s="172"/>
    </row>
    <row r="90" spans="2:9" hidden="1" x14ac:dyDescent="0.3">
      <c r="B90" s="172"/>
      <c r="C90" s="172"/>
      <c r="D90" s="172"/>
      <c r="E90" s="172"/>
      <c r="F90" s="172"/>
      <c r="G90" s="172"/>
      <c r="H90" s="172"/>
      <c r="I90" s="172"/>
    </row>
    <row r="91" spans="2:9" hidden="1" x14ac:dyDescent="0.3">
      <c r="B91" s="172"/>
      <c r="C91" s="172"/>
      <c r="D91" s="172"/>
      <c r="E91" s="172"/>
      <c r="F91" s="172"/>
      <c r="G91" s="172"/>
      <c r="H91" s="172"/>
      <c r="I91" s="172"/>
    </row>
    <row r="92" spans="2:9" hidden="1" x14ac:dyDescent="0.3">
      <c r="B92" s="172"/>
      <c r="C92" s="172"/>
      <c r="D92" s="172"/>
      <c r="E92" s="172"/>
      <c r="F92" s="172"/>
      <c r="G92" s="172"/>
      <c r="H92" s="172"/>
      <c r="I92" s="172"/>
    </row>
    <row r="93" spans="2:9" hidden="1" x14ac:dyDescent="0.3">
      <c r="B93" s="172"/>
      <c r="C93" s="172"/>
      <c r="D93" s="172"/>
      <c r="E93" s="172"/>
      <c r="F93" s="172"/>
      <c r="G93" s="172"/>
      <c r="H93" s="172"/>
      <c r="I93" s="172"/>
    </row>
    <row r="94" spans="2:9" hidden="1" x14ac:dyDescent="0.3">
      <c r="B94" s="172"/>
      <c r="C94" s="172"/>
      <c r="D94" s="172"/>
      <c r="E94" s="172"/>
      <c r="F94" s="172"/>
      <c r="G94" s="172"/>
      <c r="H94" s="172"/>
      <c r="I94" s="172"/>
    </row>
    <row r="95" spans="2:9" hidden="1" x14ac:dyDescent="0.3">
      <c r="B95" s="172"/>
      <c r="C95" s="172"/>
      <c r="D95" s="172"/>
      <c r="E95" s="172"/>
      <c r="F95" s="172"/>
      <c r="G95" s="172"/>
      <c r="H95" s="172"/>
      <c r="I95" s="172"/>
    </row>
    <row r="96" spans="2:9" hidden="1" x14ac:dyDescent="0.3">
      <c r="B96" s="172"/>
      <c r="C96" s="172"/>
      <c r="D96" s="172"/>
      <c r="E96" s="172"/>
      <c r="F96" s="172"/>
      <c r="G96" s="172"/>
      <c r="H96" s="172"/>
      <c r="I96" s="172"/>
    </row>
    <row r="97" spans="2:9" hidden="1" x14ac:dyDescent="0.3">
      <c r="B97" s="172"/>
      <c r="C97" s="172"/>
      <c r="D97" s="172"/>
      <c r="E97" s="172"/>
      <c r="F97" s="172"/>
      <c r="G97" s="172"/>
      <c r="H97" s="172"/>
      <c r="I97" s="172"/>
    </row>
    <row r="98" spans="2:9" hidden="1" x14ac:dyDescent="0.3">
      <c r="B98" s="172"/>
      <c r="C98" s="172"/>
      <c r="D98" s="172"/>
      <c r="E98" s="172"/>
      <c r="F98" s="172"/>
      <c r="G98" s="172"/>
      <c r="H98" s="172"/>
      <c r="I98" s="172"/>
    </row>
    <row r="99" spans="2:9" hidden="1" x14ac:dyDescent="0.3">
      <c r="B99" s="172"/>
      <c r="C99" s="172"/>
      <c r="D99" s="172"/>
      <c r="E99" s="172"/>
      <c r="F99" s="172"/>
      <c r="G99" s="172"/>
      <c r="H99" s="172"/>
      <c r="I99" s="172"/>
    </row>
    <row r="100" spans="2:9" hidden="1" x14ac:dyDescent="0.3">
      <c r="B100" s="172"/>
      <c r="C100" s="172"/>
      <c r="D100" s="172"/>
      <c r="E100" s="172"/>
      <c r="F100" s="172"/>
      <c r="G100" s="172"/>
      <c r="H100" s="172"/>
      <c r="I100" s="172"/>
    </row>
    <row r="101" spans="2:9" hidden="1" x14ac:dyDescent="0.3">
      <c r="B101" s="172"/>
      <c r="C101" s="172"/>
      <c r="D101" s="172"/>
      <c r="E101" s="172"/>
      <c r="F101" s="172"/>
      <c r="G101" s="172"/>
      <c r="H101" s="172"/>
      <c r="I101" s="172"/>
    </row>
    <row r="102" spans="2:9" hidden="1" x14ac:dyDescent="0.3">
      <c r="B102" s="172"/>
      <c r="C102" s="172"/>
      <c r="D102" s="172"/>
      <c r="E102" s="172"/>
      <c r="F102" s="172"/>
      <c r="G102" s="172"/>
      <c r="H102" s="172"/>
      <c r="I102" s="172"/>
    </row>
    <row r="103" spans="2:9" hidden="1" x14ac:dyDescent="0.3">
      <c r="B103" s="172"/>
      <c r="C103" s="172"/>
      <c r="D103" s="172"/>
      <c r="E103" s="172"/>
      <c r="F103" s="172"/>
      <c r="G103" s="172"/>
      <c r="H103" s="172"/>
      <c r="I103" s="172"/>
    </row>
    <row r="104" spans="2:9" hidden="1" x14ac:dyDescent="0.3">
      <c r="B104" s="172"/>
      <c r="C104" s="172"/>
      <c r="D104" s="172"/>
      <c r="E104" s="172"/>
      <c r="F104" s="172"/>
      <c r="G104" s="172"/>
      <c r="H104" s="172"/>
      <c r="I104" s="172"/>
    </row>
    <row r="105" spans="2:9" hidden="1" x14ac:dyDescent="0.3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3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3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3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3">
      <c r="B109" s="172"/>
      <c r="C109" s="172"/>
      <c r="D109" s="172"/>
      <c r="E109" s="172"/>
      <c r="F109" s="172"/>
      <c r="G109" s="172"/>
      <c r="H109" s="172"/>
      <c r="I109" s="172"/>
    </row>
    <row r="110" spans="2:9" hidden="1" x14ac:dyDescent="0.3">
      <c r="B110" s="172"/>
      <c r="C110" s="172"/>
      <c r="D110" s="172"/>
      <c r="E110" s="172"/>
      <c r="F110" s="172"/>
      <c r="G110" s="172"/>
      <c r="H110" s="172"/>
      <c r="I110" s="172"/>
    </row>
    <row r="111" spans="2:9" hidden="1" x14ac:dyDescent="0.3">
      <c r="B111" s="172"/>
      <c r="C111" s="172"/>
      <c r="D111" s="172"/>
      <c r="E111" s="172"/>
      <c r="F111" s="172"/>
      <c r="G111" s="172"/>
      <c r="H111" s="172"/>
      <c r="I111" s="172"/>
    </row>
    <row r="112" spans="2:9" hidden="1" x14ac:dyDescent="0.3">
      <c r="B112" s="172"/>
      <c r="C112" s="172"/>
      <c r="D112" s="172"/>
      <c r="E112" s="172"/>
      <c r="F112" s="172"/>
      <c r="G112" s="172"/>
      <c r="H112" s="172"/>
      <c r="I112" s="172"/>
    </row>
    <row r="113" spans="2:9" hidden="1" x14ac:dyDescent="0.3">
      <c r="B113" s="172"/>
      <c r="C113" s="172"/>
      <c r="D113" s="172"/>
      <c r="E113" s="172"/>
      <c r="F113" s="172"/>
      <c r="G113" s="172"/>
      <c r="H113" s="172"/>
      <c r="I113" s="172"/>
    </row>
    <row r="114" spans="2:9" hidden="1" x14ac:dyDescent="0.3">
      <c r="B114" s="172"/>
      <c r="C114" s="172"/>
      <c r="D114" s="172"/>
      <c r="E114" s="172"/>
      <c r="F114" s="172"/>
      <c r="G114" s="172"/>
      <c r="H114" s="172"/>
      <c r="I114" s="172"/>
    </row>
    <row r="115" spans="2:9" s="172" customFormat="1" hidden="1" x14ac:dyDescent="0.3"/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3"/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191"/>
      <c r="C136" s="191"/>
      <c r="D136" s="191"/>
      <c r="E136" s="191"/>
      <c r="F136" s="191"/>
      <c r="G136" s="191" t="s">
        <v>7</v>
      </c>
      <c r="H136" s="191" t="s">
        <v>7</v>
      </c>
      <c r="I136" s="192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2.8303505338285299E-4</v>
      </c>
      <c r="F138" s="172">
        <v>36</v>
      </c>
      <c r="G138" s="172">
        <v>16</v>
      </c>
      <c r="H138" s="172">
        <v>9</v>
      </c>
      <c r="I138" s="172">
        <v>38.5</v>
      </c>
    </row>
    <row r="139" spans="2:9" x14ac:dyDescent="0.3">
      <c r="B139" s="172" t="s">
        <v>189</v>
      </c>
      <c r="C139" s="172" t="s">
        <v>80</v>
      </c>
      <c r="D139" s="172" t="s">
        <v>218</v>
      </c>
      <c r="E139" s="172">
        <v>2.73526436639881E-4</v>
      </c>
      <c r="F139" s="172">
        <v>36</v>
      </c>
      <c r="G139" s="172">
        <v>16</v>
      </c>
      <c r="H139" s="172">
        <v>9</v>
      </c>
      <c r="I139" s="172">
        <v>38.5</v>
      </c>
    </row>
    <row r="140" spans="2:9" hidden="1" x14ac:dyDescent="0.3">
      <c r="B140" s="172" t="s">
        <v>189</v>
      </c>
      <c r="C140" s="172" t="s">
        <v>81</v>
      </c>
      <c r="D140" s="172" t="s">
        <v>221</v>
      </c>
      <c r="E140" s="172">
        <v>1.6189315073755401E-4</v>
      </c>
      <c r="F140" s="172">
        <v>37</v>
      </c>
      <c r="G140" s="172">
        <v>12</v>
      </c>
      <c r="H140" s="172">
        <v>9</v>
      </c>
      <c r="I140" s="172">
        <v>38.5</v>
      </c>
    </row>
    <row r="141" spans="2:9" hidden="1" x14ac:dyDescent="0.3">
      <c r="B141" s="172" t="s">
        <v>189</v>
      </c>
      <c r="C141" s="172" t="s">
        <v>82</v>
      </c>
      <c r="D141" s="172" t="s">
        <v>221</v>
      </c>
      <c r="E141" s="172">
        <v>1.6390615247352099E-4</v>
      </c>
      <c r="F141" s="172">
        <v>37</v>
      </c>
      <c r="G141" s="172">
        <v>12</v>
      </c>
      <c r="H141" s="172">
        <v>9</v>
      </c>
      <c r="I141" s="172">
        <v>38.5</v>
      </c>
    </row>
    <row r="142" spans="2:9" hidden="1" x14ac:dyDescent="0.3">
      <c r="B142" s="172" t="s">
        <v>189</v>
      </c>
      <c r="C142" s="172" t="s">
        <v>246</v>
      </c>
      <c r="D142" s="172" t="s">
        <v>218</v>
      </c>
      <c r="E142" s="172">
        <v>4.1012272394738101E-4</v>
      </c>
      <c r="F142" s="172">
        <v>31</v>
      </c>
      <c r="G142" s="172">
        <v>16</v>
      </c>
      <c r="H142" s="172">
        <v>4</v>
      </c>
      <c r="I142" s="172">
        <v>38.5</v>
      </c>
    </row>
    <row r="143" spans="2:9" hidden="1" x14ac:dyDescent="0.3">
      <c r="B143" s="172" t="s">
        <v>189</v>
      </c>
      <c r="C143" s="172" t="s">
        <v>246</v>
      </c>
      <c r="D143" s="172" t="s">
        <v>221</v>
      </c>
      <c r="E143" s="172">
        <v>9.6799514462703401E-5</v>
      </c>
      <c r="F143" s="172">
        <v>36</v>
      </c>
      <c r="G143" s="172">
        <v>16</v>
      </c>
      <c r="H143" s="172">
        <v>9</v>
      </c>
      <c r="I143" s="172">
        <v>38.5</v>
      </c>
    </row>
    <row r="144" spans="2:9" hidden="1" x14ac:dyDescent="0.3">
      <c r="B144" s="172" t="s">
        <v>187</v>
      </c>
      <c r="C144" s="172" t="s">
        <v>79</v>
      </c>
      <c r="D144" s="172" t="s">
        <v>218</v>
      </c>
      <c r="E144" s="172">
        <v>2.8171356669469898E-4</v>
      </c>
      <c r="F144" s="172">
        <v>118</v>
      </c>
      <c r="G144" s="172">
        <v>16.25</v>
      </c>
      <c r="H144" s="172">
        <v>15.25</v>
      </c>
      <c r="I144" s="172">
        <v>35.5</v>
      </c>
    </row>
    <row r="145" spans="2:9" x14ac:dyDescent="0.3">
      <c r="B145" s="172" t="s">
        <v>187</v>
      </c>
      <c r="C145" s="172" t="s">
        <v>80</v>
      </c>
      <c r="D145" s="172" t="s">
        <v>218</v>
      </c>
      <c r="E145" s="172">
        <v>2.8288788624289499E-4</v>
      </c>
      <c r="F145" s="172">
        <v>111</v>
      </c>
      <c r="G145" s="172">
        <v>16.25</v>
      </c>
      <c r="H145" s="172">
        <v>-0.25</v>
      </c>
      <c r="I145" s="172">
        <v>35.5</v>
      </c>
    </row>
    <row r="146" spans="2:9" hidden="1" x14ac:dyDescent="0.3">
      <c r="B146" s="172" t="s">
        <v>187</v>
      </c>
      <c r="C146" s="172" t="s">
        <v>81</v>
      </c>
      <c r="D146" s="172" t="s">
        <v>221</v>
      </c>
      <c r="E146" s="172">
        <v>2.8806850486906002E-4</v>
      </c>
      <c r="F146" s="172">
        <v>107</v>
      </c>
      <c r="G146" s="172">
        <v>-0.25</v>
      </c>
      <c r="H146" s="172">
        <v>15.25</v>
      </c>
      <c r="I146" s="172">
        <v>35.5</v>
      </c>
    </row>
    <row r="147" spans="2:9" hidden="1" x14ac:dyDescent="0.3">
      <c r="B147" s="172" t="s">
        <v>187</v>
      </c>
      <c r="C147" s="172" t="s">
        <v>82</v>
      </c>
      <c r="D147" s="172" t="s">
        <v>221</v>
      </c>
      <c r="E147" s="172">
        <v>3.3556140503673398E-4</v>
      </c>
      <c r="F147" s="172">
        <v>107</v>
      </c>
      <c r="G147" s="172">
        <v>-0.25</v>
      </c>
      <c r="H147" s="172">
        <v>15.25</v>
      </c>
      <c r="I147" s="172">
        <v>35.5</v>
      </c>
    </row>
    <row r="148" spans="2:9" hidden="1" x14ac:dyDescent="0.3">
      <c r="B148" s="172" t="s">
        <v>187</v>
      </c>
      <c r="C148" s="172" t="s">
        <v>246</v>
      </c>
      <c r="D148" s="172" t="s">
        <v>218</v>
      </c>
      <c r="E148" s="172">
        <v>1.2297082587577101E-4</v>
      </c>
      <c r="F148" s="172">
        <v>118</v>
      </c>
      <c r="G148" s="172">
        <v>16.25</v>
      </c>
      <c r="H148" s="172">
        <v>15.25</v>
      </c>
      <c r="I148" s="172">
        <v>35.5</v>
      </c>
    </row>
    <row r="149" spans="2:9" hidden="1" x14ac:dyDescent="0.3">
      <c r="B149" s="172" t="s">
        <v>185</v>
      </c>
      <c r="C149" s="172" t="s">
        <v>79</v>
      </c>
      <c r="D149" s="172" t="s">
        <v>218</v>
      </c>
      <c r="E149" s="172">
        <v>4.2891518226022399E-4</v>
      </c>
      <c r="F149" s="172">
        <v>118</v>
      </c>
      <c r="G149" s="172">
        <v>16.25</v>
      </c>
      <c r="H149" s="172">
        <v>15.25</v>
      </c>
      <c r="I149" s="172">
        <v>32</v>
      </c>
    </row>
    <row r="150" spans="2:9" x14ac:dyDescent="0.3">
      <c r="B150" s="172" t="s">
        <v>185</v>
      </c>
      <c r="C150" s="172" t="s">
        <v>80</v>
      </c>
      <c r="D150" s="172" t="s">
        <v>218</v>
      </c>
      <c r="E150" s="172">
        <v>4.3528906773580199E-4</v>
      </c>
      <c r="F150" s="172">
        <v>111</v>
      </c>
      <c r="G150" s="172">
        <v>16.25</v>
      </c>
      <c r="H150" s="172">
        <v>-0.25</v>
      </c>
      <c r="I150" s="172">
        <v>32</v>
      </c>
    </row>
    <row r="151" spans="2:9" hidden="1" x14ac:dyDescent="0.3">
      <c r="B151" s="172" t="s">
        <v>185</v>
      </c>
      <c r="C151" s="172" t="s">
        <v>81</v>
      </c>
      <c r="D151" s="172" t="s">
        <v>221</v>
      </c>
      <c r="E151" s="172">
        <v>4.2331183946565801E-4</v>
      </c>
      <c r="F151" s="172">
        <v>107</v>
      </c>
      <c r="G151" s="172">
        <v>-0.25</v>
      </c>
      <c r="H151" s="172">
        <v>15.25</v>
      </c>
      <c r="I151" s="172">
        <v>32</v>
      </c>
    </row>
    <row r="152" spans="2:9" hidden="1" x14ac:dyDescent="0.3">
      <c r="B152" s="172" t="s">
        <v>185</v>
      </c>
      <c r="C152" s="172" t="s">
        <v>82</v>
      </c>
      <c r="D152" s="172" t="s">
        <v>221</v>
      </c>
      <c r="E152" s="172">
        <v>5.0379863457926204E-4</v>
      </c>
      <c r="F152" s="172">
        <v>107</v>
      </c>
      <c r="G152" s="172">
        <v>-0.25</v>
      </c>
      <c r="H152" s="172">
        <v>15.25</v>
      </c>
      <c r="I152" s="172">
        <v>32</v>
      </c>
    </row>
    <row r="153" spans="2:9" hidden="1" x14ac:dyDescent="0.3">
      <c r="B153" s="172" t="s">
        <v>185</v>
      </c>
      <c r="C153" s="172" t="s">
        <v>246</v>
      </c>
      <c r="D153" s="172" t="s">
        <v>218</v>
      </c>
      <c r="E153" s="172">
        <v>1.2154525629101399E-4</v>
      </c>
      <c r="F153" s="172">
        <v>118</v>
      </c>
      <c r="G153" s="172">
        <v>16.25</v>
      </c>
      <c r="H153" s="172">
        <v>15.25</v>
      </c>
      <c r="I153" s="172">
        <v>32</v>
      </c>
    </row>
    <row r="154" spans="2:9" hidden="1" x14ac:dyDescent="0.3">
      <c r="B154" s="172" t="s">
        <v>185</v>
      </c>
      <c r="C154" s="172" t="s">
        <v>246</v>
      </c>
      <c r="D154" s="172" t="s">
        <v>221</v>
      </c>
      <c r="E154" s="172">
        <v>2.37520854960675E-5</v>
      </c>
      <c r="F154" s="172">
        <v>100</v>
      </c>
      <c r="G154" s="172">
        <v>-0.25</v>
      </c>
      <c r="H154" s="172">
        <v>-0.25</v>
      </c>
      <c r="I154" s="172">
        <v>32</v>
      </c>
    </row>
    <row r="155" spans="2:9" hidden="1" x14ac:dyDescent="0.3">
      <c r="B155" s="172" t="s">
        <v>183</v>
      </c>
      <c r="C155" s="172" t="s">
        <v>79</v>
      </c>
      <c r="D155" s="172" t="s">
        <v>218</v>
      </c>
      <c r="E155" s="172">
        <v>5.6418377691208903E-4</v>
      </c>
      <c r="F155" s="172">
        <v>118</v>
      </c>
      <c r="G155" s="172">
        <v>16.25</v>
      </c>
      <c r="H155" s="172">
        <v>15.25</v>
      </c>
      <c r="I155" s="172">
        <v>28.5</v>
      </c>
    </row>
    <row r="156" spans="2:9" x14ac:dyDescent="0.3">
      <c r="B156" s="172" t="s">
        <v>183</v>
      </c>
      <c r="C156" s="172" t="s">
        <v>80</v>
      </c>
      <c r="D156" s="172" t="s">
        <v>218</v>
      </c>
      <c r="E156" s="172">
        <v>5.7516259966166098E-4</v>
      </c>
      <c r="F156" s="172">
        <v>111</v>
      </c>
      <c r="G156" s="172">
        <v>16.25</v>
      </c>
      <c r="H156" s="172">
        <v>-0.25</v>
      </c>
      <c r="I156" s="172">
        <v>28.5</v>
      </c>
    </row>
    <row r="157" spans="2:9" hidden="1" x14ac:dyDescent="0.3">
      <c r="B157" s="172" t="s">
        <v>183</v>
      </c>
      <c r="C157" s="172" t="s">
        <v>81</v>
      </c>
      <c r="D157" s="172" t="s">
        <v>221</v>
      </c>
      <c r="E157" s="172">
        <v>5.4783483104154003E-4</v>
      </c>
      <c r="F157" s="172">
        <v>107</v>
      </c>
      <c r="G157" s="172">
        <v>-0.25</v>
      </c>
      <c r="H157" s="172">
        <v>15.25</v>
      </c>
      <c r="I157" s="172">
        <v>28.5</v>
      </c>
    </row>
    <row r="158" spans="2:9" hidden="1" x14ac:dyDescent="0.3">
      <c r="B158" s="172" t="s">
        <v>183</v>
      </c>
      <c r="C158" s="172" t="s">
        <v>82</v>
      </c>
      <c r="D158" s="172" t="s">
        <v>221</v>
      </c>
      <c r="E158" s="172">
        <v>6.5882563419680199E-4</v>
      </c>
      <c r="F158" s="172">
        <v>107</v>
      </c>
      <c r="G158" s="172">
        <v>-0.25</v>
      </c>
      <c r="H158" s="172">
        <v>15.25</v>
      </c>
      <c r="I158" s="172">
        <v>28.5</v>
      </c>
    </row>
    <row r="159" spans="2:9" hidden="1" x14ac:dyDescent="0.3">
      <c r="B159" s="172" t="s">
        <v>183</v>
      </c>
      <c r="C159" s="172" t="s">
        <v>246</v>
      </c>
      <c r="D159" s="172" t="s">
        <v>218</v>
      </c>
      <c r="E159" s="172">
        <v>1.16923970398734E-4</v>
      </c>
      <c r="F159" s="172">
        <v>118</v>
      </c>
      <c r="G159" s="172">
        <v>16.25</v>
      </c>
      <c r="H159" s="172">
        <v>15.25</v>
      </c>
      <c r="I159" s="172">
        <v>28.5</v>
      </c>
    </row>
    <row r="160" spans="2:9" hidden="1" x14ac:dyDescent="0.3">
      <c r="B160" s="172" t="s">
        <v>183</v>
      </c>
      <c r="C160" s="172" t="s">
        <v>246</v>
      </c>
      <c r="D160" s="172" t="s">
        <v>221</v>
      </c>
      <c r="E160" s="172">
        <v>2.2647023540992599E-5</v>
      </c>
      <c r="F160" s="172">
        <v>107</v>
      </c>
      <c r="G160" s="172">
        <v>-0.25</v>
      </c>
      <c r="H160" s="172">
        <v>15.25</v>
      </c>
      <c r="I160" s="172">
        <v>28.5</v>
      </c>
    </row>
    <row r="161" spans="2:9" hidden="1" x14ac:dyDescent="0.3">
      <c r="B161" s="172" t="s">
        <v>181</v>
      </c>
      <c r="C161" s="172" t="s">
        <v>79</v>
      </c>
      <c r="D161" s="172" t="s">
        <v>218</v>
      </c>
      <c r="E161" s="172">
        <v>6.7843552368281902E-4</v>
      </c>
      <c r="F161" s="172">
        <v>118</v>
      </c>
      <c r="G161" s="172">
        <v>16.25</v>
      </c>
      <c r="H161" s="172">
        <v>15.25</v>
      </c>
      <c r="I161" s="172">
        <v>25</v>
      </c>
    </row>
    <row r="162" spans="2:9" x14ac:dyDescent="0.3">
      <c r="B162" s="172" t="s">
        <v>181</v>
      </c>
      <c r="C162" s="172" t="s">
        <v>80</v>
      </c>
      <c r="D162" s="172" t="s">
        <v>218</v>
      </c>
      <c r="E162" s="172">
        <v>6.9349680932493003E-4</v>
      </c>
      <c r="F162" s="172">
        <v>111</v>
      </c>
      <c r="G162" s="172">
        <v>16.25</v>
      </c>
      <c r="H162" s="172">
        <v>-0.25</v>
      </c>
      <c r="I162" s="172">
        <v>25</v>
      </c>
    </row>
    <row r="163" spans="2:9" hidden="1" x14ac:dyDescent="0.3">
      <c r="B163" s="172" t="s">
        <v>181</v>
      </c>
      <c r="C163" s="172" t="s">
        <v>81</v>
      </c>
      <c r="D163" s="172" t="s">
        <v>221</v>
      </c>
      <c r="E163" s="172">
        <v>6.5169744953751097E-4</v>
      </c>
      <c r="F163" s="172">
        <v>107</v>
      </c>
      <c r="G163" s="172">
        <v>-0.25</v>
      </c>
      <c r="H163" s="172">
        <v>15.25</v>
      </c>
      <c r="I163" s="172">
        <v>25</v>
      </c>
    </row>
    <row r="164" spans="2:9" hidden="1" x14ac:dyDescent="0.3">
      <c r="B164" s="172" t="s">
        <v>181</v>
      </c>
      <c r="C164" s="172" t="s">
        <v>82</v>
      </c>
      <c r="D164" s="172" t="s">
        <v>221</v>
      </c>
      <c r="E164" s="172">
        <v>7.8852534327218205E-4</v>
      </c>
      <c r="F164" s="172">
        <v>107</v>
      </c>
      <c r="G164" s="172">
        <v>-0.25</v>
      </c>
      <c r="H164" s="172">
        <v>15.25</v>
      </c>
      <c r="I164" s="172">
        <v>25</v>
      </c>
    </row>
    <row r="165" spans="2:9" hidden="1" x14ac:dyDescent="0.3">
      <c r="B165" s="172" t="s">
        <v>181</v>
      </c>
      <c r="C165" s="172" t="s">
        <v>246</v>
      </c>
      <c r="D165" s="172" t="s">
        <v>218</v>
      </c>
      <c r="E165" s="172">
        <v>1.10036090668969E-4</v>
      </c>
      <c r="F165" s="172">
        <v>118</v>
      </c>
      <c r="G165" s="172">
        <v>16.25</v>
      </c>
      <c r="H165" s="172">
        <v>15.25</v>
      </c>
      <c r="I165" s="172">
        <v>25</v>
      </c>
    </row>
    <row r="166" spans="2:9" hidden="1" x14ac:dyDescent="0.3">
      <c r="B166" s="172" t="s">
        <v>181</v>
      </c>
      <c r="C166" s="172" t="s">
        <v>246</v>
      </c>
      <c r="D166" s="172" t="s">
        <v>221</v>
      </c>
      <c r="E166" s="172">
        <v>2.0926071538530998E-5</v>
      </c>
      <c r="F166" s="172">
        <v>107</v>
      </c>
      <c r="G166" s="172">
        <v>-0.25</v>
      </c>
      <c r="H166" s="172">
        <v>15.25</v>
      </c>
      <c r="I166" s="172">
        <v>25</v>
      </c>
    </row>
    <row r="167" spans="2:9" hidden="1" x14ac:dyDescent="0.3">
      <c r="B167" s="172" t="s">
        <v>179</v>
      </c>
      <c r="C167" s="172" t="s">
        <v>79</v>
      </c>
      <c r="D167" s="172" t="s">
        <v>218</v>
      </c>
      <c r="E167" s="172">
        <v>7.7401365229352805E-4</v>
      </c>
      <c r="F167" s="172">
        <v>118</v>
      </c>
      <c r="G167" s="172">
        <v>16.25</v>
      </c>
      <c r="H167" s="172">
        <v>15.25</v>
      </c>
      <c r="I167" s="172">
        <v>21.5</v>
      </c>
    </row>
    <row r="168" spans="2:9" x14ac:dyDescent="0.3">
      <c r="B168" s="172" t="s">
        <v>179</v>
      </c>
      <c r="C168" s="172" t="s">
        <v>80</v>
      </c>
      <c r="D168" s="172" t="s">
        <v>218</v>
      </c>
      <c r="E168" s="172">
        <v>7.9283686428242405E-4</v>
      </c>
      <c r="F168" s="172">
        <v>111</v>
      </c>
      <c r="G168" s="172">
        <v>16.25</v>
      </c>
      <c r="H168" s="172">
        <v>-0.25</v>
      </c>
      <c r="I168" s="172">
        <v>21.5</v>
      </c>
    </row>
    <row r="169" spans="2:9" hidden="1" x14ac:dyDescent="0.3">
      <c r="B169" s="172" t="s">
        <v>179</v>
      </c>
      <c r="C169" s="172" t="s">
        <v>81</v>
      </c>
      <c r="D169" s="172" t="s">
        <v>221</v>
      </c>
      <c r="E169" s="172">
        <v>7.3714041617737604E-4</v>
      </c>
      <c r="F169" s="172">
        <v>107</v>
      </c>
      <c r="G169" s="172">
        <v>-0.25</v>
      </c>
      <c r="H169" s="172">
        <v>15.25</v>
      </c>
      <c r="I169" s="172">
        <v>21.5</v>
      </c>
    </row>
    <row r="170" spans="2:9" hidden="1" x14ac:dyDescent="0.3">
      <c r="B170" s="172" t="s">
        <v>179</v>
      </c>
      <c r="C170" s="172" t="s">
        <v>82</v>
      </c>
      <c r="D170" s="172" t="s">
        <v>221</v>
      </c>
      <c r="E170" s="172">
        <v>8.9580836239322502E-4</v>
      </c>
      <c r="F170" s="172">
        <v>107</v>
      </c>
      <c r="G170" s="172">
        <v>-0.25</v>
      </c>
      <c r="H170" s="172">
        <v>15.25</v>
      </c>
      <c r="I170" s="172">
        <v>21.5</v>
      </c>
    </row>
    <row r="171" spans="2:9" hidden="1" x14ac:dyDescent="0.3">
      <c r="B171" s="172" t="s">
        <v>179</v>
      </c>
      <c r="C171" s="172" t="s">
        <v>246</v>
      </c>
      <c r="D171" s="172" t="s">
        <v>218</v>
      </c>
      <c r="E171" s="172">
        <v>1.0091094759001499E-4</v>
      </c>
      <c r="F171" s="172">
        <v>118</v>
      </c>
      <c r="G171" s="172">
        <v>16.25</v>
      </c>
      <c r="H171" s="172">
        <v>15.25</v>
      </c>
      <c r="I171" s="172">
        <v>21.5</v>
      </c>
    </row>
    <row r="172" spans="2:9" hidden="1" x14ac:dyDescent="0.3">
      <c r="B172" s="172" t="s">
        <v>39</v>
      </c>
      <c r="C172" s="172" t="s">
        <v>79</v>
      </c>
      <c r="D172" s="172" t="s">
        <v>218</v>
      </c>
      <c r="E172" s="172">
        <v>8.5208622337824998E-4</v>
      </c>
      <c r="F172" s="172">
        <v>118</v>
      </c>
      <c r="G172" s="172">
        <v>16.25</v>
      </c>
      <c r="H172" s="172">
        <v>15.25</v>
      </c>
      <c r="I172" s="172">
        <v>18</v>
      </c>
    </row>
    <row r="173" spans="2:9" x14ac:dyDescent="0.3">
      <c r="B173" s="172" t="s">
        <v>39</v>
      </c>
      <c r="C173" s="172" t="s">
        <v>80</v>
      </c>
      <c r="D173" s="172" t="s">
        <v>218</v>
      </c>
      <c r="E173" s="172">
        <v>8.74352536936099E-4</v>
      </c>
      <c r="F173" s="172">
        <v>111</v>
      </c>
      <c r="G173" s="172">
        <v>16.25</v>
      </c>
      <c r="H173" s="172">
        <v>-0.25</v>
      </c>
      <c r="I173" s="172">
        <v>18</v>
      </c>
    </row>
    <row r="174" spans="2:9" hidden="1" x14ac:dyDescent="0.3">
      <c r="B174" s="172" t="s">
        <v>39</v>
      </c>
      <c r="C174" s="172" t="s">
        <v>81</v>
      </c>
      <c r="D174" s="172" t="s">
        <v>221</v>
      </c>
      <c r="E174" s="172">
        <v>8.0655101190130597E-4</v>
      </c>
      <c r="F174" s="172">
        <v>107</v>
      </c>
      <c r="G174" s="172">
        <v>-0.25</v>
      </c>
      <c r="H174" s="172">
        <v>15.25</v>
      </c>
      <c r="I174" s="172">
        <v>18</v>
      </c>
    </row>
    <row r="175" spans="2:9" hidden="1" x14ac:dyDescent="0.3">
      <c r="B175" s="172" t="s">
        <v>39</v>
      </c>
      <c r="C175" s="172" t="s">
        <v>82</v>
      </c>
      <c r="D175" s="172" t="s">
        <v>221</v>
      </c>
      <c r="E175" s="172">
        <v>9.8367497198556899E-4</v>
      </c>
      <c r="F175" s="172">
        <v>107</v>
      </c>
      <c r="G175" s="172">
        <v>-0.25</v>
      </c>
      <c r="H175" s="172">
        <v>15.25</v>
      </c>
      <c r="I175" s="172">
        <v>18</v>
      </c>
    </row>
    <row r="176" spans="2:9" hidden="1" x14ac:dyDescent="0.3">
      <c r="B176" s="172" t="s">
        <v>39</v>
      </c>
      <c r="C176" s="172" t="s">
        <v>246</v>
      </c>
      <c r="D176" s="172" t="s">
        <v>218</v>
      </c>
      <c r="E176" s="172">
        <v>8.90769551966026E-5</v>
      </c>
      <c r="F176" s="172">
        <v>118</v>
      </c>
      <c r="G176" s="172">
        <v>16.25</v>
      </c>
      <c r="H176" s="172">
        <v>15.25</v>
      </c>
      <c r="I176" s="172">
        <v>18</v>
      </c>
    </row>
    <row r="177" spans="2:9" hidden="1" x14ac:dyDescent="0.3">
      <c r="B177" s="172" t="s">
        <v>26</v>
      </c>
      <c r="C177" s="172" t="s">
        <v>79</v>
      </c>
      <c r="D177" s="172" t="s">
        <v>218</v>
      </c>
      <c r="E177" s="172">
        <v>9.14111773850167E-4</v>
      </c>
      <c r="F177" s="172">
        <v>118</v>
      </c>
      <c r="G177" s="172">
        <v>16.25</v>
      </c>
      <c r="H177" s="172">
        <v>15.25</v>
      </c>
      <c r="I177" s="172">
        <v>14.5</v>
      </c>
    </row>
    <row r="178" spans="2:9" x14ac:dyDescent="0.3">
      <c r="B178" s="172" t="s">
        <v>26</v>
      </c>
      <c r="C178" s="172" t="s">
        <v>80</v>
      </c>
      <c r="D178" s="172" t="s">
        <v>218</v>
      </c>
      <c r="E178" s="172">
        <v>9.39995931566869E-4</v>
      </c>
      <c r="F178" s="172">
        <v>111</v>
      </c>
      <c r="G178" s="172">
        <v>16.25</v>
      </c>
      <c r="H178" s="172">
        <v>-0.25</v>
      </c>
      <c r="I178" s="172">
        <v>14.5</v>
      </c>
    </row>
    <row r="179" spans="2:9" hidden="1" x14ac:dyDescent="0.3">
      <c r="B179" s="172" t="s">
        <v>26</v>
      </c>
      <c r="C179" s="172" t="s">
        <v>81</v>
      </c>
      <c r="D179" s="172" t="s">
        <v>221</v>
      </c>
      <c r="E179" s="172">
        <v>8.6044496138753504E-4</v>
      </c>
      <c r="F179" s="172">
        <v>107</v>
      </c>
      <c r="G179" s="172">
        <v>-0.25</v>
      </c>
      <c r="H179" s="172">
        <v>15.25</v>
      </c>
      <c r="I179" s="172">
        <v>14.5</v>
      </c>
    </row>
    <row r="180" spans="2:9" hidden="1" x14ac:dyDescent="0.3">
      <c r="B180" s="172" t="s">
        <v>26</v>
      </c>
      <c r="C180" s="172" t="s">
        <v>82</v>
      </c>
      <c r="D180" s="172" t="s">
        <v>221</v>
      </c>
      <c r="E180" s="172">
        <v>1.05306286138781E-3</v>
      </c>
      <c r="F180" s="172">
        <v>107</v>
      </c>
      <c r="G180" s="172">
        <v>-0.25</v>
      </c>
      <c r="H180" s="172">
        <v>15.25</v>
      </c>
      <c r="I180" s="172">
        <v>14.5</v>
      </c>
    </row>
    <row r="181" spans="2:9" hidden="1" x14ac:dyDescent="0.3">
      <c r="B181" s="172" t="s">
        <v>26</v>
      </c>
      <c r="C181" s="172" t="s">
        <v>246</v>
      </c>
      <c r="D181" s="172" t="s">
        <v>218</v>
      </c>
      <c r="E181" s="172">
        <v>7.5237412564660506E-5</v>
      </c>
      <c r="F181" s="172">
        <v>118</v>
      </c>
      <c r="G181" s="172">
        <v>16.25</v>
      </c>
      <c r="H181" s="172">
        <v>15.25</v>
      </c>
      <c r="I181" s="172">
        <v>14.5</v>
      </c>
    </row>
    <row r="182" spans="2:9" hidden="1" x14ac:dyDescent="0.3">
      <c r="B182" s="172" t="s">
        <v>25</v>
      </c>
      <c r="C182" s="172" t="s">
        <v>79</v>
      </c>
      <c r="D182" s="172" t="s">
        <v>218</v>
      </c>
      <c r="E182" s="172">
        <v>9.5894425359434299E-4</v>
      </c>
      <c r="F182" s="172">
        <v>118</v>
      </c>
      <c r="G182" s="172">
        <v>16.25</v>
      </c>
      <c r="H182" s="172">
        <v>15.25</v>
      </c>
      <c r="I182" s="172">
        <v>11</v>
      </c>
    </row>
    <row r="183" spans="2:9" x14ac:dyDescent="0.3">
      <c r="B183" s="172" t="s">
        <v>25</v>
      </c>
      <c r="C183" s="172" t="s">
        <v>80</v>
      </c>
      <c r="D183" s="172" t="s">
        <v>218</v>
      </c>
      <c r="E183" s="172">
        <v>9.8888167854625309E-4</v>
      </c>
      <c r="F183" s="172">
        <v>111</v>
      </c>
      <c r="G183" s="172">
        <v>16.25</v>
      </c>
      <c r="H183" s="172">
        <v>-0.25</v>
      </c>
      <c r="I183" s="172">
        <v>11</v>
      </c>
    </row>
    <row r="184" spans="2:9" hidden="1" x14ac:dyDescent="0.3">
      <c r="B184" s="172" t="s">
        <v>25</v>
      </c>
      <c r="C184" s="172" t="s">
        <v>81</v>
      </c>
      <c r="D184" s="172" t="s">
        <v>221</v>
      </c>
      <c r="E184" s="172">
        <v>8.9697495289813999E-4</v>
      </c>
      <c r="F184" s="172">
        <v>107</v>
      </c>
      <c r="G184" s="172">
        <v>-0.25</v>
      </c>
      <c r="H184" s="172">
        <v>15.25</v>
      </c>
      <c r="I184" s="172">
        <v>11</v>
      </c>
    </row>
    <row r="185" spans="2:9" hidden="1" x14ac:dyDescent="0.3">
      <c r="B185" s="172" t="s">
        <v>25</v>
      </c>
      <c r="C185" s="172" t="s">
        <v>82</v>
      </c>
      <c r="D185" s="172" t="s">
        <v>221</v>
      </c>
      <c r="E185" s="172">
        <v>1.10179118445775E-3</v>
      </c>
      <c r="F185" s="172">
        <v>107</v>
      </c>
      <c r="G185" s="172">
        <v>-0.25</v>
      </c>
      <c r="H185" s="172">
        <v>15.25</v>
      </c>
      <c r="I185" s="172">
        <v>11</v>
      </c>
    </row>
    <row r="186" spans="2:9" hidden="1" x14ac:dyDescent="0.3">
      <c r="B186" s="172" t="s">
        <v>25</v>
      </c>
      <c r="C186" s="172" t="s">
        <v>246</v>
      </c>
      <c r="D186" s="172" t="s">
        <v>218</v>
      </c>
      <c r="E186" s="172">
        <v>5.9976053152072699E-5</v>
      </c>
      <c r="F186" s="172">
        <v>118</v>
      </c>
      <c r="G186" s="172">
        <v>16.25</v>
      </c>
      <c r="H186" s="172">
        <v>15.25</v>
      </c>
      <c r="I186" s="172">
        <v>11</v>
      </c>
    </row>
    <row r="187" spans="2:9" hidden="1" x14ac:dyDescent="0.3">
      <c r="B187" s="172" t="s">
        <v>24</v>
      </c>
      <c r="C187" s="172" t="s">
        <v>79</v>
      </c>
      <c r="D187" s="172" t="s">
        <v>218</v>
      </c>
      <c r="E187" s="172">
        <v>9.7848734947703206E-4</v>
      </c>
      <c r="F187" s="172">
        <v>118</v>
      </c>
      <c r="G187" s="172">
        <v>16.25</v>
      </c>
      <c r="H187" s="172">
        <v>15.25</v>
      </c>
      <c r="I187" s="172">
        <v>7.5</v>
      </c>
    </row>
    <row r="188" spans="2:9" x14ac:dyDescent="0.3">
      <c r="B188" s="172" t="s">
        <v>24</v>
      </c>
      <c r="C188" s="172" t="s">
        <v>80</v>
      </c>
      <c r="D188" s="172" t="s">
        <v>218</v>
      </c>
      <c r="E188" s="172">
        <v>1.0131491008380899E-3</v>
      </c>
      <c r="F188" s="172">
        <v>111</v>
      </c>
      <c r="G188" s="172">
        <v>16.25</v>
      </c>
      <c r="H188" s="172">
        <v>-0.25</v>
      </c>
      <c r="I188" s="172">
        <v>7.5</v>
      </c>
    </row>
    <row r="189" spans="2:9" hidden="1" x14ac:dyDescent="0.3">
      <c r="B189" s="172" t="s">
        <v>24</v>
      </c>
      <c r="C189" s="172" t="s">
        <v>81</v>
      </c>
      <c r="D189" s="172" t="s">
        <v>221</v>
      </c>
      <c r="E189" s="172">
        <v>9.0678503070460695E-4</v>
      </c>
      <c r="F189" s="172">
        <v>107</v>
      </c>
      <c r="G189" s="172">
        <v>-0.25</v>
      </c>
      <c r="H189" s="172">
        <v>15.25</v>
      </c>
      <c r="I189" s="172">
        <v>7.5</v>
      </c>
    </row>
    <row r="190" spans="2:9" hidden="1" x14ac:dyDescent="0.3">
      <c r="B190" s="172" t="s">
        <v>24</v>
      </c>
      <c r="C190" s="172" t="s">
        <v>82</v>
      </c>
      <c r="D190" s="172" t="s">
        <v>221</v>
      </c>
      <c r="E190" s="172">
        <v>1.11824774474765E-3</v>
      </c>
      <c r="F190" s="172">
        <v>107</v>
      </c>
      <c r="G190" s="172">
        <v>-0.25</v>
      </c>
      <c r="H190" s="172">
        <v>15.25</v>
      </c>
      <c r="I190" s="172">
        <v>7.5</v>
      </c>
    </row>
    <row r="191" spans="2:9" hidden="1" x14ac:dyDescent="0.3">
      <c r="B191" s="172" t="s">
        <v>24</v>
      </c>
      <c r="C191" s="172" t="s">
        <v>246</v>
      </c>
      <c r="D191" s="172" t="s">
        <v>218</v>
      </c>
      <c r="E191" s="172">
        <v>4.2644031346894E-5</v>
      </c>
      <c r="F191" s="172">
        <v>118</v>
      </c>
      <c r="G191" s="172">
        <v>16.25</v>
      </c>
      <c r="H191" s="172">
        <v>15.25</v>
      </c>
      <c r="I191" s="172">
        <v>7.5</v>
      </c>
    </row>
    <row r="192" spans="2:9" hidden="1" x14ac:dyDescent="0.3">
      <c r="B192" s="172" t="s">
        <v>22</v>
      </c>
      <c r="C192" s="172" t="s">
        <v>79</v>
      </c>
      <c r="D192" s="172" t="s">
        <v>218</v>
      </c>
      <c r="E192" s="172">
        <v>8.1211308096613196E-4</v>
      </c>
      <c r="F192" s="172">
        <v>33</v>
      </c>
      <c r="G192" s="172">
        <v>16</v>
      </c>
      <c r="H192" s="172">
        <v>15</v>
      </c>
      <c r="I192" s="172">
        <v>4</v>
      </c>
    </row>
    <row r="193" spans="2:9" x14ac:dyDescent="0.3">
      <c r="B193" s="172" t="s">
        <v>22</v>
      </c>
      <c r="C193" s="172" t="s">
        <v>80</v>
      </c>
      <c r="D193" s="172" t="s">
        <v>218</v>
      </c>
      <c r="E193" s="172">
        <v>8.4859448042749405E-4</v>
      </c>
      <c r="F193" s="172">
        <v>30</v>
      </c>
      <c r="G193" s="172">
        <v>16</v>
      </c>
      <c r="H193" s="172">
        <v>0</v>
      </c>
      <c r="I193" s="172">
        <v>4</v>
      </c>
    </row>
    <row r="194" spans="2:9" hidden="1" x14ac:dyDescent="0.3">
      <c r="B194" s="172" t="s">
        <v>22</v>
      </c>
      <c r="C194" s="172" t="s">
        <v>81</v>
      </c>
      <c r="D194" s="172" t="s">
        <v>221</v>
      </c>
      <c r="E194" s="172">
        <v>7.8037487294507605E-4</v>
      </c>
      <c r="F194" s="172">
        <v>36</v>
      </c>
      <c r="G194" s="172">
        <v>16</v>
      </c>
      <c r="H194" s="172">
        <v>9</v>
      </c>
      <c r="I194" s="172">
        <v>4</v>
      </c>
    </row>
    <row r="195" spans="2:9" hidden="1" x14ac:dyDescent="0.3">
      <c r="B195" s="172" t="s">
        <v>22</v>
      </c>
      <c r="C195" s="172" t="s">
        <v>82</v>
      </c>
      <c r="D195" s="172" t="s">
        <v>221</v>
      </c>
      <c r="E195" s="172">
        <v>9.0252293215241396E-4</v>
      </c>
      <c r="F195" s="172">
        <v>21</v>
      </c>
      <c r="G195" s="172">
        <v>0</v>
      </c>
      <c r="H195" s="172">
        <v>15</v>
      </c>
      <c r="I195" s="172">
        <v>4</v>
      </c>
    </row>
    <row r="196" spans="2:9" hidden="1" x14ac:dyDescent="0.3">
      <c r="B196" s="172" t="s">
        <v>22</v>
      </c>
      <c r="C196" s="172" t="s">
        <v>246</v>
      </c>
      <c r="D196" s="172" t="s">
        <v>218</v>
      </c>
      <c r="E196" s="172">
        <v>1.68587229753145E-5</v>
      </c>
      <c r="F196" s="172">
        <v>33</v>
      </c>
      <c r="G196" s="172">
        <v>16</v>
      </c>
      <c r="H196" s="172">
        <v>15</v>
      </c>
      <c r="I196" s="172">
        <v>4</v>
      </c>
    </row>
    <row r="197" spans="2:9" hidden="1" x14ac:dyDescent="0.3">
      <c r="B197" s="172"/>
      <c r="C197" s="172"/>
      <c r="D197" s="172"/>
      <c r="E197" s="172"/>
      <c r="F197" s="172"/>
      <c r="G197" s="172"/>
      <c r="H197" s="172"/>
      <c r="I197" s="172"/>
    </row>
    <row r="198" spans="2:9" hidden="1" x14ac:dyDescent="0.3">
      <c r="B198" s="172"/>
      <c r="C198" s="172"/>
      <c r="D198" s="172"/>
      <c r="E198" s="172"/>
      <c r="F198" s="172"/>
      <c r="G198" s="172"/>
      <c r="H198" s="172"/>
      <c r="I198" s="172"/>
    </row>
    <row r="199" spans="2:9" hidden="1" x14ac:dyDescent="0.3">
      <c r="B199" s="172"/>
      <c r="C199" s="172"/>
      <c r="D199" s="172"/>
      <c r="E199" s="172"/>
      <c r="F199" s="172"/>
      <c r="G199" s="172"/>
      <c r="H199" s="172"/>
      <c r="I199" s="172"/>
    </row>
    <row r="200" spans="2:9" hidden="1" x14ac:dyDescent="0.3">
      <c r="B200" s="172"/>
      <c r="C200" s="172"/>
      <c r="D200" s="172"/>
      <c r="E200" s="172"/>
      <c r="F200" s="172"/>
      <c r="G200" s="172"/>
      <c r="H200" s="172"/>
      <c r="I200" s="172"/>
    </row>
    <row r="201" spans="2:9" hidden="1" x14ac:dyDescent="0.3">
      <c r="B201" s="172"/>
      <c r="C201" s="172"/>
      <c r="D201" s="172"/>
      <c r="E201" s="172"/>
      <c r="F201" s="172"/>
      <c r="G201" s="172"/>
      <c r="H201" s="172"/>
      <c r="I201" s="172"/>
    </row>
    <row r="202" spans="2:9" hidden="1" x14ac:dyDescent="0.3">
      <c r="B202" s="172"/>
      <c r="C202" s="172"/>
      <c r="D202" s="172"/>
      <c r="E202" s="172"/>
      <c r="F202" s="172"/>
      <c r="G202" s="172"/>
      <c r="H202" s="172"/>
      <c r="I202" s="172"/>
    </row>
    <row r="203" spans="2:9" hidden="1" x14ac:dyDescent="0.3">
      <c r="B203" s="172"/>
      <c r="C203" s="172"/>
      <c r="D203" s="172"/>
      <c r="E203" s="172"/>
      <c r="F203" s="172"/>
      <c r="G203" s="172"/>
      <c r="H203" s="172"/>
      <c r="I203" s="172"/>
    </row>
    <row r="204" spans="2:9" hidden="1" x14ac:dyDescent="0.3">
      <c r="B204" s="172"/>
      <c r="C204" s="172"/>
      <c r="D204" s="172"/>
      <c r="E204" s="172"/>
      <c r="F204" s="172"/>
      <c r="G204" s="172"/>
      <c r="H204" s="172"/>
      <c r="I204" s="172"/>
    </row>
    <row r="205" spans="2:9" hidden="1" x14ac:dyDescent="0.3">
      <c r="B205" s="172"/>
      <c r="C205" s="172"/>
      <c r="D205" s="172"/>
      <c r="E205" s="172"/>
      <c r="F205" s="172"/>
      <c r="G205" s="172"/>
      <c r="H205" s="172"/>
      <c r="I205" s="172"/>
    </row>
    <row r="206" spans="2:9" hidden="1" x14ac:dyDescent="0.3">
      <c r="B206" s="172"/>
      <c r="C206" s="172"/>
      <c r="D206" s="172"/>
      <c r="E206" s="172"/>
      <c r="F206" s="172"/>
      <c r="G206" s="172"/>
      <c r="H206" s="172"/>
      <c r="I206" s="172"/>
    </row>
    <row r="207" spans="2:9" hidden="1" x14ac:dyDescent="0.3">
      <c r="B207" s="172"/>
      <c r="C207" s="172"/>
      <c r="D207" s="172"/>
      <c r="E207" s="172"/>
      <c r="F207" s="172"/>
      <c r="G207" s="172"/>
      <c r="H207" s="172"/>
      <c r="I207" s="172"/>
    </row>
    <row r="208" spans="2:9" hidden="1" x14ac:dyDescent="0.3">
      <c r="B208" s="172"/>
      <c r="C208" s="172"/>
      <c r="D208" s="172"/>
      <c r="E208" s="172"/>
      <c r="F208" s="172"/>
      <c r="G208" s="172"/>
      <c r="H208" s="172"/>
      <c r="I208" s="172"/>
    </row>
    <row r="209" spans="2:9" hidden="1" x14ac:dyDescent="0.3">
      <c r="B209" s="172"/>
      <c r="C209" s="172"/>
      <c r="D209" s="172"/>
      <c r="E209" s="172"/>
      <c r="F209" s="172"/>
      <c r="G209" s="172"/>
      <c r="H209" s="172"/>
      <c r="I209" s="172"/>
    </row>
    <row r="210" spans="2:9" hidden="1" x14ac:dyDescent="0.3">
      <c r="B210" s="172"/>
      <c r="C210" s="172"/>
      <c r="D210" s="172"/>
      <c r="E210" s="172"/>
      <c r="F210" s="172"/>
      <c r="G210" s="172"/>
      <c r="H210" s="172"/>
      <c r="I210" s="172"/>
    </row>
    <row r="211" spans="2:9" hidden="1" x14ac:dyDescent="0.3">
      <c r="B211" s="172"/>
      <c r="C211" s="172"/>
      <c r="D211" s="172"/>
      <c r="E211" s="172"/>
      <c r="F211" s="172"/>
      <c r="G211" s="172"/>
      <c r="H211" s="172"/>
      <c r="I211" s="172"/>
    </row>
    <row r="212" spans="2:9" hidden="1" x14ac:dyDescent="0.3">
      <c r="B212" s="172"/>
      <c r="C212" s="172"/>
      <c r="D212" s="172"/>
      <c r="E212" s="172"/>
      <c r="F212" s="172"/>
      <c r="G212" s="172"/>
      <c r="H212" s="172"/>
      <c r="I212" s="172"/>
    </row>
    <row r="213" spans="2:9" hidden="1" x14ac:dyDescent="0.3">
      <c r="B213" s="172"/>
      <c r="C213" s="172"/>
      <c r="D213" s="172"/>
      <c r="E213" s="172"/>
      <c r="F213" s="172"/>
      <c r="G213" s="172"/>
      <c r="H213" s="172"/>
      <c r="I213" s="172"/>
    </row>
    <row r="214" spans="2:9" hidden="1" x14ac:dyDescent="0.3">
      <c r="B214" s="172"/>
      <c r="C214" s="172"/>
      <c r="D214" s="172"/>
      <c r="E214" s="172"/>
      <c r="F214" s="172"/>
      <c r="G214" s="172"/>
      <c r="H214" s="172"/>
      <c r="I214" s="172"/>
    </row>
    <row r="215" spans="2:9" hidden="1" x14ac:dyDescent="0.3">
      <c r="B215" s="172"/>
      <c r="C215" s="172"/>
      <c r="D215" s="172"/>
      <c r="E215" s="172"/>
      <c r="F215" s="172"/>
      <c r="G215" s="172"/>
      <c r="H215" s="172"/>
      <c r="I215" s="172"/>
    </row>
    <row r="216" spans="2:9" hidden="1" x14ac:dyDescent="0.3">
      <c r="B216" s="172"/>
      <c r="C216" s="172"/>
      <c r="D216" s="172"/>
      <c r="E216" s="172"/>
      <c r="F216" s="172"/>
      <c r="G216" s="172"/>
      <c r="H216" s="172"/>
      <c r="I216" s="172"/>
    </row>
    <row r="217" spans="2:9" hidden="1" x14ac:dyDescent="0.3">
      <c r="B217" s="172"/>
      <c r="C217" s="172"/>
      <c r="D217" s="172"/>
      <c r="E217" s="172"/>
      <c r="F217" s="172"/>
      <c r="G217" s="172"/>
      <c r="H217" s="172"/>
      <c r="I217" s="172"/>
    </row>
    <row r="218" spans="2:9" hidden="1" x14ac:dyDescent="0.3">
      <c r="B218" s="172"/>
      <c r="C218" s="172"/>
      <c r="D218" s="172"/>
      <c r="E218" s="172"/>
      <c r="F218" s="172"/>
      <c r="G218" s="172"/>
      <c r="H218" s="172"/>
      <c r="I218" s="172"/>
    </row>
    <row r="219" spans="2:9" hidden="1" x14ac:dyDescent="0.3">
      <c r="B219" s="172"/>
      <c r="C219" s="172"/>
      <c r="D219" s="172"/>
      <c r="E219" s="172"/>
      <c r="F219" s="172"/>
      <c r="G219" s="172"/>
      <c r="H219" s="172"/>
      <c r="I219" s="172"/>
    </row>
    <row r="220" spans="2:9" hidden="1" x14ac:dyDescent="0.3">
      <c r="B220" s="172"/>
      <c r="C220" s="172"/>
      <c r="D220" s="172"/>
      <c r="E220" s="172"/>
      <c r="F220" s="172"/>
      <c r="G220" s="172"/>
      <c r="H220" s="172"/>
      <c r="I220" s="172"/>
    </row>
    <row r="221" spans="2:9" hidden="1" x14ac:dyDescent="0.3">
      <c r="B221" s="172"/>
      <c r="C221" s="172"/>
      <c r="D221" s="172"/>
      <c r="E221" s="172"/>
      <c r="F221" s="172"/>
      <c r="G221" s="172"/>
      <c r="H221" s="172"/>
      <c r="I221" s="172"/>
    </row>
    <row r="222" spans="2:9" hidden="1" x14ac:dyDescent="0.3">
      <c r="B222" s="172"/>
      <c r="C222" s="172"/>
      <c r="D222" s="172"/>
      <c r="E222" s="172"/>
      <c r="F222" s="172"/>
      <c r="G222" s="172"/>
      <c r="H222" s="172"/>
      <c r="I222" s="172"/>
    </row>
    <row r="223" spans="2:9" hidden="1" x14ac:dyDescent="0.3">
      <c r="B223" s="172"/>
      <c r="C223" s="172"/>
      <c r="D223" s="172"/>
      <c r="E223" s="172"/>
      <c r="F223" s="172"/>
      <c r="G223" s="172"/>
      <c r="H223" s="172"/>
      <c r="I223" s="172"/>
    </row>
    <row r="224" spans="2:9" hidden="1" x14ac:dyDescent="0.3">
      <c r="B224" s="172"/>
      <c r="C224" s="172"/>
      <c r="D224" s="172"/>
      <c r="E224" s="172"/>
      <c r="F224" s="172"/>
      <c r="G224" s="172"/>
      <c r="H224" s="172"/>
      <c r="I224" s="172"/>
    </row>
    <row r="225" spans="2:9" hidden="1" x14ac:dyDescent="0.3">
      <c r="B225" s="172"/>
      <c r="C225" s="172"/>
      <c r="D225" s="172"/>
      <c r="E225" s="172"/>
      <c r="F225" s="172"/>
      <c r="G225" s="172"/>
      <c r="H225" s="172"/>
      <c r="I225" s="172"/>
    </row>
    <row r="226" spans="2:9" hidden="1" x14ac:dyDescent="0.3">
      <c r="B226" s="172"/>
      <c r="C226" s="172"/>
      <c r="D226" s="172"/>
      <c r="E226" s="172"/>
      <c r="F226" s="172"/>
      <c r="G226" s="172"/>
      <c r="H226" s="172"/>
      <c r="I226" s="172"/>
    </row>
    <row r="227" spans="2:9" s="172" customFormat="1" hidden="1" x14ac:dyDescent="0.3"/>
    <row r="228" spans="2:9" hidden="1" x14ac:dyDescent="0.3">
      <c r="B228" s="172"/>
      <c r="C228" s="172"/>
      <c r="D228" s="172"/>
      <c r="E228" s="172"/>
      <c r="F228" s="172"/>
      <c r="G228" s="172"/>
      <c r="H228" s="172"/>
      <c r="I228" s="172"/>
    </row>
    <row r="229" spans="2:9" hidden="1" x14ac:dyDescent="0.3">
      <c r="B229" s="172"/>
      <c r="C229" s="172"/>
      <c r="D229" s="172"/>
      <c r="E229" s="172"/>
      <c r="F229" s="172"/>
      <c r="G229" s="172"/>
      <c r="H229" s="172"/>
      <c r="I229" s="172"/>
    </row>
    <row r="230" spans="2:9" s="172" customFormat="1" hidden="1" x14ac:dyDescent="0.3"/>
    <row r="231" spans="2:9" hidden="1" x14ac:dyDescent="0.3">
      <c r="B231" s="172"/>
      <c r="C231" s="172"/>
      <c r="D231" s="172"/>
      <c r="E231" s="172"/>
      <c r="F231" s="172"/>
      <c r="G231" s="172"/>
      <c r="H231" s="172"/>
      <c r="I231" s="172"/>
    </row>
    <row r="232" spans="2:9" hidden="1" x14ac:dyDescent="0.3">
      <c r="B232" s="172"/>
      <c r="C232" s="172"/>
      <c r="D232" s="172"/>
      <c r="E232" s="172"/>
      <c r="F232" s="172"/>
      <c r="G232" s="172"/>
      <c r="H232" s="172"/>
      <c r="I232" s="172"/>
    </row>
    <row r="233" spans="2:9" s="172" customFormat="1" hidden="1" x14ac:dyDescent="0.3"/>
    <row r="234" spans="2:9" hidden="1" x14ac:dyDescent="0.3">
      <c r="B234" s="172"/>
      <c r="C234" s="172"/>
      <c r="D234" s="172"/>
      <c r="E234" s="172"/>
      <c r="F234" s="172"/>
      <c r="G234" s="172"/>
      <c r="H234" s="172"/>
      <c r="I234" s="172"/>
    </row>
    <row r="235" spans="2:9" hidden="1" x14ac:dyDescent="0.3">
      <c r="B235" s="172"/>
      <c r="C235" s="172"/>
      <c r="D235" s="172"/>
      <c r="E235" s="172"/>
      <c r="F235" s="172"/>
      <c r="G235" s="172"/>
      <c r="H235" s="172"/>
      <c r="I235" s="172"/>
    </row>
    <row r="236" spans="2:9" s="172" customFormat="1" hidden="1" x14ac:dyDescent="0.3"/>
    <row r="237" spans="2:9" hidden="1" x14ac:dyDescent="0.3">
      <c r="B237" s="172"/>
      <c r="C237" s="172"/>
      <c r="D237" s="172"/>
      <c r="E237" s="172"/>
      <c r="F237" s="172"/>
      <c r="G237" s="172"/>
      <c r="H237" s="172"/>
      <c r="I237" s="172"/>
    </row>
    <row r="238" spans="2:9" hidden="1" x14ac:dyDescent="0.3">
      <c r="B238" s="172"/>
      <c r="C238" s="172"/>
      <c r="D238" s="172"/>
      <c r="E238" s="172"/>
      <c r="F238" s="172"/>
      <c r="G238" s="172"/>
      <c r="H238" s="172"/>
      <c r="I238" s="172"/>
    </row>
    <row r="239" spans="2:9" s="172" customFormat="1" hidden="1" x14ac:dyDescent="0.3"/>
    <row r="240" spans="2:9" hidden="1" x14ac:dyDescent="0.3">
      <c r="B240" s="172"/>
      <c r="C240" s="172"/>
      <c r="D240" s="172"/>
      <c r="E240" s="172"/>
      <c r="F240" s="172"/>
      <c r="G240" s="172"/>
      <c r="H240" s="172"/>
      <c r="I240" s="172"/>
    </row>
    <row r="241" spans="2:9" hidden="1" x14ac:dyDescent="0.3">
      <c r="B241" s="172"/>
      <c r="C241" s="172"/>
      <c r="D241" s="172"/>
      <c r="E241" s="172"/>
      <c r="F241" s="172"/>
      <c r="G241" s="172"/>
      <c r="H241" s="172"/>
      <c r="I241" s="172"/>
    </row>
    <row r="242" spans="2:9" s="172" customFormat="1" hidden="1" x14ac:dyDescent="0.3"/>
    <row r="243" spans="2:9" hidden="1" x14ac:dyDescent="0.3">
      <c r="B243" s="172"/>
      <c r="C243" s="172"/>
      <c r="D243" s="172"/>
      <c r="E243" s="172"/>
      <c r="F243" s="172"/>
      <c r="G243" s="172"/>
      <c r="H243" s="172"/>
      <c r="I243" s="172"/>
    </row>
    <row r="244" spans="2:9" hidden="1" x14ac:dyDescent="0.3">
      <c r="B244" s="172"/>
      <c r="C244" s="172"/>
      <c r="D244" s="172"/>
      <c r="E244" s="172"/>
      <c r="F244" s="172"/>
      <c r="G244" s="172"/>
      <c r="H244" s="172"/>
      <c r="I244" s="172"/>
    </row>
    <row r="245" spans="2:9" hidden="1" x14ac:dyDescent="0.3">
      <c r="B245" s="172"/>
      <c r="C245" s="172"/>
      <c r="D245" s="172"/>
      <c r="E245" s="172"/>
      <c r="F245" s="172"/>
      <c r="G245" s="172"/>
      <c r="H245" s="172"/>
      <c r="I245" s="172"/>
    </row>
    <row r="246" spans="2:9" hidden="1" x14ac:dyDescent="0.3">
      <c r="B246" s="172"/>
      <c r="C246" s="172"/>
      <c r="D246" s="172"/>
      <c r="E246" s="172"/>
      <c r="F246" s="172"/>
      <c r="G246" s="172"/>
      <c r="H246" s="172"/>
      <c r="I246" s="172"/>
    </row>
    <row r="247" spans="2:9" hidden="1" x14ac:dyDescent="0.3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191"/>
      <c r="C268" s="191"/>
      <c r="D268" s="191"/>
      <c r="E268" s="191"/>
      <c r="F268" s="191"/>
      <c r="G268" s="191" t="s">
        <v>7</v>
      </c>
      <c r="H268" s="191" t="s">
        <v>7</v>
      </c>
      <c r="I268" s="192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2.8303505338285299E-4</v>
      </c>
      <c r="F270" s="172">
        <v>36</v>
      </c>
      <c r="G270" s="172">
        <v>16</v>
      </c>
      <c r="H270" s="172">
        <v>9</v>
      </c>
      <c r="I270" s="172">
        <v>38.5</v>
      </c>
    </row>
    <row r="271" spans="2:9" hidden="1" x14ac:dyDescent="0.3">
      <c r="B271" s="172" t="s">
        <v>189</v>
      </c>
      <c r="C271" s="172" t="s">
        <v>80</v>
      </c>
      <c r="D271" s="172" t="s">
        <v>218</v>
      </c>
      <c r="E271" s="172">
        <v>2.73526436639881E-4</v>
      </c>
      <c r="F271" s="172">
        <v>36</v>
      </c>
      <c r="G271" s="172">
        <v>16</v>
      </c>
      <c r="H271" s="172">
        <v>9</v>
      </c>
      <c r="I271" s="172">
        <v>38.5</v>
      </c>
    </row>
    <row r="272" spans="2:9" x14ac:dyDescent="0.3">
      <c r="B272" s="172" t="s">
        <v>189</v>
      </c>
      <c r="C272" s="172" t="s">
        <v>81</v>
      </c>
      <c r="D272" s="172" t="s">
        <v>221</v>
      </c>
      <c r="E272" s="172">
        <v>1.6189315073755401E-4</v>
      </c>
      <c r="F272" s="172">
        <v>37</v>
      </c>
      <c r="G272" s="172">
        <v>12</v>
      </c>
      <c r="H272" s="172">
        <v>9</v>
      </c>
      <c r="I272" s="172">
        <v>38.5</v>
      </c>
    </row>
    <row r="273" spans="2:9" hidden="1" x14ac:dyDescent="0.3">
      <c r="B273" s="172" t="s">
        <v>189</v>
      </c>
      <c r="C273" s="172" t="s">
        <v>82</v>
      </c>
      <c r="D273" s="172" t="s">
        <v>221</v>
      </c>
      <c r="E273" s="172">
        <v>1.6390615247352099E-4</v>
      </c>
      <c r="F273" s="172">
        <v>37</v>
      </c>
      <c r="G273" s="172">
        <v>12</v>
      </c>
      <c r="H273" s="172">
        <v>9</v>
      </c>
      <c r="I273" s="172">
        <v>38.5</v>
      </c>
    </row>
    <row r="274" spans="2:9" hidden="1" x14ac:dyDescent="0.3">
      <c r="B274" s="172" t="s">
        <v>189</v>
      </c>
      <c r="C274" s="172" t="s">
        <v>246</v>
      </c>
      <c r="D274" s="172" t="s">
        <v>218</v>
      </c>
      <c r="E274" s="172">
        <v>4.1012272394738101E-4</v>
      </c>
      <c r="F274" s="172">
        <v>31</v>
      </c>
      <c r="G274" s="172">
        <v>16</v>
      </c>
      <c r="H274" s="172">
        <v>4</v>
      </c>
      <c r="I274" s="172">
        <v>38.5</v>
      </c>
    </row>
    <row r="275" spans="2:9" hidden="1" x14ac:dyDescent="0.3">
      <c r="B275" s="172" t="s">
        <v>189</v>
      </c>
      <c r="C275" s="172" t="s">
        <v>246</v>
      </c>
      <c r="D275" s="172" t="s">
        <v>221</v>
      </c>
      <c r="E275" s="172">
        <v>9.6799514462703401E-5</v>
      </c>
      <c r="F275" s="172">
        <v>36</v>
      </c>
      <c r="G275" s="172">
        <v>16</v>
      </c>
      <c r="H275" s="172">
        <v>9</v>
      </c>
      <c r="I275" s="172">
        <v>38.5</v>
      </c>
    </row>
    <row r="276" spans="2:9" hidden="1" x14ac:dyDescent="0.3">
      <c r="B276" s="172" t="s">
        <v>187</v>
      </c>
      <c r="C276" s="172" t="s">
        <v>79</v>
      </c>
      <c r="D276" s="172" t="s">
        <v>218</v>
      </c>
      <c r="E276" s="172">
        <v>2.8171356669469898E-4</v>
      </c>
      <c r="F276" s="172">
        <v>118</v>
      </c>
      <c r="G276" s="172">
        <v>16.25</v>
      </c>
      <c r="H276" s="172">
        <v>15.25</v>
      </c>
      <c r="I276" s="172">
        <v>35.5</v>
      </c>
    </row>
    <row r="277" spans="2:9" hidden="1" x14ac:dyDescent="0.3">
      <c r="B277" s="172" t="s">
        <v>187</v>
      </c>
      <c r="C277" s="172" t="s">
        <v>80</v>
      </c>
      <c r="D277" s="172" t="s">
        <v>218</v>
      </c>
      <c r="E277" s="172">
        <v>2.8288788624289499E-4</v>
      </c>
      <c r="F277" s="172">
        <v>111</v>
      </c>
      <c r="G277" s="172">
        <v>16.25</v>
      </c>
      <c r="H277" s="172">
        <v>-0.25</v>
      </c>
      <c r="I277" s="172">
        <v>35.5</v>
      </c>
    </row>
    <row r="278" spans="2:9" x14ac:dyDescent="0.3">
      <c r="B278" s="172" t="s">
        <v>187</v>
      </c>
      <c r="C278" s="172" t="s">
        <v>81</v>
      </c>
      <c r="D278" s="172" t="s">
        <v>221</v>
      </c>
      <c r="E278" s="172">
        <v>2.8806850486906002E-4</v>
      </c>
      <c r="F278" s="172">
        <v>107</v>
      </c>
      <c r="G278" s="172">
        <v>-0.25</v>
      </c>
      <c r="H278" s="172">
        <v>15.25</v>
      </c>
      <c r="I278" s="172">
        <v>35.5</v>
      </c>
    </row>
    <row r="279" spans="2:9" hidden="1" x14ac:dyDescent="0.3">
      <c r="B279" s="172" t="s">
        <v>187</v>
      </c>
      <c r="C279" s="172" t="s">
        <v>82</v>
      </c>
      <c r="D279" s="172" t="s">
        <v>221</v>
      </c>
      <c r="E279" s="172">
        <v>3.3556140503673398E-4</v>
      </c>
      <c r="F279" s="172">
        <v>107</v>
      </c>
      <c r="G279" s="172">
        <v>-0.25</v>
      </c>
      <c r="H279" s="172">
        <v>15.25</v>
      </c>
      <c r="I279" s="172">
        <v>35.5</v>
      </c>
    </row>
    <row r="280" spans="2:9" hidden="1" x14ac:dyDescent="0.3">
      <c r="B280" s="172" t="s">
        <v>187</v>
      </c>
      <c r="C280" s="172" t="s">
        <v>246</v>
      </c>
      <c r="D280" s="172" t="s">
        <v>218</v>
      </c>
      <c r="E280" s="172">
        <v>1.2297082587577101E-4</v>
      </c>
      <c r="F280" s="172">
        <v>118</v>
      </c>
      <c r="G280" s="172">
        <v>16.25</v>
      </c>
      <c r="H280" s="172">
        <v>15.25</v>
      </c>
      <c r="I280" s="172">
        <v>35.5</v>
      </c>
    </row>
    <row r="281" spans="2:9" hidden="1" x14ac:dyDescent="0.3">
      <c r="B281" s="172" t="s">
        <v>185</v>
      </c>
      <c r="C281" s="172" t="s">
        <v>79</v>
      </c>
      <c r="D281" s="172" t="s">
        <v>218</v>
      </c>
      <c r="E281" s="172">
        <v>4.2891518226022399E-4</v>
      </c>
      <c r="F281" s="172">
        <v>118</v>
      </c>
      <c r="G281" s="172">
        <v>16.25</v>
      </c>
      <c r="H281" s="172">
        <v>15.25</v>
      </c>
      <c r="I281" s="172">
        <v>32</v>
      </c>
    </row>
    <row r="282" spans="2:9" hidden="1" x14ac:dyDescent="0.3">
      <c r="B282" s="172" t="s">
        <v>185</v>
      </c>
      <c r="C282" s="172" t="s">
        <v>80</v>
      </c>
      <c r="D282" s="172" t="s">
        <v>218</v>
      </c>
      <c r="E282" s="172">
        <v>4.3528906773580199E-4</v>
      </c>
      <c r="F282" s="172">
        <v>111</v>
      </c>
      <c r="G282" s="172">
        <v>16.25</v>
      </c>
      <c r="H282" s="172">
        <v>-0.25</v>
      </c>
      <c r="I282" s="172">
        <v>32</v>
      </c>
    </row>
    <row r="283" spans="2:9" x14ac:dyDescent="0.3">
      <c r="B283" s="172" t="s">
        <v>185</v>
      </c>
      <c r="C283" s="172" t="s">
        <v>81</v>
      </c>
      <c r="D283" s="172" t="s">
        <v>221</v>
      </c>
      <c r="E283" s="172">
        <v>4.2331183946565801E-4</v>
      </c>
      <c r="F283" s="172">
        <v>107</v>
      </c>
      <c r="G283" s="172">
        <v>-0.25</v>
      </c>
      <c r="H283" s="172">
        <v>15.25</v>
      </c>
      <c r="I283" s="172">
        <v>32</v>
      </c>
    </row>
    <row r="284" spans="2:9" hidden="1" x14ac:dyDescent="0.3">
      <c r="B284" s="172" t="s">
        <v>185</v>
      </c>
      <c r="C284" s="172" t="s">
        <v>82</v>
      </c>
      <c r="D284" s="172" t="s">
        <v>221</v>
      </c>
      <c r="E284" s="172">
        <v>5.0379863457926204E-4</v>
      </c>
      <c r="F284" s="172">
        <v>107</v>
      </c>
      <c r="G284" s="172">
        <v>-0.25</v>
      </c>
      <c r="H284" s="172">
        <v>15.25</v>
      </c>
      <c r="I284" s="172">
        <v>32</v>
      </c>
    </row>
    <row r="285" spans="2:9" hidden="1" x14ac:dyDescent="0.3">
      <c r="B285" s="172" t="s">
        <v>185</v>
      </c>
      <c r="C285" s="172" t="s">
        <v>246</v>
      </c>
      <c r="D285" s="172" t="s">
        <v>218</v>
      </c>
      <c r="E285" s="172">
        <v>1.2154525629101399E-4</v>
      </c>
      <c r="F285" s="172">
        <v>118</v>
      </c>
      <c r="G285" s="172">
        <v>16.25</v>
      </c>
      <c r="H285" s="172">
        <v>15.25</v>
      </c>
      <c r="I285" s="172">
        <v>32</v>
      </c>
    </row>
    <row r="286" spans="2:9" hidden="1" x14ac:dyDescent="0.3">
      <c r="B286" s="172" t="s">
        <v>185</v>
      </c>
      <c r="C286" s="172" t="s">
        <v>246</v>
      </c>
      <c r="D286" s="172" t="s">
        <v>221</v>
      </c>
      <c r="E286" s="172">
        <v>2.37520854960675E-5</v>
      </c>
      <c r="F286" s="172">
        <v>100</v>
      </c>
      <c r="G286" s="172">
        <v>-0.25</v>
      </c>
      <c r="H286" s="172">
        <v>-0.25</v>
      </c>
      <c r="I286" s="172">
        <v>32</v>
      </c>
    </row>
    <row r="287" spans="2:9" hidden="1" x14ac:dyDescent="0.3">
      <c r="B287" s="172" t="s">
        <v>183</v>
      </c>
      <c r="C287" s="172" t="s">
        <v>79</v>
      </c>
      <c r="D287" s="172" t="s">
        <v>218</v>
      </c>
      <c r="E287" s="172">
        <v>5.6418377691208903E-4</v>
      </c>
      <c r="F287" s="172">
        <v>118</v>
      </c>
      <c r="G287" s="172">
        <v>16.25</v>
      </c>
      <c r="H287" s="172">
        <v>15.25</v>
      </c>
      <c r="I287" s="172">
        <v>28.5</v>
      </c>
    </row>
    <row r="288" spans="2:9" hidden="1" x14ac:dyDescent="0.3">
      <c r="B288" s="172" t="s">
        <v>183</v>
      </c>
      <c r="C288" s="172" t="s">
        <v>80</v>
      </c>
      <c r="D288" s="172" t="s">
        <v>218</v>
      </c>
      <c r="E288" s="172">
        <v>5.7516259966166098E-4</v>
      </c>
      <c r="F288" s="172">
        <v>111</v>
      </c>
      <c r="G288" s="172">
        <v>16.25</v>
      </c>
      <c r="H288" s="172">
        <v>-0.25</v>
      </c>
      <c r="I288" s="172">
        <v>28.5</v>
      </c>
    </row>
    <row r="289" spans="2:9" x14ac:dyDescent="0.3">
      <c r="B289" s="172" t="s">
        <v>183</v>
      </c>
      <c r="C289" s="172" t="s">
        <v>81</v>
      </c>
      <c r="D289" s="172" t="s">
        <v>221</v>
      </c>
      <c r="E289" s="172">
        <v>5.4783483104154003E-4</v>
      </c>
      <c r="F289" s="172">
        <v>107</v>
      </c>
      <c r="G289" s="172">
        <v>-0.25</v>
      </c>
      <c r="H289" s="172">
        <v>15.25</v>
      </c>
      <c r="I289" s="172">
        <v>28.5</v>
      </c>
    </row>
    <row r="290" spans="2:9" hidden="1" x14ac:dyDescent="0.3">
      <c r="B290" s="172" t="s">
        <v>183</v>
      </c>
      <c r="C290" s="172" t="s">
        <v>82</v>
      </c>
      <c r="D290" s="172" t="s">
        <v>221</v>
      </c>
      <c r="E290" s="172">
        <v>6.5882563419680199E-4</v>
      </c>
      <c r="F290" s="172">
        <v>107</v>
      </c>
      <c r="G290" s="172">
        <v>-0.25</v>
      </c>
      <c r="H290" s="172">
        <v>15.25</v>
      </c>
      <c r="I290" s="172">
        <v>28.5</v>
      </c>
    </row>
    <row r="291" spans="2:9" hidden="1" x14ac:dyDescent="0.3">
      <c r="B291" s="172" t="s">
        <v>183</v>
      </c>
      <c r="C291" s="172" t="s">
        <v>246</v>
      </c>
      <c r="D291" s="172" t="s">
        <v>218</v>
      </c>
      <c r="E291" s="172">
        <v>1.16923970398734E-4</v>
      </c>
      <c r="F291" s="172">
        <v>118</v>
      </c>
      <c r="G291" s="172">
        <v>16.25</v>
      </c>
      <c r="H291" s="172">
        <v>15.25</v>
      </c>
      <c r="I291" s="172">
        <v>28.5</v>
      </c>
    </row>
    <row r="292" spans="2:9" hidden="1" x14ac:dyDescent="0.3">
      <c r="B292" s="172" t="s">
        <v>183</v>
      </c>
      <c r="C292" s="172" t="s">
        <v>246</v>
      </c>
      <c r="D292" s="172" t="s">
        <v>221</v>
      </c>
      <c r="E292" s="172">
        <v>2.2647023540992599E-5</v>
      </c>
      <c r="F292" s="172">
        <v>107</v>
      </c>
      <c r="G292" s="172">
        <v>-0.25</v>
      </c>
      <c r="H292" s="172">
        <v>15.25</v>
      </c>
      <c r="I292" s="172">
        <v>28.5</v>
      </c>
    </row>
    <row r="293" spans="2:9" hidden="1" x14ac:dyDescent="0.3">
      <c r="B293" s="172" t="s">
        <v>181</v>
      </c>
      <c r="C293" s="172" t="s">
        <v>79</v>
      </c>
      <c r="D293" s="172" t="s">
        <v>218</v>
      </c>
      <c r="E293" s="172">
        <v>6.7843552368281902E-4</v>
      </c>
      <c r="F293" s="172">
        <v>118</v>
      </c>
      <c r="G293" s="172">
        <v>16.25</v>
      </c>
      <c r="H293" s="172">
        <v>15.25</v>
      </c>
      <c r="I293" s="172">
        <v>25</v>
      </c>
    </row>
    <row r="294" spans="2:9" hidden="1" x14ac:dyDescent="0.3">
      <c r="B294" s="172" t="s">
        <v>181</v>
      </c>
      <c r="C294" s="172" t="s">
        <v>80</v>
      </c>
      <c r="D294" s="172" t="s">
        <v>218</v>
      </c>
      <c r="E294" s="172">
        <v>6.9349680932493003E-4</v>
      </c>
      <c r="F294" s="172">
        <v>111</v>
      </c>
      <c r="G294" s="172">
        <v>16.25</v>
      </c>
      <c r="H294" s="172">
        <v>-0.25</v>
      </c>
      <c r="I294" s="172">
        <v>25</v>
      </c>
    </row>
    <row r="295" spans="2:9" x14ac:dyDescent="0.3">
      <c r="B295" s="172" t="s">
        <v>181</v>
      </c>
      <c r="C295" s="172" t="s">
        <v>81</v>
      </c>
      <c r="D295" s="172" t="s">
        <v>221</v>
      </c>
      <c r="E295" s="172">
        <v>6.5169744953751097E-4</v>
      </c>
      <c r="F295" s="172">
        <v>107</v>
      </c>
      <c r="G295" s="172">
        <v>-0.25</v>
      </c>
      <c r="H295" s="172">
        <v>15.25</v>
      </c>
      <c r="I295" s="172">
        <v>25</v>
      </c>
    </row>
    <row r="296" spans="2:9" hidden="1" x14ac:dyDescent="0.3">
      <c r="B296" s="172" t="s">
        <v>181</v>
      </c>
      <c r="C296" s="172" t="s">
        <v>82</v>
      </c>
      <c r="D296" s="172" t="s">
        <v>221</v>
      </c>
      <c r="E296" s="172">
        <v>7.8852534327218205E-4</v>
      </c>
      <c r="F296" s="172">
        <v>107</v>
      </c>
      <c r="G296" s="172">
        <v>-0.25</v>
      </c>
      <c r="H296" s="172">
        <v>15.25</v>
      </c>
      <c r="I296" s="172">
        <v>25</v>
      </c>
    </row>
    <row r="297" spans="2:9" hidden="1" x14ac:dyDescent="0.3">
      <c r="B297" s="172" t="s">
        <v>181</v>
      </c>
      <c r="C297" s="172" t="s">
        <v>246</v>
      </c>
      <c r="D297" s="172" t="s">
        <v>218</v>
      </c>
      <c r="E297" s="172">
        <v>1.10036090668969E-4</v>
      </c>
      <c r="F297" s="172">
        <v>118</v>
      </c>
      <c r="G297" s="172">
        <v>16.25</v>
      </c>
      <c r="H297" s="172">
        <v>15.25</v>
      </c>
      <c r="I297" s="172">
        <v>25</v>
      </c>
    </row>
    <row r="298" spans="2:9" hidden="1" x14ac:dyDescent="0.3">
      <c r="B298" s="172" t="s">
        <v>181</v>
      </c>
      <c r="C298" s="172" t="s">
        <v>246</v>
      </c>
      <c r="D298" s="172" t="s">
        <v>221</v>
      </c>
      <c r="E298" s="172">
        <v>2.0926071538530998E-5</v>
      </c>
      <c r="F298" s="172">
        <v>107</v>
      </c>
      <c r="G298" s="172">
        <v>-0.25</v>
      </c>
      <c r="H298" s="172">
        <v>15.25</v>
      </c>
      <c r="I298" s="172">
        <v>25</v>
      </c>
    </row>
    <row r="299" spans="2:9" hidden="1" x14ac:dyDescent="0.3">
      <c r="B299" s="172" t="s">
        <v>179</v>
      </c>
      <c r="C299" s="172" t="s">
        <v>79</v>
      </c>
      <c r="D299" s="172" t="s">
        <v>218</v>
      </c>
      <c r="E299" s="172">
        <v>7.7401365229352805E-4</v>
      </c>
      <c r="F299" s="172">
        <v>118</v>
      </c>
      <c r="G299" s="172">
        <v>16.25</v>
      </c>
      <c r="H299" s="172">
        <v>15.25</v>
      </c>
      <c r="I299" s="172">
        <v>21.5</v>
      </c>
    </row>
    <row r="300" spans="2:9" hidden="1" x14ac:dyDescent="0.3">
      <c r="B300" s="172" t="s">
        <v>179</v>
      </c>
      <c r="C300" s="172" t="s">
        <v>80</v>
      </c>
      <c r="D300" s="172" t="s">
        <v>218</v>
      </c>
      <c r="E300" s="172">
        <v>7.9283686428242405E-4</v>
      </c>
      <c r="F300" s="172">
        <v>111</v>
      </c>
      <c r="G300" s="172">
        <v>16.25</v>
      </c>
      <c r="H300" s="172">
        <v>-0.25</v>
      </c>
      <c r="I300" s="172">
        <v>21.5</v>
      </c>
    </row>
    <row r="301" spans="2:9" x14ac:dyDescent="0.3">
      <c r="B301" s="172" t="s">
        <v>179</v>
      </c>
      <c r="C301" s="172" t="s">
        <v>81</v>
      </c>
      <c r="D301" s="172" t="s">
        <v>221</v>
      </c>
      <c r="E301" s="172">
        <v>7.3714041617737604E-4</v>
      </c>
      <c r="F301" s="172">
        <v>107</v>
      </c>
      <c r="G301" s="172">
        <v>-0.25</v>
      </c>
      <c r="H301" s="172">
        <v>15.25</v>
      </c>
      <c r="I301" s="172">
        <v>21.5</v>
      </c>
    </row>
    <row r="302" spans="2:9" hidden="1" x14ac:dyDescent="0.3">
      <c r="B302" s="172" t="s">
        <v>179</v>
      </c>
      <c r="C302" s="172" t="s">
        <v>82</v>
      </c>
      <c r="D302" s="172" t="s">
        <v>221</v>
      </c>
      <c r="E302" s="172">
        <v>8.9580836239322502E-4</v>
      </c>
      <c r="F302" s="172">
        <v>107</v>
      </c>
      <c r="G302" s="172">
        <v>-0.25</v>
      </c>
      <c r="H302" s="172">
        <v>15.25</v>
      </c>
      <c r="I302" s="172">
        <v>21.5</v>
      </c>
    </row>
    <row r="303" spans="2:9" hidden="1" x14ac:dyDescent="0.3">
      <c r="B303" s="172" t="s">
        <v>179</v>
      </c>
      <c r="C303" s="172" t="s">
        <v>246</v>
      </c>
      <c r="D303" s="172" t="s">
        <v>218</v>
      </c>
      <c r="E303" s="172">
        <v>1.0091094759001499E-4</v>
      </c>
      <c r="F303" s="172">
        <v>118</v>
      </c>
      <c r="G303" s="172">
        <v>16.25</v>
      </c>
      <c r="H303" s="172">
        <v>15.25</v>
      </c>
      <c r="I303" s="172">
        <v>21.5</v>
      </c>
    </row>
    <row r="304" spans="2:9" hidden="1" x14ac:dyDescent="0.3">
      <c r="B304" s="172" t="s">
        <v>39</v>
      </c>
      <c r="C304" s="172" t="s">
        <v>79</v>
      </c>
      <c r="D304" s="172" t="s">
        <v>218</v>
      </c>
      <c r="E304" s="172">
        <v>8.5208622337824998E-4</v>
      </c>
      <c r="F304" s="172">
        <v>118</v>
      </c>
      <c r="G304" s="172">
        <v>16.25</v>
      </c>
      <c r="H304" s="172">
        <v>15.25</v>
      </c>
      <c r="I304" s="172">
        <v>18</v>
      </c>
    </row>
    <row r="305" spans="2:9" hidden="1" x14ac:dyDescent="0.3">
      <c r="B305" s="172" t="s">
        <v>39</v>
      </c>
      <c r="C305" s="172" t="s">
        <v>80</v>
      </c>
      <c r="D305" s="172" t="s">
        <v>218</v>
      </c>
      <c r="E305" s="172">
        <v>8.74352536936099E-4</v>
      </c>
      <c r="F305" s="172">
        <v>111</v>
      </c>
      <c r="G305" s="172">
        <v>16.25</v>
      </c>
      <c r="H305" s="172">
        <v>-0.25</v>
      </c>
      <c r="I305" s="172">
        <v>18</v>
      </c>
    </row>
    <row r="306" spans="2:9" x14ac:dyDescent="0.3">
      <c r="B306" s="172" t="s">
        <v>39</v>
      </c>
      <c r="C306" s="172" t="s">
        <v>81</v>
      </c>
      <c r="D306" s="172" t="s">
        <v>221</v>
      </c>
      <c r="E306" s="172">
        <v>8.0655101190130597E-4</v>
      </c>
      <c r="F306" s="172">
        <v>107</v>
      </c>
      <c r="G306" s="172">
        <v>-0.25</v>
      </c>
      <c r="H306" s="172">
        <v>15.25</v>
      </c>
      <c r="I306" s="172">
        <v>18</v>
      </c>
    </row>
    <row r="307" spans="2:9" hidden="1" x14ac:dyDescent="0.3">
      <c r="B307" s="172" t="s">
        <v>39</v>
      </c>
      <c r="C307" s="172" t="s">
        <v>82</v>
      </c>
      <c r="D307" s="172" t="s">
        <v>221</v>
      </c>
      <c r="E307" s="172">
        <v>9.8367497198556899E-4</v>
      </c>
      <c r="F307" s="172">
        <v>107</v>
      </c>
      <c r="G307" s="172">
        <v>-0.25</v>
      </c>
      <c r="H307" s="172">
        <v>15.25</v>
      </c>
      <c r="I307" s="172">
        <v>18</v>
      </c>
    </row>
    <row r="308" spans="2:9" hidden="1" x14ac:dyDescent="0.3">
      <c r="B308" s="172" t="s">
        <v>39</v>
      </c>
      <c r="C308" s="172" t="s">
        <v>246</v>
      </c>
      <c r="D308" s="172" t="s">
        <v>218</v>
      </c>
      <c r="E308" s="172">
        <v>8.90769551966026E-5</v>
      </c>
      <c r="F308" s="172">
        <v>118</v>
      </c>
      <c r="G308" s="172">
        <v>16.25</v>
      </c>
      <c r="H308" s="172">
        <v>15.25</v>
      </c>
      <c r="I308" s="172">
        <v>18</v>
      </c>
    </row>
    <row r="309" spans="2:9" hidden="1" x14ac:dyDescent="0.3">
      <c r="B309" s="172" t="s">
        <v>26</v>
      </c>
      <c r="C309" s="172" t="s">
        <v>79</v>
      </c>
      <c r="D309" s="172" t="s">
        <v>218</v>
      </c>
      <c r="E309" s="172">
        <v>9.14111773850167E-4</v>
      </c>
      <c r="F309" s="172">
        <v>118</v>
      </c>
      <c r="G309" s="172">
        <v>16.25</v>
      </c>
      <c r="H309" s="172">
        <v>15.25</v>
      </c>
      <c r="I309" s="172">
        <v>14.5</v>
      </c>
    </row>
    <row r="310" spans="2:9" hidden="1" x14ac:dyDescent="0.3">
      <c r="B310" s="172" t="s">
        <v>26</v>
      </c>
      <c r="C310" s="172" t="s">
        <v>80</v>
      </c>
      <c r="D310" s="172" t="s">
        <v>218</v>
      </c>
      <c r="E310" s="172">
        <v>9.39995931566869E-4</v>
      </c>
      <c r="F310" s="172">
        <v>111</v>
      </c>
      <c r="G310" s="172">
        <v>16.25</v>
      </c>
      <c r="H310" s="172">
        <v>-0.25</v>
      </c>
      <c r="I310" s="172">
        <v>14.5</v>
      </c>
    </row>
    <row r="311" spans="2:9" x14ac:dyDescent="0.3">
      <c r="B311" s="172" t="s">
        <v>26</v>
      </c>
      <c r="C311" s="172" t="s">
        <v>81</v>
      </c>
      <c r="D311" s="172" t="s">
        <v>221</v>
      </c>
      <c r="E311" s="172">
        <v>8.6044496138753504E-4</v>
      </c>
      <c r="F311" s="172">
        <v>107</v>
      </c>
      <c r="G311" s="172">
        <v>-0.25</v>
      </c>
      <c r="H311" s="172">
        <v>15.25</v>
      </c>
      <c r="I311" s="172">
        <v>14.5</v>
      </c>
    </row>
    <row r="312" spans="2:9" hidden="1" x14ac:dyDescent="0.3">
      <c r="B312" s="172" t="s">
        <v>26</v>
      </c>
      <c r="C312" s="172" t="s">
        <v>82</v>
      </c>
      <c r="D312" s="172" t="s">
        <v>221</v>
      </c>
      <c r="E312" s="172">
        <v>1.05306286138781E-3</v>
      </c>
      <c r="F312" s="172">
        <v>107</v>
      </c>
      <c r="G312" s="172">
        <v>-0.25</v>
      </c>
      <c r="H312" s="172">
        <v>15.25</v>
      </c>
      <c r="I312" s="172">
        <v>14.5</v>
      </c>
    </row>
    <row r="313" spans="2:9" hidden="1" x14ac:dyDescent="0.3">
      <c r="B313" s="172" t="s">
        <v>26</v>
      </c>
      <c r="C313" s="172" t="s">
        <v>246</v>
      </c>
      <c r="D313" s="172" t="s">
        <v>218</v>
      </c>
      <c r="E313" s="172">
        <v>7.5237412564660506E-5</v>
      </c>
      <c r="F313" s="172">
        <v>118</v>
      </c>
      <c r="G313" s="172">
        <v>16.25</v>
      </c>
      <c r="H313" s="172">
        <v>15.25</v>
      </c>
      <c r="I313" s="172">
        <v>14.5</v>
      </c>
    </row>
    <row r="314" spans="2:9" hidden="1" x14ac:dyDescent="0.3">
      <c r="B314" s="172" t="s">
        <v>25</v>
      </c>
      <c r="C314" s="172" t="s">
        <v>79</v>
      </c>
      <c r="D314" s="172" t="s">
        <v>218</v>
      </c>
      <c r="E314" s="172">
        <v>9.5894425359434299E-4</v>
      </c>
      <c r="F314" s="172">
        <v>118</v>
      </c>
      <c r="G314" s="172">
        <v>16.25</v>
      </c>
      <c r="H314" s="172">
        <v>15.25</v>
      </c>
      <c r="I314" s="172">
        <v>11</v>
      </c>
    </row>
    <row r="315" spans="2:9" hidden="1" x14ac:dyDescent="0.3">
      <c r="B315" s="172" t="s">
        <v>25</v>
      </c>
      <c r="C315" s="172" t="s">
        <v>80</v>
      </c>
      <c r="D315" s="172" t="s">
        <v>218</v>
      </c>
      <c r="E315" s="172">
        <v>9.8888167854625309E-4</v>
      </c>
      <c r="F315" s="172">
        <v>111</v>
      </c>
      <c r="G315" s="172">
        <v>16.25</v>
      </c>
      <c r="H315" s="172">
        <v>-0.25</v>
      </c>
      <c r="I315" s="172">
        <v>11</v>
      </c>
    </row>
    <row r="316" spans="2:9" x14ac:dyDescent="0.3">
      <c r="B316" s="172" t="s">
        <v>25</v>
      </c>
      <c r="C316" s="172" t="s">
        <v>81</v>
      </c>
      <c r="D316" s="172" t="s">
        <v>221</v>
      </c>
      <c r="E316" s="172">
        <v>8.9697495289813999E-4</v>
      </c>
      <c r="F316" s="172">
        <v>107</v>
      </c>
      <c r="G316" s="172">
        <v>-0.25</v>
      </c>
      <c r="H316" s="172">
        <v>15.25</v>
      </c>
      <c r="I316" s="172">
        <v>11</v>
      </c>
    </row>
    <row r="317" spans="2:9" hidden="1" x14ac:dyDescent="0.3">
      <c r="B317" s="172" t="s">
        <v>25</v>
      </c>
      <c r="C317" s="172" t="s">
        <v>82</v>
      </c>
      <c r="D317" s="172" t="s">
        <v>221</v>
      </c>
      <c r="E317" s="172">
        <v>1.10179118445775E-3</v>
      </c>
      <c r="F317" s="172">
        <v>107</v>
      </c>
      <c r="G317" s="172">
        <v>-0.25</v>
      </c>
      <c r="H317" s="172">
        <v>15.25</v>
      </c>
      <c r="I317" s="172">
        <v>11</v>
      </c>
    </row>
    <row r="318" spans="2:9" hidden="1" x14ac:dyDescent="0.3">
      <c r="B318" s="172" t="s">
        <v>25</v>
      </c>
      <c r="C318" s="172" t="s">
        <v>246</v>
      </c>
      <c r="D318" s="172" t="s">
        <v>218</v>
      </c>
      <c r="E318" s="172">
        <v>5.9976053152072699E-5</v>
      </c>
      <c r="F318" s="172">
        <v>118</v>
      </c>
      <c r="G318" s="172">
        <v>16.25</v>
      </c>
      <c r="H318" s="172">
        <v>15.25</v>
      </c>
      <c r="I318" s="172">
        <v>11</v>
      </c>
    </row>
    <row r="319" spans="2:9" hidden="1" x14ac:dyDescent="0.3">
      <c r="B319" s="172" t="s">
        <v>24</v>
      </c>
      <c r="C319" s="172" t="s">
        <v>79</v>
      </c>
      <c r="D319" s="172" t="s">
        <v>218</v>
      </c>
      <c r="E319" s="172">
        <v>9.7848734947703206E-4</v>
      </c>
      <c r="F319" s="172">
        <v>118</v>
      </c>
      <c r="G319" s="172">
        <v>16.25</v>
      </c>
      <c r="H319" s="172">
        <v>15.25</v>
      </c>
      <c r="I319" s="172">
        <v>7.5</v>
      </c>
    </row>
    <row r="320" spans="2:9" hidden="1" x14ac:dyDescent="0.3">
      <c r="B320" s="172" t="s">
        <v>24</v>
      </c>
      <c r="C320" s="172" t="s">
        <v>80</v>
      </c>
      <c r="D320" s="172" t="s">
        <v>218</v>
      </c>
      <c r="E320" s="172">
        <v>1.0131491008380899E-3</v>
      </c>
      <c r="F320" s="172">
        <v>111</v>
      </c>
      <c r="G320" s="172">
        <v>16.25</v>
      </c>
      <c r="H320" s="172">
        <v>-0.25</v>
      </c>
      <c r="I320" s="172">
        <v>7.5</v>
      </c>
    </row>
    <row r="321" spans="2:9" x14ac:dyDescent="0.3">
      <c r="B321" s="172" t="s">
        <v>24</v>
      </c>
      <c r="C321" s="172" t="s">
        <v>81</v>
      </c>
      <c r="D321" s="172" t="s">
        <v>221</v>
      </c>
      <c r="E321" s="172">
        <v>9.0678503070460695E-4</v>
      </c>
      <c r="F321" s="172">
        <v>107</v>
      </c>
      <c r="G321" s="172">
        <v>-0.25</v>
      </c>
      <c r="H321" s="172">
        <v>15.25</v>
      </c>
      <c r="I321" s="172">
        <v>7.5</v>
      </c>
    </row>
    <row r="322" spans="2:9" hidden="1" x14ac:dyDescent="0.3">
      <c r="B322" s="172" t="s">
        <v>24</v>
      </c>
      <c r="C322" s="172" t="s">
        <v>82</v>
      </c>
      <c r="D322" s="172" t="s">
        <v>221</v>
      </c>
      <c r="E322" s="172">
        <v>1.11824774474765E-3</v>
      </c>
      <c r="F322" s="172">
        <v>107</v>
      </c>
      <c r="G322" s="172">
        <v>-0.25</v>
      </c>
      <c r="H322" s="172">
        <v>15.25</v>
      </c>
      <c r="I322" s="172">
        <v>7.5</v>
      </c>
    </row>
    <row r="323" spans="2:9" hidden="1" x14ac:dyDescent="0.3">
      <c r="B323" s="172" t="s">
        <v>24</v>
      </c>
      <c r="C323" s="172" t="s">
        <v>246</v>
      </c>
      <c r="D323" s="172" t="s">
        <v>218</v>
      </c>
      <c r="E323" s="172">
        <v>4.2644031346894E-5</v>
      </c>
      <c r="F323" s="172">
        <v>118</v>
      </c>
      <c r="G323" s="172">
        <v>16.25</v>
      </c>
      <c r="H323" s="172">
        <v>15.25</v>
      </c>
      <c r="I323" s="172">
        <v>7.5</v>
      </c>
    </row>
    <row r="324" spans="2:9" hidden="1" x14ac:dyDescent="0.3">
      <c r="B324" s="172" t="s">
        <v>22</v>
      </c>
      <c r="C324" s="172" t="s">
        <v>79</v>
      </c>
      <c r="D324" s="172" t="s">
        <v>218</v>
      </c>
      <c r="E324" s="172">
        <v>8.1211308096613196E-4</v>
      </c>
      <c r="F324" s="172">
        <v>33</v>
      </c>
      <c r="G324" s="172">
        <v>16</v>
      </c>
      <c r="H324" s="172">
        <v>15</v>
      </c>
      <c r="I324" s="172">
        <v>4</v>
      </c>
    </row>
    <row r="325" spans="2:9" hidden="1" x14ac:dyDescent="0.3">
      <c r="B325" s="172" t="s">
        <v>22</v>
      </c>
      <c r="C325" s="172" t="s">
        <v>80</v>
      </c>
      <c r="D325" s="172" t="s">
        <v>218</v>
      </c>
      <c r="E325" s="172">
        <v>8.4859448042749405E-4</v>
      </c>
      <c r="F325" s="172">
        <v>30</v>
      </c>
      <c r="G325" s="172">
        <v>16</v>
      </c>
      <c r="H325" s="172">
        <v>0</v>
      </c>
      <c r="I325" s="172">
        <v>4</v>
      </c>
    </row>
    <row r="326" spans="2:9" x14ac:dyDescent="0.3">
      <c r="B326" s="172" t="s">
        <v>22</v>
      </c>
      <c r="C326" s="172" t="s">
        <v>81</v>
      </c>
      <c r="D326" s="172" t="s">
        <v>221</v>
      </c>
      <c r="E326" s="172">
        <v>7.8037487294507605E-4</v>
      </c>
      <c r="F326" s="172">
        <v>36</v>
      </c>
      <c r="G326" s="172">
        <v>16</v>
      </c>
      <c r="H326" s="172">
        <v>9</v>
      </c>
      <c r="I326" s="172">
        <v>4</v>
      </c>
    </row>
    <row r="327" spans="2:9" hidden="1" x14ac:dyDescent="0.3">
      <c r="B327" s="172" t="s">
        <v>22</v>
      </c>
      <c r="C327" s="172" t="s">
        <v>82</v>
      </c>
      <c r="D327" s="172" t="s">
        <v>221</v>
      </c>
      <c r="E327" s="172">
        <v>9.0252293215241396E-4</v>
      </c>
      <c r="F327" s="172">
        <v>21</v>
      </c>
      <c r="G327" s="172">
        <v>0</v>
      </c>
      <c r="H327" s="172">
        <v>15</v>
      </c>
      <c r="I327" s="172">
        <v>4</v>
      </c>
    </row>
    <row r="328" spans="2:9" hidden="1" x14ac:dyDescent="0.3">
      <c r="B328" s="172" t="s">
        <v>22</v>
      </c>
      <c r="C328" s="172" t="s">
        <v>246</v>
      </c>
      <c r="D328" s="172" t="s">
        <v>218</v>
      </c>
      <c r="E328" s="172">
        <v>1.68587229753145E-5</v>
      </c>
      <c r="F328" s="172">
        <v>33</v>
      </c>
      <c r="G328" s="172">
        <v>16</v>
      </c>
      <c r="H328" s="172">
        <v>15</v>
      </c>
      <c r="I328" s="172">
        <v>4</v>
      </c>
    </row>
    <row r="329" spans="2:9" hidden="1" x14ac:dyDescent="0.3">
      <c r="B329" s="172"/>
      <c r="C329" s="172"/>
      <c r="D329" s="172"/>
      <c r="E329" s="172"/>
      <c r="F329" s="172"/>
      <c r="G329" s="172"/>
      <c r="H329" s="172"/>
      <c r="I329" s="172"/>
    </row>
    <row r="330" spans="2:9" hidden="1" x14ac:dyDescent="0.3">
      <c r="B330" s="172"/>
      <c r="C330" s="172"/>
      <c r="D330" s="172"/>
      <c r="E330" s="172"/>
      <c r="F330" s="172"/>
      <c r="G330" s="172"/>
      <c r="H330" s="172"/>
      <c r="I330" s="172"/>
    </row>
    <row r="331" spans="2:9" hidden="1" x14ac:dyDescent="0.3">
      <c r="B331" s="172"/>
      <c r="C331" s="172"/>
      <c r="D331" s="172"/>
      <c r="E331" s="172"/>
      <c r="F331" s="172"/>
      <c r="G331" s="172"/>
      <c r="H331" s="172"/>
      <c r="I331" s="172"/>
    </row>
    <row r="332" spans="2:9" hidden="1" x14ac:dyDescent="0.3">
      <c r="B332" s="172"/>
      <c r="C332" s="172"/>
      <c r="D332" s="172"/>
      <c r="E332" s="172"/>
      <c r="F332" s="172"/>
      <c r="G332" s="172"/>
      <c r="H332" s="172"/>
      <c r="I332" s="172"/>
    </row>
    <row r="333" spans="2:9" hidden="1" x14ac:dyDescent="0.3">
      <c r="B333" s="172"/>
      <c r="C333" s="172"/>
      <c r="D333" s="172"/>
      <c r="E333" s="172"/>
      <c r="F333" s="172"/>
      <c r="G333" s="172"/>
      <c r="H333" s="172"/>
      <c r="I333" s="172"/>
    </row>
    <row r="334" spans="2:9" hidden="1" x14ac:dyDescent="0.3">
      <c r="B334" s="172"/>
      <c r="C334" s="172"/>
      <c r="D334" s="172"/>
      <c r="E334" s="172"/>
      <c r="F334" s="172"/>
      <c r="G334" s="172"/>
      <c r="H334" s="172"/>
      <c r="I334" s="172"/>
    </row>
    <row r="335" spans="2:9" hidden="1" x14ac:dyDescent="0.3">
      <c r="B335" s="172"/>
      <c r="C335" s="172"/>
      <c r="D335" s="172"/>
      <c r="E335" s="172"/>
      <c r="F335" s="172"/>
      <c r="G335" s="172"/>
      <c r="H335" s="172"/>
      <c r="I335" s="172"/>
    </row>
    <row r="336" spans="2:9" hidden="1" x14ac:dyDescent="0.3">
      <c r="B336" s="172"/>
      <c r="C336" s="172"/>
      <c r="D336" s="172"/>
      <c r="E336" s="172"/>
      <c r="F336" s="172"/>
      <c r="G336" s="172"/>
      <c r="H336" s="172"/>
      <c r="I336" s="172"/>
    </row>
    <row r="337" spans="2:9" hidden="1" x14ac:dyDescent="0.3">
      <c r="B337" s="172"/>
      <c r="C337" s="172"/>
      <c r="D337" s="172"/>
      <c r="E337" s="172"/>
      <c r="F337" s="172"/>
      <c r="G337" s="172"/>
      <c r="H337" s="172"/>
      <c r="I337" s="172"/>
    </row>
    <row r="338" spans="2:9" hidden="1" x14ac:dyDescent="0.3">
      <c r="B338" s="172"/>
      <c r="C338" s="172"/>
      <c r="D338" s="172"/>
      <c r="E338" s="172"/>
      <c r="F338" s="172"/>
      <c r="G338" s="172"/>
      <c r="H338" s="172"/>
      <c r="I338" s="172"/>
    </row>
    <row r="339" spans="2:9" s="172" customFormat="1" hidden="1" x14ac:dyDescent="0.3"/>
    <row r="340" spans="2:9" hidden="1" x14ac:dyDescent="0.3">
      <c r="B340" s="172"/>
      <c r="C340" s="172"/>
      <c r="D340" s="172"/>
      <c r="E340" s="172"/>
      <c r="F340" s="172"/>
      <c r="G340" s="172"/>
      <c r="H340" s="172"/>
      <c r="I340" s="172"/>
    </row>
    <row r="341" spans="2:9" hidden="1" x14ac:dyDescent="0.3">
      <c r="B341" s="172"/>
      <c r="C341" s="172"/>
      <c r="D341" s="172"/>
      <c r="E341" s="172"/>
      <c r="F341" s="172"/>
      <c r="G341" s="172"/>
      <c r="H341" s="172"/>
      <c r="I341" s="172"/>
    </row>
    <row r="342" spans="2:9" hidden="1" x14ac:dyDescent="0.3">
      <c r="B342" s="172"/>
      <c r="C342" s="172"/>
      <c r="D342" s="172"/>
      <c r="E342" s="172"/>
      <c r="F342" s="172"/>
      <c r="G342" s="172"/>
      <c r="H342" s="172"/>
      <c r="I342" s="172"/>
    </row>
    <row r="343" spans="2:9" s="172" customFormat="1" hidden="1" x14ac:dyDescent="0.3"/>
    <row r="344" spans="2:9" hidden="1" x14ac:dyDescent="0.3">
      <c r="B344" s="172"/>
      <c r="C344" s="172"/>
      <c r="D344" s="172"/>
      <c r="E344" s="172"/>
      <c r="F344" s="172"/>
      <c r="G344" s="172"/>
      <c r="H344" s="172"/>
      <c r="I344" s="172"/>
    </row>
    <row r="345" spans="2:9" hidden="1" x14ac:dyDescent="0.3">
      <c r="B345" s="172"/>
      <c r="C345" s="172"/>
      <c r="D345" s="172"/>
      <c r="E345" s="172"/>
      <c r="F345" s="172"/>
      <c r="G345" s="172"/>
      <c r="H345" s="172"/>
      <c r="I345" s="172"/>
    </row>
    <row r="346" spans="2:9" hidden="1" x14ac:dyDescent="0.3">
      <c r="B346" s="172"/>
      <c r="C346" s="172"/>
      <c r="D346" s="172"/>
      <c r="E346" s="172"/>
      <c r="F346" s="172"/>
      <c r="G346" s="172"/>
      <c r="H346" s="172"/>
      <c r="I346" s="172"/>
    </row>
    <row r="347" spans="2:9" s="172" customFormat="1" hidden="1" x14ac:dyDescent="0.3"/>
    <row r="348" spans="2:9" hidden="1" x14ac:dyDescent="0.3">
      <c r="B348" s="172"/>
      <c r="C348" s="172"/>
      <c r="D348" s="172"/>
      <c r="E348" s="172"/>
      <c r="F348" s="172"/>
      <c r="G348" s="172"/>
      <c r="H348" s="172"/>
      <c r="I348" s="172"/>
    </row>
    <row r="349" spans="2:9" hidden="1" x14ac:dyDescent="0.3">
      <c r="B349" s="172"/>
      <c r="C349" s="172"/>
      <c r="D349" s="172"/>
      <c r="E349" s="172"/>
      <c r="F349" s="172"/>
      <c r="G349" s="172"/>
      <c r="H349" s="172"/>
      <c r="I349" s="172"/>
    </row>
    <row r="350" spans="2:9" hidden="1" x14ac:dyDescent="0.3">
      <c r="B350" s="172"/>
      <c r="C350" s="172"/>
      <c r="D350" s="172"/>
      <c r="E350" s="172"/>
      <c r="F350" s="172"/>
      <c r="G350" s="172"/>
      <c r="H350" s="172"/>
      <c r="I350" s="172"/>
    </row>
    <row r="351" spans="2:9" s="172" customFormat="1" hidden="1" x14ac:dyDescent="0.3"/>
    <row r="352" spans="2:9" hidden="1" x14ac:dyDescent="0.3">
      <c r="B352" s="172"/>
      <c r="C352" s="172"/>
      <c r="D352" s="172"/>
      <c r="E352" s="172"/>
      <c r="F352" s="172"/>
      <c r="G352" s="172"/>
      <c r="H352" s="172"/>
      <c r="I352" s="172"/>
    </row>
    <row r="353" spans="2:9" hidden="1" x14ac:dyDescent="0.3">
      <c r="B353" s="172"/>
      <c r="C353" s="172"/>
      <c r="D353" s="172"/>
      <c r="E353" s="172"/>
      <c r="F353" s="172"/>
      <c r="G353" s="172"/>
      <c r="H353" s="172"/>
      <c r="I353" s="172"/>
    </row>
    <row r="354" spans="2:9" hidden="1" x14ac:dyDescent="0.3">
      <c r="B354" s="172"/>
      <c r="C354" s="172"/>
      <c r="D354" s="172"/>
      <c r="E354" s="172"/>
      <c r="F354" s="172"/>
      <c r="G354" s="172"/>
      <c r="H354" s="172"/>
      <c r="I354" s="172"/>
    </row>
    <row r="355" spans="2:9" s="172" customFormat="1" hidden="1" x14ac:dyDescent="0.3"/>
    <row r="356" spans="2:9" hidden="1" x14ac:dyDescent="0.3">
      <c r="B356" s="172"/>
      <c r="C356" s="172"/>
      <c r="D356" s="172"/>
      <c r="E356" s="172"/>
      <c r="F356" s="172"/>
      <c r="G356" s="172"/>
      <c r="H356" s="172"/>
      <c r="I356" s="172"/>
    </row>
    <row r="357" spans="2:9" hidden="1" x14ac:dyDescent="0.3">
      <c r="B357" s="172"/>
      <c r="C357" s="172"/>
      <c r="D357" s="172"/>
      <c r="E357" s="172"/>
      <c r="F357" s="172"/>
      <c r="G357" s="172"/>
      <c r="H357" s="172"/>
      <c r="I357" s="172"/>
    </row>
    <row r="358" spans="2:9" hidden="1" x14ac:dyDescent="0.3">
      <c r="B358" s="172"/>
      <c r="C358" s="172"/>
      <c r="D358" s="172"/>
      <c r="E358" s="172"/>
      <c r="F358" s="172"/>
      <c r="G358" s="172"/>
      <c r="H358" s="172"/>
      <c r="I358" s="172"/>
    </row>
    <row r="359" spans="2:9" s="172" customFormat="1" hidden="1" x14ac:dyDescent="0.3"/>
    <row r="360" spans="2:9" hidden="1" x14ac:dyDescent="0.3">
      <c r="B360" s="172"/>
      <c r="C360" s="172"/>
      <c r="D360" s="172"/>
      <c r="E360" s="172"/>
      <c r="F360" s="172"/>
      <c r="G360" s="172"/>
      <c r="H360" s="172"/>
      <c r="I360" s="172"/>
    </row>
    <row r="361" spans="2:9" hidden="1" x14ac:dyDescent="0.3">
      <c r="B361" s="172"/>
      <c r="C361" s="172"/>
      <c r="D361" s="172"/>
      <c r="E361" s="172"/>
      <c r="F361" s="172"/>
      <c r="G361" s="172"/>
      <c r="H361" s="172"/>
      <c r="I361" s="172"/>
    </row>
    <row r="362" spans="2:9" hidden="1" x14ac:dyDescent="0.3">
      <c r="B362" s="172"/>
      <c r="C362" s="172"/>
      <c r="D362" s="172"/>
      <c r="E362" s="172"/>
      <c r="F362" s="172"/>
      <c r="G362" s="172"/>
      <c r="H362" s="172"/>
      <c r="I362" s="172"/>
    </row>
    <row r="363" spans="2:9" hidden="1" x14ac:dyDescent="0.3">
      <c r="B363" s="172"/>
      <c r="C363" s="172"/>
      <c r="D363" s="172"/>
      <c r="E363" s="172"/>
      <c r="F363" s="172"/>
      <c r="G363" s="172"/>
      <c r="H363" s="172"/>
      <c r="I363" s="172"/>
    </row>
    <row r="364" spans="2:9" hidden="1" x14ac:dyDescent="0.3">
      <c r="B364" s="172"/>
      <c r="C364" s="172"/>
      <c r="D364" s="172"/>
      <c r="E364" s="172"/>
      <c r="F364" s="172"/>
      <c r="G364" s="172"/>
      <c r="H364" s="172"/>
      <c r="I364" s="172"/>
    </row>
    <row r="365" spans="2:9" hidden="1" x14ac:dyDescent="0.3">
      <c r="B365" s="172"/>
      <c r="C365" s="172"/>
      <c r="D365" s="172"/>
      <c r="E365" s="172"/>
      <c r="F365" s="172"/>
      <c r="G365" s="172"/>
      <c r="H365" s="172"/>
      <c r="I365" s="172"/>
    </row>
    <row r="366" spans="2:9" hidden="1" x14ac:dyDescent="0.3">
      <c r="B366" s="172"/>
      <c r="C366" s="172"/>
      <c r="D366" s="172"/>
      <c r="E366" s="172"/>
      <c r="F366" s="172"/>
      <c r="G366" s="172"/>
      <c r="H366" s="172"/>
      <c r="I366" s="172"/>
    </row>
    <row r="367" spans="2:9" hidden="1" x14ac:dyDescent="0.3">
      <c r="B367" s="172"/>
      <c r="C367" s="172"/>
      <c r="D367" s="172"/>
      <c r="E367" s="172"/>
      <c r="F367" s="172"/>
      <c r="G367" s="172"/>
      <c r="H367" s="172"/>
      <c r="I367" s="172"/>
    </row>
    <row r="368" spans="2:9" hidden="1" x14ac:dyDescent="0.3">
      <c r="B368" s="172"/>
      <c r="C368" s="172"/>
      <c r="D368" s="172"/>
      <c r="E368" s="172"/>
      <c r="F368" s="172"/>
      <c r="G368" s="172"/>
      <c r="H368" s="172"/>
      <c r="I368" s="172"/>
    </row>
    <row r="369" spans="2:9" hidden="1" x14ac:dyDescent="0.3">
      <c r="B369" s="172"/>
      <c r="C369" s="172"/>
      <c r="D369" s="172"/>
      <c r="E369" s="172"/>
      <c r="F369" s="172"/>
      <c r="G369" s="172"/>
      <c r="H369" s="172"/>
      <c r="I369" s="172"/>
    </row>
    <row r="370" spans="2:9" hidden="1" x14ac:dyDescent="0.3">
      <c r="B370" s="172"/>
      <c r="C370" s="172"/>
      <c r="D370" s="172"/>
      <c r="E370" s="172"/>
      <c r="F370" s="172"/>
      <c r="G370" s="172"/>
      <c r="H370" s="172"/>
      <c r="I370" s="172"/>
    </row>
    <row r="371" spans="2:9" hidden="1" x14ac:dyDescent="0.3">
      <c r="B371" s="172"/>
      <c r="C371" s="172"/>
      <c r="D371" s="172"/>
      <c r="E371" s="172"/>
      <c r="F371" s="172"/>
      <c r="G371" s="172"/>
      <c r="H371" s="172"/>
      <c r="I371" s="172"/>
    </row>
    <row r="372" spans="2:9" hidden="1" x14ac:dyDescent="0.3">
      <c r="B372" s="172"/>
      <c r="C372" s="172"/>
      <c r="D372" s="172"/>
      <c r="E372" s="172"/>
      <c r="F372" s="172"/>
      <c r="G372" s="172"/>
      <c r="H372" s="172"/>
      <c r="I372" s="172"/>
    </row>
    <row r="373" spans="2:9" hidden="1" x14ac:dyDescent="0.3">
      <c r="B373" s="172"/>
      <c r="C373" s="172"/>
      <c r="D373" s="172"/>
      <c r="E373" s="172"/>
      <c r="F373" s="172"/>
      <c r="G373" s="172"/>
      <c r="H373" s="172"/>
      <c r="I373" s="172"/>
    </row>
    <row r="374" spans="2:9" hidden="1" x14ac:dyDescent="0.3">
      <c r="B374" s="172"/>
      <c r="C374" s="172"/>
      <c r="D374" s="172"/>
      <c r="E374" s="172"/>
      <c r="F374" s="172"/>
      <c r="G374" s="172"/>
      <c r="H374" s="172"/>
      <c r="I374" s="172"/>
    </row>
    <row r="375" spans="2:9" hidden="1" x14ac:dyDescent="0.3">
      <c r="B375" s="172"/>
      <c r="C375" s="172"/>
      <c r="D375" s="172"/>
      <c r="E375" s="172"/>
      <c r="F375" s="172"/>
      <c r="G375" s="172"/>
      <c r="H375" s="172"/>
      <c r="I375" s="172"/>
    </row>
    <row r="376" spans="2:9" hidden="1" x14ac:dyDescent="0.3">
      <c r="B376" s="172"/>
      <c r="C376" s="172"/>
      <c r="D376" s="172"/>
      <c r="E376" s="172"/>
      <c r="F376" s="172"/>
      <c r="G376" s="172"/>
      <c r="H376" s="172"/>
      <c r="I376" s="172"/>
    </row>
    <row r="377" spans="2:9" hidden="1" x14ac:dyDescent="0.3">
      <c r="B377" s="172"/>
      <c r="C377" s="172"/>
      <c r="D377" s="172"/>
      <c r="E377" s="172"/>
      <c r="F377" s="172"/>
      <c r="G377" s="172"/>
      <c r="H377" s="172"/>
      <c r="I377" s="172"/>
    </row>
    <row r="378" spans="2:9" hidden="1" x14ac:dyDescent="0.3">
      <c r="B378" s="172"/>
      <c r="C378" s="172"/>
      <c r="D378" s="172"/>
      <c r="E378" s="172"/>
      <c r="F378" s="172"/>
      <c r="G378" s="172"/>
      <c r="H378" s="172"/>
      <c r="I378" s="172"/>
    </row>
    <row r="379" spans="2:9" hidden="1" x14ac:dyDescent="0.3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191"/>
      <c r="C400" s="191"/>
      <c r="D400" s="191"/>
      <c r="E400" s="191"/>
      <c r="F400" s="191"/>
      <c r="G400" s="191" t="s">
        <v>7</v>
      </c>
      <c r="H400" s="191" t="s">
        <v>7</v>
      </c>
      <c r="I400" s="192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2.8303505338285299E-4</v>
      </c>
      <c r="F402" s="172">
        <v>36</v>
      </c>
      <c r="G402" s="172">
        <v>16</v>
      </c>
      <c r="H402" s="172">
        <v>9</v>
      </c>
      <c r="I402" s="172">
        <v>38.5</v>
      </c>
    </row>
    <row r="403" spans="2:9" hidden="1" x14ac:dyDescent="0.3">
      <c r="B403" s="172" t="s">
        <v>189</v>
      </c>
      <c r="C403" s="172" t="s">
        <v>80</v>
      </c>
      <c r="D403" s="172" t="s">
        <v>218</v>
      </c>
      <c r="E403" s="172">
        <v>2.73526436639881E-4</v>
      </c>
      <c r="F403" s="172">
        <v>36</v>
      </c>
      <c r="G403" s="172">
        <v>16</v>
      </c>
      <c r="H403" s="172">
        <v>9</v>
      </c>
      <c r="I403" s="172">
        <v>38.5</v>
      </c>
    </row>
    <row r="404" spans="2:9" hidden="1" x14ac:dyDescent="0.3">
      <c r="B404" s="172" t="s">
        <v>189</v>
      </c>
      <c r="C404" s="172" t="s">
        <v>81</v>
      </c>
      <c r="D404" s="172" t="s">
        <v>221</v>
      </c>
      <c r="E404" s="172">
        <v>1.6189315073755401E-4</v>
      </c>
      <c r="F404" s="172">
        <v>37</v>
      </c>
      <c r="G404" s="172">
        <v>12</v>
      </c>
      <c r="H404" s="172">
        <v>9</v>
      </c>
      <c r="I404" s="172">
        <v>38.5</v>
      </c>
    </row>
    <row r="405" spans="2:9" x14ac:dyDescent="0.3">
      <c r="B405" s="172" t="s">
        <v>189</v>
      </c>
      <c r="C405" s="172" t="s">
        <v>82</v>
      </c>
      <c r="D405" s="172" t="s">
        <v>221</v>
      </c>
      <c r="E405" s="172">
        <v>1.6390615247352099E-4</v>
      </c>
      <c r="F405" s="172">
        <v>37</v>
      </c>
      <c r="G405" s="172">
        <v>12</v>
      </c>
      <c r="H405" s="172">
        <v>9</v>
      </c>
      <c r="I405" s="172">
        <v>38.5</v>
      </c>
    </row>
    <row r="406" spans="2:9" hidden="1" x14ac:dyDescent="0.3">
      <c r="B406" s="172" t="s">
        <v>189</v>
      </c>
      <c r="C406" s="172" t="s">
        <v>246</v>
      </c>
      <c r="D406" s="172" t="s">
        <v>218</v>
      </c>
      <c r="E406" s="172">
        <v>4.1012272394738101E-4</v>
      </c>
      <c r="F406" s="172">
        <v>31</v>
      </c>
      <c r="G406" s="172">
        <v>16</v>
      </c>
      <c r="H406" s="172">
        <v>4</v>
      </c>
      <c r="I406" s="172">
        <v>38.5</v>
      </c>
    </row>
    <row r="407" spans="2:9" hidden="1" x14ac:dyDescent="0.3">
      <c r="B407" s="172" t="s">
        <v>189</v>
      </c>
      <c r="C407" s="172" t="s">
        <v>246</v>
      </c>
      <c r="D407" s="172" t="s">
        <v>221</v>
      </c>
      <c r="E407" s="172">
        <v>9.6799514462703401E-5</v>
      </c>
      <c r="F407" s="172">
        <v>36</v>
      </c>
      <c r="G407" s="172">
        <v>16</v>
      </c>
      <c r="H407" s="172">
        <v>9</v>
      </c>
      <c r="I407" s="172">
        <v>38.5</v>
      </c>
    </row>
    <row r="408" spans="2:9" hidden="1" x14ac:dyDescent="0.3">
      <c r="B408" s="172" t="s">
        <v>187</v>
      </c>
      <c r="C408" s="172" t="s">
        <v>79</v>
      </c>
      <c r="D408" s="172" t="s">
        <v>218</v>
      </c>
      <c r="E408" s="172">
        <v>2.8171356669469898E-4</v>
      </c>
      <c r="F408" s="172">
        <v>118</v>
      </c>
      <c r="G408" s="172">
        <v>16.25</v>
      </c>
      <c r="H408" s="172">
        <v>15.25</v>
      </c>
      <c r="I408" s="172">
        <v>35.5</v>
      </c>
    </row>
    <row r="409" spans="2:9" hidden="1" x14ac:dyDescent="0.3">
      <c r="B409" s="172" t="s">
        <v>187</v>
      </c>
      <c r="C409" s="172" t="s">
        <v>80</v>
      </c>
      <c r="D409" s="172" t="s">
        <v>218</v>
      </c>
      <c r="E409" s="172">
        <v>2.8288788624289499E-4</v>
      </c>
      <c r="F409" s="172">
        <v>111</v>
      </c>
      <c r="G409" s="172">
        <v>16.25</v>
      </c>
      <c r="H409" s="172">
        <v>-0.25</v>
      </c>
      <c r="I409" s="172">
        <v>35.5</v>
      </c>
    </row>
    <row r="410" spans="2:9" hidden="1" x14ac:dyDescent="0.3">
      <c r="B410" s="172" t="s">
        <v>187</v>
      </c>
      <c r="C410" s="172" t="s">
        <v>81</v>
      </c>
      <c r="D410" s="172" t="s">
        <v>221</v>
      </c>
      <c r="E410" s="172">
        <v>2.8806850486906002E-4</v>
      </c>
      <c r="F410" s="172">
        <v>107</v>
      </c>
      <c r="G410" s="172">
        <v>-0.25</v>
      </c>
      <c r="H410" s="172">
        <v>15.25</v>
      </c>
      <c r="I410" s="172">
        <v>35.5</v>
      </c>
    </row>
    <row r="411" spans="2:9" x14ac:dyDescent="0.3">
      <c r="B411" s="172" t="s">
        <v>187</v>
      </c>
      <c r="C411" s="172" t="s">
        <v>82</v>
      </c>
      <c r="D411" s="172" t="s">
        <v>221</v>
      </c>
      <c r="E411" s="172">
        <v>3.3556140503673398E-4</v>
      </c>
      <c r="F411" s="172">
        <v>107</v>
      </c>
      <c r="G411" s="172">
        <v>-0.25</v>
      </c>
      <c r="H411" s="172">
        <v>15.25</v>
      </c>
      <c r="I411" s="172">
        <v>35.5</v>
      </c>
    </row>
    <row r="412" spans="2:9" hidden="1" x14ac:dyDescent="0.3">
      <c r="B412" s="172" t="s">
        <v>187</v>
      </c>
      <c r="C412" s="172" t="s">
        <v>246</v>
      </c>
      <c r="D412" s="172" t="s">
        <v>218</v>
      </c>
      <c r="E412" s="172">
        <v>1.2297082587577101E-4</v>
      </c>
      <c r="F412" s="172">
        <v>118</v>
      </c>
      <c r="G412" s="172">
        <v>16.25</v>
      </c>
      <c r="H412" s="172">
        <v>15.25</v>
      </c>
      <c r="I412" s="172">
        <v>35.5</v>
      </c>
    </row>
    <row r="413" spans="2:9" hidden="1" x14ac:dyDescent="0.3">
      <c r="B413" s="172" t="s">
        <v>185</v>
      </c>
      <c r="C413" s="172" t="s">
        <v>79</v>
      </c>
      <c r="D413" s="172" t="s">
        <v>218</v>
      </c>
      <c r="E413" s="172">
        <v>4.2891518226022399E-4</v>
      </c>
      <c r="F413" s="172">
        <v>118</v>
      </c>
      <c r="G413" s="172">
        <v>16.25</v>
      </c>
      <c r="H413" s="172">
        <v>15.25</v>
      </c>
      <c r="I413" s="172">
        <v>32</v>
      </c>
    </row>
    <row r="414" spans="2:9" hidden="1" x14ac:dyDescent="0.3">
      <c r="B414" s="172" t="s">
        <v>185</v>
      </c>
      <c r="C414" s="172" t="s">
        <v>80</v>
      </c>
      <c r="D414" s="172" t="s">
        <v>218</v>
      </c>
      <c r="E414" s="172">
        <v>4.3528906773580199E-4</v>
      </c>
      <c r="F414" s="172">
        <v>111</v>
      </c>
      <c r="G414" s="172">
        <v>16.25</v>
      </c>
      <c r="H414" s="172">
        <v>-0.25</v>
      </c>
      <c r="I414" s="172">
        <v>32</v>
      </c>
    </row>
    <row r="415" spans="2:9" hidden="1" x14ac:dyDescent="0.3">
      <c r="B415" s="172" t="s">
        <v>185</v>
      </c>
      <c r="C415" s="172" t="s">
        <v>81</v>
      </c>
      <c r="D415" s="172" t="s">
        <v>221</v>
      </c>
      <c r="E415" s="172">
        <v>4.2331183946565801E-4</v>
      </c>
      <c r="F415" s="172">
        <v>107</v>
      </c>
      <c r="G415" s="172">
        <v>-0.25</v>
      </c>
      <c r="H415" s="172">
        <v>15.25</v>
      </c>
      <c r="I415" s="172">
        <v>32</v>
      </c>
    </row>
    <row r="416" spans="2:9" x14ac:dyDescent="0.3">
      <c r="B416" s="172" t="s">
        <v>185</v>
      </c>
      <c r="C416" s="172" t="s">
        <v>82</v>
      </c>
      <c r="D416" s="172" t="s">
        <v>221</v>
      </c>
      <c r="E416" s="172">
        <v>5.0379863457926204E-4</v>
      </c>
      <c r="F416" s="172">
        <v>107</v>
      </c>
      <c r="G416" s="172">
        <v>-0.25</v>
      </c>
      <c r="H416" s="172">
        <v>15.25</v>
      </c>
      <c r="I416" s="172">
        <v>32</v>
      </c>
    </row>
    <row r="417" spans="2:9" hidden="1" x14ac:dyDescent="0.3">
      <c r="B417" s="172" t="s">
        <v>185</v>
      </c>
      <c r="C417" s="172" t="s">
        <v>246</v>
      </c>
      <c r="D417" s="172" t="s">
        <v>218</v>
      </c>
      <c r="E417" s="172">
        <v>1.2154525629101399E-4</v>
      </c>
      <c r="F417" s="172">
        <v>118</v>
      </c>
      <c r="G417" s="172">
        <v>16.25</v>
      </c>
      <c r="H417" s="172">
        <v>15.25</v>
      </c>
      <c r="I417" s="172">
        <v>32</v>
      </c>
    </row>
    <row r="418" spans="2:9" hidden="1" x14ac:dyDescent="0.3">
      <c r="B418" s="172" t="s">
        <v>185</v>
      </c>
      <c r="C418" s="172" t="s">
        <v>246</v>
      </c>
      <c r="D418" s="172" t="s">
        <v>221</v>
      </c>
      <c r="E418" s="172">
        <v>2.37520854960675E-5</v>
      </c>
      <c r="F418" s="172">
        <v>100</v>
      </c>
      <c r="G418" s="172">
        <v>-0.25</v>
      </c>
      <c r="H418" s="172">
        <v>-0.25</v>
      </c>
      <c r="I418" s="172">
        <v>32</v>
      </c>
    </row>
    <row r="419" spans="2:9" hidden="1" x14ac:dyDescent="0.3">
      <c r="B419" s="172" t="s">
        <v>183</v>
      </c>
      <c r="C419" s="172" t="s">
        <v>79</v>
      </c>
      <c r="D419" s="172" t="s">
        <v>218</v>
      </c>
      <c r="E419" s="172">
        <v>5.6418377691208903E-4</v>
      </c>
      <c r="F419" s="172">
        <v>118</v>
      </c>
      <c r="G419" s="172">
        <v>16.25</v>
      </c>
      <c r="H419" s="172">
        <v>15.25</v>
      </c>
      <c r="I419" s="172">
        <v>28.5</v>
      </c>
    </row>
    <row r="420" spans="2:9" hidden="1" x14ac:dyDescent="0.3">
      <c r="B420" s="172" t="s">
        <v>183</v>
      </c>
      <c r="C420" s="172" t="s">
        <v>80</v>
      </c>
      <c r="D420" s="172" t="s">
        <v>218</v>
      </c>
      <c r="E420" s="172">
        <v>5.7516259966166098E-4</v>
      </c>
      <c r="F420" s="172">
        <v>111</v>
      </c>
      <c r="G420" s="172">
        <v>16.25</v>
      </c>
      <c r="H420" s="172">
        <v>-0.25</v>
      </c>
      <c r="I420" s="172">
        <v>28.5</v>
      </c>
    </row>
    <row r="421" spans="2:9" hidden="1" x14ac:dyDescent="0.3">
      <c r="B421" s="172" t="s">
        <v>183</v>
      </c>
      <c r="C421" s="172" t="s">
        <v>81</v>
      </c>
      <c r="D421" s="172" t="s">
        <v>221</v>
      </c>
      <c r="E421" s="172">
        <v>5.4783483104154003E-4</v>
      </c>
      <c r="F421" s="172">
        <v>107</v>
      </c>
      <c r="G421" s="172">
        <v>-0.25</v>
      </c>
      <c r="H421" s="172">
        <v>15.25</v>
      </c>
      <c r="I421" s="172">
        <v>28.5</v>
      </c>
    </row>
    <row r="422" spans="2:9" x14ac:dyDescent="0.3">
      <c r="B422" s="172" t="s">
        <v>183</v>
      </c>
      <c r="C422" s="172" t="s">
        <v>82</v>
      </c>
      <c r="D422" s="172" t="s">
        <v>221</v>
      </c>
      <c r="E422" s="172">
        <v>6.5882563419680199E-4</v>
      </c>
      <c r="F422" s="172">
        <v>107</v>
      </c>
      <c r="G422" s="172">
        <v>-0.25</v>
      </c>
      <c r="H422" s="172">
        <v>15.25</v>
      </c>
      <c r="I422" s="172">
        <v>28.5</v>
      </c>
    </row>
    <row r="423" spans="2:9" hidden="1" x14ac:dyDescent="0.3">
      <c r="B423" s="172" t="s">
        <v>183</v>
      </c>
      <c r="C423" s="172" t="s">
        <v>246</v>
      </c>
      <c r="D423" s="172" t="s">
        <v>218</v>
      </c>
      <c r="E423" s="172">
        <v>1.16923970398734E-4</v>
      </c>
      <c r="F423" s="172">
        <v>118</v>
      </c>
      <c r="G423" s="172">
        <v>16.25</v>
      </c>
      <c r="H423" s="172">
        <v>15.25</v>
      </c>
      <c r="I423" s="172">
        <v>28.5</v>
      </c>
    </row>
    <row r="424" spans="2:9" hidden="1" x14ac:dyDescent="0.3">
      <c r="B424" s="172" t="s">
        <v>183</v>
      </c>
      <c r="C424" s="172" t="s">
        <v>246</v>
      </c>
      <c r="D424" s="172" t="s">
        <v>221</v>
      </c>
      <c r="E424" s="172">
        <v>2.2647023540992599E-5</v>
      </c>
      <c r="F424" s="172">
        <v>107</v>
      </c>
      <c r="G424" s="172">
        <v>-0.25</v>
      </c>
      <c r="H424" s="172">
        <v>15.25</v>
      </c>
      <c r="I424" s="172">
        <v>28.5</v>
      </c>
    </row>
    <row r="425" spans="2:9" hidden="1" x14ac:dyDescent="0.3">
      <c r="B425" s="172" t="s">
        <v>181</v>
      </c>
      <c r="C425" s="172" t="s">
        <v>79</v>
      </c>
      <c r="D425" s="172" t="s">
        <v>218</v>
      </c>
      <c r="E425" s="172">
        <v>6.7843552368281902E-4</v>
      </c>
      <c r="F425" s="172">
        <v>118</v>
      </c>
      <c r="G425" s="172">
        <v>16.25</v>
      </c>
      <c r="H425" s="172">
        <v>15.25</v>
      </c>
      <c r="I425" s="172">
        <v>25</v>
      </c>
    </row>
    <row r="426" spans="2:9" hidden="1" x14ac:dyDescent="0.3">
      <c r="B426" s="172" t="s">
        <v>181</v>
      </c>
      <c r="C426" s="172" t="s">
        <v>80</v>
      </c>
      <c r="D426" s="172" t="s">
        <v>218</v>
      </c>
      <c r="E426" s="172">
        <v>6.9349680932493003E-4</v>
      </c>
      <c r="F426" s="172">
        <v>111</v>
      </c>
      <c r="G426" s="172">
        <v>16.25</v>
      </c>
      <c r="H426" s="172">
        <v>-0.25</v>
      </c>
      <c r="I426" s="172">
        <v>25</v>
      </c>
    </row>
    <row r="427" spans="2:9" hidden="1" x14ac:dyDescent="0.3">
      <c r="B427" s="172" t="s">
        <v>181</v>
      </c>
      <c r="C427" s="172" t="s">
        <v>81</v>
      </c>
      <c r="D427" s="172" t="s">
        <v>221</v>
      </c>
      <c r="E427" s="172">
        <v>6.5169744953751097E-4</v>
      </c>
      <c r="F427" s="172">
        <v>107</v>
      </c>
      <c r="G427" s="172">
        <v>-0.25</v>
      </c>
      <c r="H427" s="172">
        <v>15.25</v>
      </c>
      <c r="I427" s="172">
        <v>25</v>
      </c>
    </row>
    <row r="428" spans="2:9" x14ac:dyDescent="0.3">
      <c r="B428" s="172" t="s">
        <v>181</v>
      </c>
      <c r="C428" s="172" t="s">
        <v>82</v>
      </c>
      <c r="D428" s="172" t="s">
        <v>221</v>
      </c>
      <c r="E428" s="172">
        <v>7.8852534327218205E-4</v>
      </c>
      <c r="F428" s="172">
        <v>107</v>
      </c>
      <c r="G428" s="172">
        <v>-0.25</v>
      </c>
      <c r="H428" s="172">
        <v>15.25</v>
      </c>
      <c r="I428" s="172">
        <v>25</v>
      </c>
    </row>
    <row r="429" spans="2:9" hidden="1" x14ac:dyDescent="0.3">
      <c r="B429" s="172" t="s">
        <v>181</v>
      </c>
      <c r="C429" s="172" t="s">
        <v>246</v>
      </c>
      <c r="D429" s="172" t="s">
        <v>218</v>
      </c>
      <c r="E429" s="172">
        <v>1.10036090668969E-4</v>
      </c>
      <c r="F429" s="172">
        <v>118</v>
      </c>
      <c r="G429" s="172">
        <v>16.25</v>
      </c>
      <c r="H429" s="172">
        <v>15.25</v>
      </c>
      <c r="I429" s="172">
        <v>25</v>
      </c>
    </row>
    <row r="430" spans="2:9" hidden="1" x14ac:dyDescent="0.3">
      <c r="B430" s="172" t="s">
        <v>181</v>
      </c>
      <c r="C430" s="172" t="s">
        <v>246</v>
      </c>
      <c r="D430" s="172" t="s">
        <v>221</v>
      </c>
      <c r="E430" s="172">
        <v>2.0926071538530998E-5</v>
      </c>
      <c r="F430" s="172">
        <v>107</v>
      </c>
      <c r="G430" s="172">
        <v>-0.25</v>
      </c>
      <c r="H430" s="172">
        <v>15.25</v>
      </c>
      <c r="I430" s="172">
        <v>25</v>
      </c>
    </row>
    <row r="431" spans="2:9" hidden="1" x14ac:dyDescent="0.3">
      <c r="B431" s="172" t="s">
        <v>179</v>
      </c>
      <c r="C431" s="172" t="s">
        <v>79</v>
      </c>
      <c r="D431" s="172" t="s">
        <v>218</v>
      </c>
      <c r="E431" s="172">
        <v>7.7401365229352805E-4</v>
      </c>
      <c r="F431" s="172">
        <v>118</v>
      </c>
      <c r="G431" s="172">
        <v>16.25</v>
      </c>
      <c r="H431" s="172">
        <v>15.25</v>
      </c>
      <c r="I431" s="172">
        <v>21.5</v>
      </c>
    </row>
    <row r="432" spans="2:9" hidden="1" x14ac:dyDescent="0.3">
      <c r="B432" s="172" t="s">
        <v>179</v>
      </c>
      <c r="C432" s="172" t="s">
        <v>80</v>
      </c>
      <c r="D432" s="172" t="s">
        <v>218</v>
      </c>
      <c r="E432" s="172">
        <v>7.9283686428242405E-4</v>
      </c>
      <c r="F432" s="172">
        <v>111</v>
      </c>
      <c r="G432" s="172">
        <v>16.25</v>
      </c>
      <c r="H432" s="172">
        <v>-0.25</v>
      </c>
      <c r="I432" s="172">
        <v>21.5</v>
      </c>
    </row>
    <row r="433" spans="2:9" hidden="1" x14ac:dyDescent="0.3">
      <c r="B433" s="172" t="s">
        <v>179</v>
      </c>
      <c r="C433" s="172" t="s">
        <v>81</v>
      </c>
      <c r="D433" s="172" t="s">
        <v>221</v>
      </c>
      <c r="E433" s="172">
        <v>7.3714041617737604E-4</v>
      </c>
      <c r="F433" s="172">
        <v>107</v>
      </c>
      <c r="G433" s="172">
        <v>-0.25</v>
      </c>
      <c r="H433" s="172">
        <v>15.25</v>
      </c>
      <c r="I433" s="172">
        <v>21.5</v>
      </c>
    </row>
    <row r="434" spans="2:9" x14ac:dyDescent="0.3">
      <c r="B434" s="172" t="s">
        <v>179</v>
      </c>
      <c r="C434" s="172" t="s">
        <v>82</v>
      </c>
      <c r="D434" s="172" t="s">
        <v>221</v>
      </c>
      <c r="E434" s="172">
        <v>8.9580836239322502E-4</v>
      </c>
      <c r="F434" s="172">
        <v>107</v>
      </c>
      <c r="G434" s="172">
        <v>-0.25</v>
      </c>
      <c r="H434" s="172">
        <v>15.25</v>
      </c>
      <c r="I434" s="172">
        <v>21.5</v>
      </c>
    </row>
    <row r="435" spans="2:9" hidden="1" x14ac:dyDescent="0.3">
      <c r="B435" s="172" t="s">
        <v>179</v>
      </c>
      <c r="C435" s="172" t="s">
        <v>246</v>
      </c>
      <c r="D435" s="172" t="s">
        <v>218</v>
      </c>
      <c r="E435" s="172">
        <v>1.0091094759001499E-4</v>
      </c>
      <c r="F435" s="172">
        <v>118</v>
      </c>
      <c r="G435" s="172">
        <v>16.25</v>
      </c>
      <c r="H435" s="172">
        <v>15.25</v>
      </c>
      <c r="I435" s="172">
        <v>21.5</v>
      </c>
    </row>
    <row r="436" spans="2:9" hidden="1" x14ac:dyDescent="0.3">
      <c r="B436" s="172" t="s">
        <v>39</v>
      </c>
      <c r="C436" s="172" t="s">
        <v>79</v>
      </c>
      <c r="D436" s="172" t="s">
        <v>218</v>
      </c>
      <c r="E436" s="172">
        <v>8.5208622337824998E-4</v>
      </c>
      <c r="F436" s="172">
        <v>118</v>
      </c>
      <c r="G436" s="172">
        <v>16.25</v>
      </c>
      <c r="H436" s="172">
        <v>15.25</v>
      </c>
      <c r="I436" s="172">
        <v>18</v>
      </c>
    </row>
    <row r="437" spans="2:9" hidden="1" x14ac:dyDescent="0.3">
      <c r="B437" s="172" t="s">
        <v>39</v>
      </c>
      <c r="C437" s="172" t="s">
        <v>80</v>
      </c>
      <c r="D437" s="172" t="s">
        <v>218</v>
      </c>
      <c r="E437" s="172">
        <v>8.74352536936099E-4</v>
      </c>
      <c r="F437" s="172">
        <v>111</v>
      </c>
      <c r="G437" s="172">
        <v>16.25</v>
      </c>
      <c r="H437" s="172">
        <v>-0.25</v>
      </c>
      <c r="I437" s="172">
        <v>18</v>
      </c>
    </row>
    <row r="438" spans="2:9" hidden="1" x14ac:dyDescent="0.3">
      <c r="B438" s="172" t="s">
        <v>39</v>
      </c>
      <c r="C438" s="172" t="s">
        <v>81</v>
      </c>
      <c r="D438" s="172" t="s">
        <v>221</v>
      </c>
      <c r="E438" s="172">
        <v>8.0655101190130597E-4</v>
      </c>
      <c r="F438" s="172">
        <v>107</v>
      </c>
      <c r="G438" s="172">
        <v>-0.25</v>
      </c>
      <c r="H438" s="172">
        <v>15.25</v>
      </c>
      <c r="I438" s="172">
        <v>18</v>
      </c>
    </row>
    <row r="439" spans="2:9" x14ac:dyDescent="0.3">
      <c r="B439" s="172" t="s">
        <v>39</v>
      </c>
      <c r="C439" s="172" t="s">
        <v>82</v>
      </c>
      <c r="D439" s="172" t="s">
        <v>221</v>
      </c>
      <c r="E439" s="172">
        <v>9.8367497198556899E-4</v>
      </c>
      <c r="F439" s="172">
        <v>107</v>
      </c>
      <c r="G439" s="172">
        <v>-0.25</v>
      </c>
      <c r="H439" s="172">
        <v>15.25</v>
      </c>
      <c r="I439" s="172">
        <v>18</v>
      </c>
    </row>
    <row r="440" spans="2:9" hidden="1" x14ac:dyDescent="0.3">
      <c r="B440" s="172" t="s">
        <v>39</v>
      </c>
      <c r="C440" s="172" t="s">
        <v>246</v>
      </c>
      <c r="D440" s="172" t="s">
        <v>218</v>
      </c>
      <c r="E440" s="172">
        <v>8.90769551966026E-5</v>
      </c>
      <c r="F440" s="172">
        <v>118</v>
      </c>
      <c r="G440" s="172">
        <v>16.25</v>
      </c>
      <c r="H440" s="172">
        <v>15.25</v>
      </c>
      <c r="I440" s="172">
        <v>18</v>
      </c>
    </row>
    <row r="441" spans="2:9" hidden="1" x14ac:dyDescent="0.3">
      <c r="B441" s="172" t="s">
        <v>26</v>
      </c>
      <c r="C441" s="172" t="s">
        <v>79</v>
      </c>
      <c r="D441" s="172" t="s">
        <v>218</v>
      </c>
      <c r="E441" s="172">
        <v>9.14111773850167E-4</v>
      </c>
      <c r="F441" s="172">
        <v>118</v>
      </c>
      <c r="G441" s="172">
        <v>16.25</v>
      </c>
      <c r="H441" s="172">
        <v>15.25</v>
      </c>
      <c r="I441" s="172">
        <v>14.5</v>
      </c>
    </row>
    <row r="442" spans="2:9" hidden="1" x14ac:dyDescent="0.3">
      <c r="B442" s="172" t="s">
        <v>26</v>
      </c>
      <c r="C442" s="172" t="s">
        <v>80</v>
      </c>
      <c r="D442" s="172" t="s">
        <v>218</v>
      </c>
      <c r="E442" s="172">
        <v>9.39995931566869E-4</v>
      </c>
      <c r="F442" s="172">
        <v>111</v>
      </c>
      <c r="G442" s="172">
        <v>16.25</v>
      </c>
      <c r="H442" s="172">
        <v>-0.25</v>
      </c>
      <c r="I442" s="172">
        <v>14.5</v>
      </c>
    </row>
    <row r="443" spans="2:9" hidden="1" x14ac:dyDescent="0.3">
      <c r="B443" s="172" t="s">
        <v>26</v>
      </c>
      <c r="C443" s="172" t="s">
        <v>81</v>
      </c>
      <c r="D443" s="172" t="s">
        <v>221</v>
      </c>
      <c r="E443" s="172">
        <v>8.6044496138753504E-4</v>
      </c>
      <c r="F443" s="172">
        <v>107</v>
      </c>
      <c r="G443" s="172">
        <v>-0.25</v>
      </c>
      <c r="H443" s="172">
        <v>15.25</v>
      </c>
      <c r="I443" s="172">
        <v>14.5</v>
      </c>
    </row>
    <row r="444" spans="2:9" x14ac:dyDescent="0.3">
      <c r="B444" s="172" t="s">
        <v>26</v>
      </c>
      <c r="C444" s="172" t="s">
        <v>82</v>
      </c>
      <c r="D444" s="172" t="s">
        <v>221</v>
      </c>
      <c r="E444" s="172">
        <v>1.05306286138781E-3</v>
      </c>
      <c r="F444" s="172">
        <v>107</v>
      </c>
      <c r="G444" s="172">
        <v>-0.25</v>
      </c>
      <c r="H444" s="172">
        <v>15.25</v>
      </c>
      <c r="I444" s="172">
        <v>14.5</v>
      </c>
    </row>
    <row r="445" spans="2:9" hidden="1" x14ac:dyDescent="0.3">
      <c r="B445" s="172" t="s">
        <v>26</v>
      </c>
      <c r="C445" s="172" t="s">
        <v>246</v>
      </c>
      <c r="D445" s="172" t="s">
        <v>218</v>
      </c>
      <c r="E445" s="172">
        <v>7.5237412564660506E-5</v>
      </c>
      <c r="F445" s="172">
        <v>118</v>
      </c>
      <c r="G445" s="172">
        <v>16.25</v>
      </c>
      <c r="H445" s="172">
        <v>15.25</v>
      </c>
      <c r="I445" s="172">
        <v>14.5</v>
      </c>
    </row>
    <row r="446" spans="2:9" hidden="1" x14ac:dyDescent="0.3">
      <c r="B446" s="172" t="s">
        <v>25</v>
      </c>
      <c r="C446" s="172" t="s">
        <v>79</v>
      </c>
      <c r="D446" s="172" t="s">
        <v>218</v>
      </c>
      <c r="E446" s="172">
        <v>9.5894425359434299E-4</v>
      </c>
      <c r="F446" s="172">
        <v>118</v>
      </c>
      <c r="G446" s="172">
        <v>16.25</v>
      </c>
      <c r="H446" s="172">
        <v>15.25</v>
      </c>
      <c r="I446" s="172">
        <v>11</v>
      </c>
    </row>
    <row r="447" spans="2:9" hidden="1" x14ac:dyDescent="0.3">
      <c r="B447" s="172" t="s">
        <v>25</v>
      </c>
      <c r="C447" s="172" t="s">
        <v>80</v>
      </c>
      <c r="D447" s="172" t="s">
        <v>218</v>
      </c>
      <c r="E447" s="172">
        <v>9.8888167854625309E-4</v>
      </c>
      <c r="F447" s="172">
        <v>111</v>
      </c>
      <c r="G447" s="172">
        <v>16.25</v>
      </c>
      <c r="H447" s="172">
        <v>-0.25</v>
      </c>
      <c r="I447" s="172">
        <v>11</v>
      </c>
    </row>
    <row r="448" spans="2:9" hidden="1" x14ac:dyDescent="0.3">
      <c r="B448" s="172" t="s">
        <v>25</v>
      </c>
      <c r="C448" s="172" t="s">
        <v>81</v>
      </c>
      <c r="D448" s="172" t="s">
        <v>221</v>
      </c>
      <c r="E448" s="172">
        <v>8.9697495289813999E-4</v>
      </c>
      <c r="F448" s="172">
        <v>107</v>
      </c>
      <c r="G448" s="172">
        <v>-0.25</v>
      </c>
      <c r="H448" s="172">
        <v>15.25</v>
      </c>
      <c r="I448" s="172">
        <v>11</v>
      </c>
    </row>
    <row r="449" spans="2:9" x14ac:dyDescent="0.3">
      <c r="B449" s="172" t="s">
        <v>25</v>
      </c>
      <c r="C449" s="172" t="s">
        <v>82</v>
      </c>
      <c r="D449" s="172" t="s">
        <v>221</v>
      </c>
      <c r="E449" s="172">
        <v>1.10179118445775E-3</v>
      </c>
      <c r="F449" s="172">
        <v>107</v>
      </c>
      <c r="G449" s="172">
        <v>-0.25</v>
      </c>
      <c r="H449" s="172">
        <v>15.25</v>
      </c>
      <c r="I449" s="172">
        <v>11</v>
      </c>
    </row>
    <row r="450" spans="2:9" hidden="1" x14ac:dyDescent="0.3">
      <c r="B450" s="172" t="s">
        <v>25</v>
      </c>
      <c r="C450" s="172" t="s">
        <v>246</v>
      </c>
      <c r="D450" s="172" t="s">
        <v>218</v>
      </c>
      <c r="E450" s="172">
        <v>5.9976053152072699E-5</v>
      </c>
      <c r="F450" s="172">
        <v>118</v>
      </c>
      <c r="G450" s="172">
        <v>16.25</v>
      </c>
      <c r="H450" s="172">
        <v>15.25</v>
      </c>
      <c r="I450" s="172">
        <v>11</v>
      </c>
    </row>
    <row r="451" spans="2:9" hidden="1" x14ac:dyDescent="0.3">
      <c r="B451" s="172" t="s">
        <v>24</v>
      </c>
      <c r="C451" s="172" t="s">
        <v>79</v>
      </c>
      <c r="D451" s="172" t="s">
        <v>218</v>
      </c>
      <c r="E451" s="172">
        <v>9.7848734947703206E-4</v>
      </c>
      <c r="F451" s="172">
        <v>118</v>
      </c>
      <c r="G451" s="172">
        <v>16.25</v>
      </c>
      <c r="H451" s="172">
        <v>15.25</v>
      </c>
      <c r="I451" s="172">
        <v>7.5</v>
      </c>
    </row>
    <row r="452" spans="2:9" hidden="1" x14ac:dyDescent="0.3">
      <c r="B452" s="172" t="s">
        <v>24</v>
      </c>
      <c r="C452" s="172" t="s">
        <v>80</v>
      </c>
      <c r="D452" s="172" t="s">
        <v>218</v>
      </c>
      <c r="E452" s="172">
        <v>1.0131491008380899E-3</v>
      </c>
      <c r="F452" s="172">
        <v>111</v>
      </c>
      <c r="G452" s="172">
        <v>16.25</v>
      </c>
      <c r="H452" s="172">
        <v>-0.25</v>
      </c>
      <c r="I452" s="172">
        <v>7.5</v>
      </c>
    </row>
    <row r="453" spans="2:9" hidden="1" x14ac:dyDescent="0.3">
      <c r="B453" s="172" t="s">
        <v>24</v>
      </c>
      <c r="C453" s="172" t="s">
        <v>81</v>
      </c>
      <c r="D453" s="172" t="s">
        <v>221</v>
      </c>
      <c r="E453" s="172">
        <v>9.0678503070460695E-4</v>
      </c>
      <c r="F453" s="172">
        <v>107</v>
      </c>
      <c r="G453" s="172">
        <v>-0.25</v>
      </c>
      <c r="H453" s="172">
        <v>15.25</v>
      </c>
      <c r="I453" s="172">
        <v>7.5</v>
      </c>
    </row>
    <row r="454" spans="2:9" x14ac:dyDescent="0.3">
      <c r="B454" s="172" t="s">
        <v>24</v>
      </c>
      <c r="C454" s="172" t="s">
        <v>82</v>
      </c>
      <c r="D454" s="172" t="s">
        <v>221</v>
      </c>
      <c r="E454" s="172">
        <v>1.11824774474765E-3</v>
      </c>
      <c r="F454" s="172">
        <v>107</v>
      </c>
      <c r="G454" s="172">
        <v>-0.25</v>
      </c>
      <c r="H454" s="172">
        <v>15.25</v>
      </c>
      <c r="I454" s="172">
        <v>7.5</v>
      </c>
    </row>
    <row r="455" spans="2:9" hidden="1" x14ac:dyDescent="0.3">
      <c r="B455" s="172" t="s">
        <v>24</v>
      </c>
      <c r="C455" s="172" t="s">
        <v>246</v>
      </c>
      <c r="D455" s="172" t="s">
        <v>218</v>
      </c>
      <c r="E455" s="172">
        <v>4.2644031346894E-5</v>
      </c>
      <c r="F455" s="172">
        <v>118</v>
      </c>
      <c r="G455" s="172">
        <v>16.25</v>
      </c>
      <c r="H455" s="172">
        <v>15.25</v>
      </c>
      <c r="I455" s="172">
        <v>7.5</v>
      </c>
    </row>
    <row r="456" spans="2:9" hidden="1" x14ac:dyDescent="0.3">
      <c r="B456" s="172" t="s">
        <v>22</v>
      </c>
      <c r="C456" s="172" t="s">
        <v>79</v>
      </c>
      <c r="D456" s="172" t="s">
        <v>218</v>
      </c>
      <c r="E456" s="172">
        <v>8.1211308096613196E-4</v>
      </c>
      <c r="F456" s="172">
        <v>33</v>
      </c>
      <c r="G456" s="172">
        <v>16</v>
      </c>
      <c r="H456" s="172">
        <v>15</v>
      </c>
      <c r="I456" s="172">
        <v>4</v>
      </c>
    </row>
    <row r="457" spans="2:9" hidden="1" x14ac:dyDescent="0.3">
      <c r="B457" s="172" t="s">
        <v>22</v>
      </c>
      <c r="C457" s="172" t="s">
        <v>80</v>
      </c>
      <c r="D457" s="172" t="s">
        <v>218</v>
      </c>
      <c r="E457" s="172">
        <v>8.4859448042749405E-4</v>
      </c>
      <c r="F457" s="172">
        <v>30</v>
      </c>
      <c r="G457" s="172">
        <v>16</v>
      </c>
      <c r="H457" s="172">
        <v>0</v>
      </c>
      <c r="I457" s="172">
        <v>4</v>
      </c>
    </row>
    <row r="458" spans="2:9" hidden="1" x14ac:dyDescent="0.3">
      <c r="B458" s="172" t="s">
        <v>22</v>
      </c>
      <c r="C458" s="172" t="s">
        <v>81</v>
      </c>
      <c r="D458" s="172" t="s">
        <v>221</v>
      </c>
      <c r="E458" s="172">
        <v>7.8037487294507605E-4</v>
      </c>
      <c r="F458" s="172">
        <v>36</v>
      </c>
      <c r="G458" s="172">
        <v>16</v>
      </c>
      <c r="H458" s="172">
        <v>9</v>
      </c>
      <c r="I458" s="172">
        <v>4</v>
      </c>
    </row>
    <row r="459" spans="2:9" x14ac:dyDescent="0.3">
      <c r="B459" s="172" t="s">
        <v>22</v>
      </c>
      <c r="C459" s="172" t="s">
        <v>82</v>
      </c>
      <c r="D459" s="172" t="s">
        <v>221</v>
      </c>
      <c r="E459" s="172">
        <v>9.0252293215241396E-4</v>
      </c>
      <c r="F459" s="172">
        <v>21</v>
      </c>
      <c r="G459" s="172">
        <v>0</v>
      </c>
      <c r="H459" s="172">
        <v>15</v>
      </c>
      <c r="I459" s="172">
        <v>4</v>
      </c>
    </row>
    <row r="460" spans="2:9" hidden="1" x14ac:dyDescent="0.3">
      <c r="B460" s="172" t="s">
        <v>22</v>
      </c>
      <c r="C460" s="172" t="s">
        <v>246</v>
      </c>
      <c r="D460" s="172" t="s">
        <v>218</v>
      </c>
      <c r="E460" s="172">
        <v>1.68587229753145E-5</v>
      </c>
      <c r="F460" s="172">
        <v>33</v>
      </c>
      <c r="G460" s="172">
        <v>16</v>
      </c>
      <c r="H460" s="172">
        <v>15</v>
      </c>
      <c r="I460" s="172">
        <v>4</v>
      </c>
    </row>
    <row r="461" spans="2:9" hidden="1" x14ac:dyDescent="0.3">
      <c r="B461" s="172"/>
      <c r="C461" s="172"/>
      <c r="D461" s="172"/>
      <c r="E461" s="172"/>
      <c r="F461" s="172"/>
      <c r="G461" s="172"/>
      <c r="H461" s="172"/>
      <c r="I461" s="172"/>
    </row>
    <row r="462" spans="2:9" hidden="1" x14ac:dyDescent="0.3">
      <c r="B462" s="172"/>
      <c r="C462" s="172"/>
      <c r="D462" s="172"/>
      <c r="E462" s="172"/>
      <c r="F462" s="172"/>
      <c r="G462" s="172"/>
      <c r="H462" s="172"/>
      <c r="I462" s="172"/>
    </row>
    <row r="463" spans="2:9" hidden="1" x14ac:dyDescent="0.3">
      <c r="B463" s="172"/>
      <c r="C463" s="172"/>
      <c r="D463" s="172"/>
      <c r="E463" s="172"/>
      <c r="F463" s="172"/>
      <c r="G463" s="172"/>
      <c r="H463" s="172"/>
      <c r="I463" s="172"/>
    </row>
    <row r="464" spans="2:9" hidden="1" x14ac:dyDescent="0.3">
      <c r="B464" s="172"/>
      <c r="C464" s="172"/>
      <c r="D464" s="172"/>
      <c r="E464" s="172"/>
      <c r="F464" s="172"/>
      <c r="G464" s="172"/>
      <c r="H464" s="172"/>
      <c r="I464" s="172"/>
    </row>
    <row r="465" spans="2:9" hidden="1" x14ac:dyDescent="0.3">
      <c r="B465" s="172"/>
      <c r="C465" s="172"/>
      <c r="D465" s="172"/>
      <c r="E465" s="172"/>
      <c r="F465" s="172"/>
      <c r="G465" s="172"/>
      <c r="H465" s="172"/>
      <c r="I465" s="172"/>
    </row>
    <row r="466" spans="2:9" hidden="1" x14ac:dyDescent="0.3">
      <c r="B466" s="172"/>
      <c r="C466" s="172"/>
      <c r="D466" s="172"/>
      <c r="E466" s="172"/>
      <c r="F466" s="172"/>
      <c r="G466" s="172"/>
      <c r="H466" s="172"/>
      <c r="I466" s="172"/>
    </row>
    <row r="467" spans="2:9" hidden="1" x14ac:dyDescent="0.3">
      <c r="B467" s="172"/>
      <c r="C467" s="172"/>
      <c r="D467" s="172"/>
      <c r="E467" s="172"/>
      <c r="F467" s="172"/>
      <c r="G467" s="172"/>
      <c r="H467" s="172"/>
      <c r="I467" s="172"/>
    </row>
    <row r="468" spans="2:9" hidden="1" x14ac:dyDescent="0.3">
      <c r="B468" s="172"/>
      <c r="C468" s="172"/>
      <c r="D468" s="172"/>
      <c r="E468" s="172"/>
      <c r="F468" s="172"/>
      <c r="G468" s="172"/>
      <c r="H468" s="172"/>
      <c r="I468" s="172"/>
    </row>
    <row r="469" spans="2:9" hidden="1" x14ac:dyDescent="0.3">
      <c r="B469" s="172"/>
      <c r="C469" s="172"/>
      <c r="D469" s="172"/>
      <c r="E469" s="172"/>
      <c r="F469" s="172"/>
      <c r="G469" s="172"/>
      <c r="H469" s="172"/>
      <c r="I469" s="172"/>
    </row>
    <row r="470" spans="2:9" hidden="1" x14ac:dyDescent="0.3">
      <c r="B470" s="172"/>
      <c r="C470" s="172"/>
      <c r="D470" s="172"/>
      <c r="E470" s="172"/>
      <c r="F470" s="172"/>
      <c r="G470" s="172"/>
      <c r="H470" s="172"/>
      <c r="I470" s="172"/>
    </row>
    <row r="471" spans="2:9" hidden="1" x14ac:dyDescent="0.3">
      <c r="B471" s="172"/>
      <c r="C471" s="172"/>
      <c r="D471" s="172"/>
      <c r="E471" s="172"/>
      <c r="F471" s="172"/>
      <c r="G471" s="172"/>
      <c r="H471" s="172"/>
      <c r="I471" s="172"/>
    </row>
    <row r="472" spans="2:9" hidden="1" x14ac:dyDescent="0.3">
      <c r="B472" s="172"/>
      <c r="C472" s="172"/>
      <c r="D472" s="172"/>
      <c r="E472" s="172"/>
      <c r="F472" s="172"/>
      <c r="G472" s="172"/>
      <c r="H472" s="172"/>
      <c r="I472" s="172"/>
    </row>
    <row r="473" spans="2:9" hidden="1" x14ac:dyDescent="0.3">
      <c r="B473" s="172"/>
      <c r="C473" s="172"/>
      <c r="D473" s="172"/>
      <c r="E473" s="172"/>
      <c r="F473" s="172"/>
      <c r="G473" s="172"/>
      <c r="H473" s="172"/>
      <c r="I473" s="172"/>
    </row>
    <row r="474" spans="2:9" hidden="1" x14ac:dyDescent="0.3">
      <c r="B474" s="172"/>
      <c r="C474" s="172"/>
      <c r="D474" s="172"/>
      <c r="E474" s="172"/>
      <c r="F474" s="172"/>
      <c r="G474" s="172"/>
      <c r="H474" s="172"/>
      <c r="I474" s="172"/>
    </row>
    <row r="475" spans="2:9" hidden="1" x14ac:dyDescent="0.3">
      <c r="B475" s="172"/>
      <c r="C475" s="172"/>
      <c r="D475" s="172"/>
      <c r="E475" s="172"/>
      <c r="F475" s="172"/>
      <c r="G475" s="172"/>
      <c r="H475" s="172"/>
      <c r="I475" s="172"/>
    </row>
    <row r="476" spans="2:9" hidden="1" x14ac:dyDescent="0.3">
      <c r="B476" s="172"/>
      <c r="C476" s="172"/>
      <c r="D476" s="172"/>
      <c r="E476" s="172"/>
      <c r="F476" s="172"/>
      <c r="G476" s="172"/>
      <c r="H476" s="172"/>
      <c r="I476" s="172"/>
    </row>
    <row r="477" spans="2:9" hidden="1" x14ac:dyDescent="0.3">
      <c r="B477" s="172"/>
      <c r="C477" s="172"/>
      <c r="D477" s="172"/>
      <c r="E477" s="172"/>
      <c r="F477" s="172"/>
      <c r="G477" s="172"/>
      <c r="H477" s="172"/>
      <c r="I477" s="172"/>
    </row>
    <row r="478" spans="2:9" hidden="1" x14ac:dyDescent="0.3">
      <c r="B478" s="172"/>
      <c r="C478" s="172"/>
      <c r="D478" s="172"/>
      <c r="E478" s="172"/>
      <c r="F478" s="172"/>
      <c r="G478" s="172"/>
      <c r="H478" s="172"/>
      <c r="I478" s="172"/>
    </row>
    <row r="479" spans="2:9" hidden="1" x14ac:dyDescent="0.3">
      <c r="B479" s="172"/>
      <c r="C479" s="172"/>
      <c r="D479" s="172"/>
      <c r="E479" s="172"/>
      <c r="F479" s="172"/>
      <c r="G479" s="172"/>
      <c r="H479" s="172"/>
      <c r="I479" s="172"/>
    </row>
    <row r="480" spans="2:9" hidden="1" x14ac:dyDescent="0.3">
      <c r="B480" s="172"/>
      <c r="C480" s="172"/>
      <c r="D480" s="172"/>
      <c r="E480" s="172"/>
      <c r="F480" s="172"/>
      <c r="G480" s="172"/>
      <c r="H480" s="172"/>
      <c r="I480" s="172"/>
    </row>
    <row r="481" spans="2:9" hidden="1" x14ac:dyDescent="0.3">
      <c r="B481" s="172"/>
      <c r="C481" s="172"/>
      <c r="D481" s="172"/>
      <c r="E481" s="172"/>
      <c r="F481" s="172"/>
      <c r="G481" s="172"/>
      <c r="H481" s="172"/>
      <c r="I481" s="172"/>
    </row>
    <row r="482" spans="2:9" hidden="1" x14ac:dyDescent="0.3">
      <c r="B482" s="172"/>
      <c r="C482" s="172"/>
      <c r="D482" s="172"/>
      <c r="E482" s="172"/>
      <c r="F482" s="172"/>
      <c r="G482" s="172"/>
      <c r="H482" s="172"/>
      <c r="I482" s="172"/>
    </row>
    <row r="483" spans="2:9" hidden="1" x14ac:dyDescent="0.3">
      <c r="B483" s="172"/>
      <c r="C483" s="172"/>
      <c r="D483" s="172"/>
      <c r="E483" s="172"/>
      <c r="F483" s="172"/>
      <c r="G483" s="172"/>
      <c r="H483" s="172"/>
      <c r="I483" s="172"/>
    </row>
    <row r="484" spans="2:9" hidden="1" x14ac:dyDescent="0.3">
      <c r="B484" s="172"/>
      <c r="C484" s="172"/>
      <c r="D484" s="172"/>
      <c r="E484" s="172"/>
      <c r="F484" s="172"/>
      <c r="G484" s="172"/>
      <c r="H484" s="172"/>
      <c r="I484" s="172"/>
    </row>
    <row r="485" spans="2:9" hidden="1" x14ac:dyDescent="0.3">
      <c r="B485" s="172"/>
      <c r="C485" s="172"/>
      <c r="D485" s="172"/>
      <c r="E485" s="172"/>
      <c r="F485" s="172"/>
      <c r="G485" s="172"/>
      <c r="H485" s="172"/>
      <c r="I485" s="172"/>
    </row>
    <row r="486" spans="2:9" hidden="1" x14ac:dyDescent="0.3">
      <c r="B486" s="172"/>
      <c r="C486" s="172"/>
      <c r="D486" s="172"/>
      <c r="E486" s="172"/>
      <c r="F486" s="172"/>
      <c r="G486" s="172"/>
      <c r="H486" s="172"/>
      <c r="I486" s="172"/>
    </row>
    <row r="487" spans="2:9" hidden="1" x14ac:dyDescent="0.3">
      <c r="B487" s="172"/>
      <c r="C487" s="172"/>
      <c r="D487" s="172"/>
      <c r="E487" s="172"/>
      <c r="F487" s="172"/>
      <c r="G487" s="172"/>
      <c r="H487" s="172"/>
      <c r="I487" s="172"/>
    </row>
    <row r="488" spans="2:9" hidden="1" x14ac:dyDescent="0.3">
      <c r="B488" s="172"/>
      <c r="C488" s="172"/>
      <c r="D488" s="172"/>
      <c r="E488" s="172"/>
      <c r="F488" s="172"/>
      <c r="G488" s="172"/>
      <c r="H488" s="172"/>
      <c r="I488" s="172"/>
    </row>
    <row r="489" spans="2:9" hidden="1" x14ac:dyDescent="0.3">
      <c r="B489" s="172"/>
      <c r="C489" s="172"/>
      <c r="D489" s="172"/>
      <c r="E489" s="172"/>
      <c r="F489" s="172"/>
      <c r="G489" s="172"/>
      <c r="H489" s="172"/>
      <c r="I489" s="172"/>
    </row>
    <row r="490" spans="2:9" hidden="1" x14ac:dyDescent="0.3">
      <c r="B490" s="172"/>
      <c r="C490" s="172"/>
      <c r="D490" s="172"/>
      <c r="E490" s="172"/>
      <c r="F490" s="172"/>
      <c r="G490" s="172"/>
      <c r="H490" s="172"/>
      <c r="I490" s="172"/>
    </row>
    <row r="491" spans="2:9" hidden="1" x14ac:dyDescent="0.3">
      <c r="B491" s="172"/>
      <c r="C491" s="172"/>
      <c r="D491" s="172"/>
      <c r="E491" s="172"/>
      <c r="F491" s="172"/>
      <c r="G491" s="172"/>
      <c r="H491" s="172"/>
      <c r="I491" s="172"/>
    </row>
    <row r="492" spans="2:9" hidden="1" x14ac:dyDescent="0.3">
      <c r="B492" s="172"/>
      <c r="C492" s="172"/>
      <c r="D492" s="172"/>
      <c r="E492" s="172"/>
      <c r="F492" s="172"/>
      <c r="G492" s="172"/>
      <c r="H492" s="172"/>
      <c r="I492" s="172"/>
    </row>
    <row r="493" spans="2:9" hidden="1" x14ac:dyDescent="0.3">
      <c r="B493" s="172"/>
      <c r="C493" s="172"/>
      <c r="D493" s="172"/>
      <c r="E493" s="172"/>
      <c r="F493" s="172"/>
      <c r="G493" s="172"/>
      <c r="H493" s="172"/>
      <c r="I493" s="172"/>
    </row>
    <row r="494" spans="2:9" hidden="1" x14ac:dyDescent="0.3">
      <c r="B494" s="172"/>
      <c r="C494" s="172"/>
      <c r="D494" s="172"/>
      <c r="E494" s="172"/>
      <c r="F494" s="172"/>
      <c r="G494" s="172"/>
      <c r="H494" s="172"/>
      <c r="I494" s="172"/>
    </row>
    <row r="495" spans="2:9" hidden="1" x14ac:dyDescent="0.3">
      <c r="B495" s="172"/>
      <c r="C495" s="172"/>
      <c r="D495" s="172"/>
      <c r="E495" s="172"/>
      <c r="F495" s="172"/>
      <c r="G495" s="172"/>
      <c r="H495" s="172"/>
      <c r="I495" s="172"/>
    </row>
    <row r="496" spans="2:9" hidden="1" x14ac:dyDescent="0.3">
      <c r="B496" s="172"/>
      <c r="C496" s="172"/>
      <c r="D496" s="172"/>
      <c r="E496" s="172"/>
      <c r="F496" s="172"/>
      <c r="G496" s="172"/>
      <c r="H496" s="172"/>
      <c r="I496" s="172"/>
    </row>
    <row r="497" spans="2:9" hidden="1" x14ac:dyDescent="0.3">
      <c r="B497" s="172"/>
      <c r="C497" s="172"/>
      <c r="D497" s="172"/>
      <c r="E497" s="172"/>
      <c r="F497" s="172"/>
      <c r="G497" s="172"/>
      <c r="H497" s="172"/>
      <c r="I497" s="172"/>
    </row>
    <row r="498" spans="2:9" hidden="1" x14ac:dyDescent="0.3">
      <c r="B498" s="172"/>
      <c r="C498" s="172"/>
      <c r="D498" s="172"/>
      <c r="E498" s="172"/>
      <c r="F498" s="172"/>
      <c r="G498" s="172"/>
      <c r="H498" s="172"/>
      <c r="I498" s="172"/>
    </row>
    <row r="499" spans="2:9" hidden="1" x14ac:dyDescent="0.3">
      <c r="B499" s="172"/>
      <c r="C499" s="172"/>
      <c r="D499" s="172"/>
      <c r="E499" s="172"/>
      <c r="F499" s="172"/>
      <c r="G499" s="172"/>
      <c r="H499" s="172"/>
      <c r="I499" s="172"/>
    </row>
    <row r="500" spans="2:9" hidden="1" x14ac:dyDescent="0.3">
      <c r="B500" s="172"/>
      <c r="C500" s="172"/>
      <c r="D500" s="172"/>
      <c r="E500" s="172"/>
      <c r="F500" s="172"/>
      <c r="G500" s="172"/>
      <c r="H500" s="172"/>
      <c r="I500" s="172"/>
    </row>
    <row r="501" spans="2:9" hidden="1" x14ac:dyDescent="0.3">
      <c r="B501" s="172"/>
      <c r="C501" s="172"/>
      <c r="D501" s="172"/>
      <c r="E501" s="172"/>
      <c r="F501" s="172"/>
      <c r="G501" s="172"/>
      <c r="H501" s="172"/>
      <c r="I501" s="172"/>
    </row>
    <row r="502" spans="2:9" hidden="1" x14ac:dyDescent="0.3">
      <c r="B502" s="172"/>
      <c r="C502" s="172"/>
      <c r="D502" s="172"/>
      <c r="E502" s="172"/>
      <c r="F502" s="172"/>
      <c r="G502" s="172"/>
      <c r="H502" s="172"/>
      <c r="I502" s="172"/>
    </row>
    <row r="503" spans="2:9" hidden="1" x14ac:dyDescent="0.3">
      <c r="B503" s="172"/>
      <c r="C503" s="172"/>
      <c r="D503" s="172"/>
      <c r="E503" s="172"/>
      <c r="F503" s="172"/>
      <c r="G503" s="172"/>
      <c r="H503" s="172"/>
      <c r="I503" s="172"/>
    </row>
    <row r="504" spans="2:9" hidden="1" x14ac:dyDescent="0.3">
      <c r="B504" s="172"/>
      <c r="C504" s="172"/>
      <c r="D504" s="172"/>
      <c r="E504" s="172"/>
      <c r="F504" s="172"/>
      <c r="G504" s="172"/>
      <c r="H504" s="172"/>
      <c r="I504" s="172"/>
    </row>
    <row r="505" spans="2:9" hidden="1" x14ac:dyDescent="0.3">
      <c r="B505" s="172"/>
      <c r="C505" s="172"/>
      <c r="D505" s="172"/>
      <c r="E505" s="172"/>
      <c r="F505" s="172"/>
      <c r="G505" s="172"/>
      <c r="H505" s="172"/>
      <c r="I505" s="172"/>
    </row>
    <row r="506" spans="2:9" hidden="1" x14ac:dyDescent="0.3">
      <c r="B506" s="172"/>
      <c r="C506" s="172"/>
      <c r="D506" s="172"/>
      <c r="E506" s="172"/>
      <c r="F506" s="172"/>
      <c r="G506" s="172"/>
      <c r="H506" s="172"/>
      <c r="I506" s="172"/>
    </row>
    <row r="507" spans="2:9" hidden="1" x14ac:dyDescent="0.3">
      <c r="B507" s="172"/>
      <c r="C507" s="172"/>
      <c r="D507" s="172"/>
      <c r="E507" s="172"/>
      <c r="F507" s="172"/>
      <c r="G507" s="172"/>
      <c r="H507" s="172"/>
      <c r="I507" s="172"/>
    </row>
    <row r="508" spans="2:9" hidden="1" x14ac:dyDescent="0.3">
      <c r="B508" s="172"/>
      <c r="C508" s="172"/>
      <c r="D508" s="172"/>
      <c r="E508" s="172"/>
      <c r="F508" s="172"/>
      <c r="G508" s="172"/>
      <c r="H508" s="172"/>
      <c r="I508" s="172"/>
    </row>
    <row r="509" spans="2:9" hidden="1" x14ac:dyDescent="0.3">
      <c r="B509" s="172"/>
      <c r="C509" s="172"/>
      <c r="D509" s="172"/>
      <c r="E509" s="172"/>
      <c r="F509" s="172"/>
      <c r="G509" s="172"/>
      <c r="H509" s="172"/>
      <c r="I509" s="172"/>
    </row>
    <row r="510" spans="2:9" hidden="1" x14ac:dyDescent="0.3">
      <c r="B510" s="172"/>
      <c r="C510" s="172"/>
      <c r="D510" s="172"/>
      <c r="E510" s="172"/>
      <c r="F510" s="172"/>
      <c r="G510" s="172"/>
      <c r="H510" s="172"/>
      <c r="I510" s="172"/>
    </row>
    <row r="511" spans="2:9" hidden="1" x14ac:dyDescent="0.3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topLeftCell="A43" zoomScale="80" zoomScaleNormal="80" workbookViewId="0">
      <selection activeCell="J74" sqref="J74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201" t="s">
        <v>78</v>
      </c>
      <c r="C2" s="201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2.8303505338285299E-4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2.8171356669469898E-4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4.2891518226022399E-4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5.6418377691208903E-4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6.7843552368281902E-4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7.7401365229352805E-4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8.5208622337824998E-4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9.14111773850167E-4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9.5894425359434299E-4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9.7848734947703206E-4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8.1211308096613196E-4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2.73526436639881E-4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2.8288788624289499E-4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4.3528906773580199E-4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5.7516259966166098E-4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6.9349680932493003E-4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7.9283686428242405E-4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8.74352536936099E-4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9.39995931566869E-4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9.8888167854625309E-4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1.0131491008380899E-3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8.4859448042749405E-4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1.6189315073755401E-4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2.8806850486906002E-4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4.2331183946565801E-4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5.4783483104154003E-4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6.5169744953751097E-4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7.3714041617737604E-4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8.0655101190130597E-4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8.6044496138753504E-4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8.9697495289813999E-4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9.0678503070460695E-4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7.8037487294507605E-4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1.6390615247352099E-4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3.3556140503673398E-4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5.0379863457926204E-4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6.5882563419680199E-4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7.8852534327218205E-4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8.9580836239322502E-4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9.8367497198556899E-4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1.05306286138781E-3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1.10179118445775E-3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1.11824774474765E-3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9.0252293215241396E-4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abSelected="1" zoomScale="80" zoomScaleNormal="80" workbookViewId="0">
      <selection activeCell="O7" sqref="O7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4" t="s">
        <v>194</v>
      </c>
      <c r="N2" s="204"/>
      <c r="O2" s="204"/>
      <c r="P2" s="204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15</v>
      </c>
      <c r="O3" s="183">
        <v>16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2.5273836366962898E-2</v>
      </c>
      <c r="F6" s="185">
        <v>2.4679031280655399E-2</v>
      </c>
      <c r="G6" s="186">
        <v>1.0241016383318799</v>
      </c>
      <c r="H6" s="42">
        <f>+E6/(1.2*F6)</f>
        <v>0.85341803194323307</v>
      </c>
      <c r="I6" s="47">
        <f>+'Centers of Mass and Rigidity'!L5-'Centers of Mass and Rigidity'!F5</f>
        <v>-1.6106715192444998</v>
      </c>
      <c r="J6" s="47">
        <f>+'Centers of Mass and Rigidity'!M5-'Centers of Mass and Rigidity'!G5</f>
        <v>0.30689470409233977</v>
      </c>
      <c r="K6" s="172">
        <f>IF(+'Sismo UBC-94 y Dinamico'!O15=0,'Sismo UBC-94 y Dinamico'!M15,'Sismo UBC-94 y Dinamico'!O15)</f>
        <v>1029.6717025406001</v>
      </c>
      <c r="L6" s="172">
        <f>IF(+'Sismo UBC-94 y Dinamico'!P15=0,'Sismo UBC-94 y Dinamico'!N15,'Sismo UBC-94 y Dinamico'!P15)</f>
        <v>89.526800047918499</v>
      </c>
      <c r="M6" s="52">
        <f>0.05*N6*K6*(H6-1)+0.05*O6*L6*(H6-1)</f>
        <v>-123.69689009395114</v>
      </c>
      <c r="N6">
        <f>+$N$3</f>
        <v>15</v>
      </c>
      <c r="O6">
        <f>+$O$3</f>
        <v>16</v>
      </c>
      <c r="P6" s="95">
        <f>+K6*(J6+0.05*N6*H6)-K6*(J6+0.05*N6)</f>
        <v>-113.19847845807226</v>
      </c>
      <c r="Q6" s="95">
        <f>+L6*(I6+0.05*O6*H6)-L6*(I6+0.05*O6)</f>
        <v>-10.498411635878838</v>
      </c>
      <c r="R6" s="95">
        <f>+P6+Q6</f>
        <v>-123.6968900939511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2.5709558324880401E-2</v>
      </c>
      <c r="F7" s="185">
        <v>2.41035244272979E-2</v>
      </c>
      <c r="G7" s="186">
        <v>1.0666306664997001</v>
      </c>
      <c r="H7" s="42">
        <f t="shared" ref="H7:H16" si="0">+E7/(1.2*F7)</f>
        <v>0.88885888874974461</v>
      </c>
      <c r="I7" s="47">
        <f>+'Centers of Mass and Rigidity'!L6-'Centers of Mass and Rigidity'!F6</f>
        <v>0.87575614369309918</v>
      </c>
      <c r="J7" s="47">
        <f>+'Centers of Mass and Rigidity'!M6-'Centers of Mass and Rigidity'!G6</f>
        <v>0.17555412329818054</v>
      </c>
      <c r="K7" s="172">
        <f>IF(+'Sismo UBC-94 y Dinamico'!O16=0,'Sismo UBC-94 y Dinamico'!M16,'Sismo UBC-94 y Dinamico'!O16)</f>
        <v>10767.7982941666</v>
      </c>
      <c r="L7" s="172">
        <f>IF(+'Sismo UBC-94 y Dinamico'!P16=0,'Sismo UBC-94 y Dinamico'!N16,'Sismo UBC-94 y Dinamico'!P16)</f>
        <v>645.60829066720544</v>
      </c>
      <c r="M7" s="52">
        <f>0.05*N7*K7*(H7-1)+0.05*O7*L7*(H7-1)</f>
        <v>-954.96169938491505</v>
      </c>
      <c r="N7" s="172">
        <f t="shared" ref="N7:N16" si="1">+$N$3</f>
        <v>15</v>
      </c>
      <c r="O7" s="172">
        <f t="shared" ref="O7:O16" si="2">+$O$3</f>
        <v>16</v>
      </c>
      <c r="P7" s="95">
        <f>+K7*(J7+0.05*N7*H7)-K7*(J7+0.05*N7)</f>
        <v>-897.55880109921054</v>
      </c>
      <c r="Q7" s="95">
        <f>+L7*(I7+0.05*O7*H7)-L7*(I7+0.05*O7)</f>
        <v>-57.40289828570485</v>
      </c>
      <c r="R7" s="95">
        <f>+P7+Q7</f>
        <v>-954.96169938491539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2.47253538435383E-2</v>
      </c>
      <c r="F8" s="185">
        <v>2.31731100086362E-2</v>
      </c>
      <c r="G8" s="186">
        <v>1.0669847005569699</v>
      </c>
      <c r="H8" s="42">
        <f t="shared" si="0"/>
        <v>0.88915391713080405</v>
      </c>
      <c r="I8" s="47">
        <f>+'Centers of Mass and Rigidity'!L7-'Centers of Mass and Rigidity'!F7</f>
        <v>0.95599125850318067</v>
      </c>
      <c r="J8" s="47">
        <f>+'Centers of Mass and Rigidity'!M7-'Centers of Mass and Rigidity'!G7</f>
        <v>0.12658654782978029</v>
      </c>
      <c r="K8" s="172">
        <f>IF(+'Sismo UBC-94 y Dinamico'!O17=0,'Sismo UBC-94 y Dinamico'!M17,'Sismo UBC-94 y Dinamico'!O17)</f>
        <v>12027.118844043101</v>
      </c>
      <c r="L8" s="172">
        <f>IF(+'Sismo UBC-94 y Dinamico'!P17=0,'Sismo UBC-94 y Dinamico'!N17,'Sismo UBC-94 y Dinamico'!P17)</f>
        <v>708.52221467773609</v>
      </c>
      <c r="M8" s="52">
        <f>0.05*N8*K8*(H8-1)+0.05*O8*L8*(H8-1)</f>
        <v>-1062.69878874662</v>
      </c>
      <c r="N8" s="172">
        <f t="shared" si="1"/>
        <v>15</v>
      </c>
      <c r="O8" s="172">
        <f t="shared" si="2"/>
        <v>16</v>
      </c>
      <c r="P8" s="95">
        <f>+K8*(J8+0.05*N8*H8)-K8*(J8+0.05*N8)</f>
        <v>-999.86925904835152</v>
      </c>
      <c r="Q8" s="95">
        <f>+L8*(I8+0.05*O8*H8)-L8*(I8+0.05*O8)</f>
        <v>-62.829529698267606</v>
      </c>
      <c r="R8" s="95">
        <f>+P8+Q8</f>
        <v>-1062.6987887466191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2.3227109743710599E-2</v>
      </c>
      <c r="F9" s="185">
        <v>2.1763637051301101E-2</v>
      </c>
      <c r="G9" s="186">
        <v>1.0672439394647</v>
      </c>
      <c r="H9" s="42">
        <f t="shared" si="0"/>
        <v>0.88936994955392068</v>
      </c>
      <c r="I9" s="47">
        <f>+'Centers of Mass and Rigidity'!L8-'Centers of Mass and Rigidity'!F8</f>
        <v>0.92447899082385021</v>
      </c>
      <c r="J9" s="47">
        <f>+'Centers of Mass and Rigidity'!M8-'Centers of Mass and Rigidity'!G8</f>
        <v>0.13562348128515023</v>
      </c>
      <c r="K9" s="172">
        <f>IF(+'Sismo UBC-94 y Dinamico'!O18=0,'Sismo UBC-94 y Dinamico'!M18,'Sismo UBC-94 y Dinamico'!O18)</f>
        <v>10237.6077417298</v>
      </c>
      <c r="L9" s="172">
        <f>IF(+'Sismo UBC-94 y Dinamico'!P18=0,'Sismo UBC-94 y Dinamico'!N18,'Sismo UBC-94 y Dinamico'!P18)</f>
        <v>581.55257167400987</v>
      </c>
      <c r="M9" s="52">
        <f>0.05*N9*K9*(H9-1)+0.05*O9*L9*(H9-1)</f>
        <v>-900.91004795912932</v>
      </c>
      <c r="N9" s="172">
        <f t="shared" si="1"/>
        <v>15</v>
      </c>
      <c r="O9" s="172">
        <f t="shared" si="2"/>
        <v>16</v>
      </c>
      <c r="P9" s="95">
        <f>+K9*(J9+0.05*N9*H9)-K9*(J9+0.05*N9)</f>
        <v>-849.44029568605583</v>
      </c>
      <c r="Q9" s="95">
        <f>+L9*(I9+0.05*O9*H9)-L9*(I9+0.05*O9)</f>
        <v>-51.469752273074278</v>
      </c>
      <c r="R9" s="95">
        <f>+P9+Q9</f>
        <v>-900.91004795913011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2.12565119350001E-2</v>
      </c>
      <c r="F10" s="185">
        <v>1.9914401557044999E-2</v>
      </c>
      <c r="G10" s="186">
        <v>1.0673939597989299</v>
      </c>
      <c r="H10" s="42">
        <f t="shared" si="0"/>
        <v>0.88949496649910254</v>
      </c>
      <c r="I10" s="47">
        <f>+'Centers of Mass and Rigidity'!L9-'Centers of Mass and Rigidity'!F9</f>
        <v>0.89654452629294923</v>
      </c>
      <c r="J10" s="47">
        <f>+'Centers of Mass and Rigidity'!M9-'Centers of Mass and Rigidity'!G9</f>
        <v>0.14403656280744048</v>
      </c>
      <c r="K10" s="172">
        <f>IF(+'Sismo UBC-94 y Dinamico'!O19=0,'Sismo UBC-94 y Dinamico'!M19,'Sismo UBC-94 y Dinamico'!O19)</f>
        <v>8727.5873059391015</v>
      </c>
      <c r="L10" s="172">
        <f>IF(+'Sismo UBC-94 y Dinamico'!P19=0,'Sismo UBC-94 y Dinamico'!N19,'Sismo UBC-94 y Dinamico'!P19)</f>
        <v>489.54064496687988</v>
      </c>
      <c r="M10" s="52">
        <f>0.05*N10*K10*(H10-1)+0.05*O10*L10*(H10-1)</f>
        <v>-766.6091100162987</v>
      </c>
      <c r="N10" s="172">
        <f t="shared" si="1"/>
        <v>15</v>
      </c>
      <c r="O10" s="172">
        <f t="shared" si="2"/>
        <v>16</v>
      </c>
      <c r="P10" s="95">
        <f>+K10*(J10+0.05*N10*H10)-K10*(J10+0.05*N10)</f>
        <v>-723.33174571860582</v>
      </c>
      <c r="Q10" s="95">
        <f>+L10*(I10+0.05*O10*H10)-L10*(I10+0.05*O10)</f>
        <v>-43.277364297692884</v>
      </c>
      <c r="R10" s="95">
        <f>+P10+Q10</f>
        <v>-766.6091100162987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1.88869565716853E-2</v>
      </c>
      <c r="F11" s="185">
        <v>1.7693915280979699E-2</v>
      </c>
      <c r="G11" s="186">
        <v>1.0674266419704199</v>
      </c>
      <c r="H11" s="42">
        <f t="shared" si="0"/>
        <v>0.88952220164201845</v>
      </c>
      <c r="I11" s="47">
        <f>+'Centers of Mass and Rigidity'!L10-'Centers of Mass and Rigidity'!F10</f>
        <v>0.87236697959042075</v>
      </c>
      <c r="J11" s="47">
        <f>+'Centers of Mass and Rigidity'!M10-'Centers of Mass and Rigidity'!G10</f>
        <v>0.15203417699726085</v>
      </c>
      <c r="K11" s="172">
        <f>IF(+'Sismo UBC-94 y Dinamico'!O20=0,'Sismo UBC-94 y Dinamico'!M20,'Sismo UBC-94 y Dinamico'!O20)</f>
        <v>7534.5244743153962</v>
      </c>
      <c r="L11" s="172">
        <f>IF(+'Sismo UBC-94 y Dinamico'!P20=0,'Sismo UBC-94 y Dinamico'!N20,'Sismo UBC-94 y Dinamico'!P20)</f>
        <v>423.8318366431804</v>
      </c>
      <c r="M11" s="52">
        <f t="shared" ref="M11:M16" si="3">0.05*N11*K11*(H11-1)+0.05*O11*L11*(H11-1)</f>
        <v>-661.75746324660656</v>
      </c>
      <c r="N11" s="172">
        <f t="shared" si="1"/>
        <v>15</v>
      </c>
      <c r="O11" s="172">
        <f t="shared" si="2"/>
        <v>16</v>
      </c>
      <c r="P11" s="95">
        <f t="shared" ref="P11:P16" si="4">+K11*(J11+0.05*N11*H11)-K11*(J11+0.05*N11)</f>
        <v>-624.29825669751972</v>
      </c>
      <c r="Q11" s="95">
        <f t="shared" ref="Q11:Q16" si="5">+L11*(I11+0.05*O11*H11)-L11*(I11+0.05*O11)</f>
        <v>-37.45920654908673</v>
      </c>
      <c r="R11" s="95">
        <f t="shared" ref="R11:R16" si="6">+P11+Q11</f>
        <v>-661.75746324660645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1.6183649179095799E-2</v>
      </c>
      <c r="F12" s="185">
        <v>1.5162819601525801E-2</v>
      </c>
      <c r="G12" s="186">
        <v>1.06732452171806</v>
      </c>
      <c r="H12" s="42">
        <f t="shared" si="0"/>
        <v>0.88943710143171939</v>
      </c>
      <c r="I12" s="47">
        <f>+'Centers of Mass and Rigidity'!L11-'Centers of Mass and Rigidity'!F11</f>
        <v>0.85006183336975027</v>
      </c>
      <c r="J12" s="47">
        <f>+'Centers of Mass and Rigidity'!M11-'Centers of Mass and Rigidity'!G11</f>
        <v>0.15971376283194072</v>
      </c>
      <c r="K12" s="172">
        <f>IF(+'Sismo UBC-94 y Dinamico'!O21=0,'Sismo UBC-94 y Dinamico'!M21,'Sismo UBC-94 y Dinamico'!O21)</f>
        <v>6564.6694431760043</v>
      </c>
      <c r="L12" s="172">
        <f>IF(+'Sismo UBC-94 y Dinamico'!P21=0,'Sismo UBC-94 y Dinamico'!N21,'Sismo UBC-94 y Dinamico'!P21)</f>
        <v>369.86929372523991</v>
      </c>
      <c r="M12" s="52">
        <f t="shared" si="3"/>
        <v>-577.07171829965205</v>
      </c>
      <c r="N12" s="172">
        <f t="shared" si="1"/>
        <v>15</v>
      </c>
      <c r="O12" s="172">
        <f t="shared" si="2"/>
        <v>16</v>
      </c>
      <c r="P12" s="95">
        <f t="shared" si="4"/>
        <v>-544.35666133512041</v>
      </c>
      <c r="Q12" s="95">
        <f t="shared" si="5"/>
        <v>-32.715056964532323</v>
      </c>
      <c r="R12" s="95">
        <f t="shared" si="6"/>
        <v>-577.07171829965273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1.3207688339753399E-2</v>
      </c>
      <c r="F13" s="185">
        <v>1.23770870366289E-2</v>
      </c>
      <c r="G13" s="186">
        <v>1.06710797950005</v>
      </c>
      <c r="H13" s="42">
        <f t="shared" si="0"/>
        <v>0.88925664958337991</v>
      </c>
      <c r="I13" s="47">
        <f>+'Centers of Mass and Rigidity'!L12-'Centers of Mass and Rigidity'!F12</f>
        <v>0.75708959733982084</v>
      </c>
      <c r="J13" s="47">
        <f>+'Centers of Mass and Rigidity'!M12-'Centers of Mass and Rigidity'!G12</f>
        <v>0.17437086452338946</v>
      </c>
      <c r="K13" s="172">
        <f>IF(+'Sismo UBC-94 y Dinamico'!O22=0,'Sismo UBC-94 y Dinamico'!M22,'Sismo UBC-94 y Dinamico'!O22)</f>
        <v>5721.6885113876997</v>
      </c>
      <c r="L13" s="172">
        <f>IF(+'Sismo UBC-94 y Dinamico'!P22=0,'Sismo UBC-94 y Dinamico'!N22,'Sismo UBC-94 y Dinamico'!P22)</f>
        <v>322.00171346704974</v>
      </c>
      <c r="M13" s="52">
        <f t="shared" si="3"/>
        <v>-503.75685571490487</v>
      </c>
      <c r="N13" s="172">
        <f t="shared" si="1"/>
        <v>15</v>
      </c>
      <c r="O13" s="172">
        <f t="shared" si="2"/>
        <v>16</v>
      </c>
      <c r="P13" s="95">
        <f t="shared" si="4"/>
        <v>-475.22921684351786</v>
      </c>
      <c r="Q13" s="95">
        <f t="shared" si="5"/>
        <v>-28.527638871386898</v>
      </c>
      <c r="R13" s="95">
        <f t="shared" si="6"/>
        <v>-503.75685571490476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1.00150979615176E-2</v>
      </c>
      <c r="F14" s="185">
        <v>9.3885215655863507E-3</v>
      </c>
      <c r="G14" s="186">
        <v>1.06673855852107</v>
      </c>
      <c r="H14" s="42">
        <f t="shared" si="0"/>
        <v>0.88894879876756172</v>
      </c>
      <c r="I14" s="47">
        <f>+'Centers of Mass and Rigidity'!L13-'Centers of Mass and Rigidity'!F13</f>
        <v>0.69744561691402041</v>
      </c>
      <c r="J14" s="47">
        <f>+'Centers of Mass and Rigidity'!M13-'Centers of Mass and Rigidity'!G13</f>
        <v>0.18162390394978001</v>
      </c>
      <c r="K14" s="172">
        <f>IF(+'Sismo UBC-94 y Dinamico'!O23=0,'Sismo UBC-94 y Dinamico'!M23,'Sismo UBC-94 y Dinamico'!O23)</f>
        <v>4838.2568744512027</v>
      </c>
      <c r="L14" s="172">
        <f>IF(+'Sismo UBC-94 y Dinamico'!P23=0,'Sismo UBC-94 y Dinamico'!N23,'Sismo UBC-94 y Dinamico'!P23)</f>
        <v>274.17916556848013</v>
      </c>
      <c r="M14" s="52">
        <f t="shared" si="3"/>
        <v>-427.32901888561111</v>
      </c>
      <c r="N14" s="172">
        <f t="shared" si="1"/>
        <v>15</v>
      </c>
      <c r="O14" s="172">
        <f t="shared" si="2"/>
        <v>16</v>
      </c>
      <c r="P14" s="95">
        <f t="shared" si="4"/>
        <v>-402.97067833418077</v>
      </c>
      <c r="Q14" s="95">
        <f t="shared" si="5"/>
        <v>-24.358340551429876</v>
      </c>
      <c r="R14" s="95">
        <f t="shared" si="6"/>
        <v>-427.32901888561065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6.6659283339869499E-3</v>
      </c>
      <c r="F15" s="185">
        <v>6.2534097395420497E-3</v>
      </c>
      <c r="G15" s="186">
        <v>1.0659669862725301</v>
      </c>
      <c r="H15" s="42">
        <f t="shared" si="0"/>
        <v>0.88830582189377827</v>
      </c>
      <c r="I15" s="47">
        <f>+'Centers of Mass and Rigidity'!L14-'Centers of Mass and Rigidity'!F14</f>
        <v>0.5992114822923309</v>
      </c>
      <c r="J15" s="47">
        <f>+'Centers of Mass and Rigidity'!M14-'Centers of Mass and Rigidity'!G14</f>
        <v>0.18964810179419977</v>
      </c>
      <c r="K15" s="172">
        <f>IF(+'Sismo UBC-94 y Dinamico'!O24=0,'Sismo UBC-94 y Dinamico'!M24,'Sismo UBC-94 y Dinamico'!O24)</f>
        <v>3744.0623391970003</v>
      </c>
      <c r="L15" s="172">
        <f>IF(+'Sismo UBC-94 y Dinamico'!P24=0,'Sismo UBC-94 y Dinamico'!N24,'Sismo UBC-94 y Dinamico'!P24)</f>
        <v>218.33104217815981</v>
      </c>
      <c r="M15" s="52">
        <f t="shared" si="3"/>
        <v>-333.15151936523171</v>
      </c>
      <c r="N15" s="172">
        <f t="shared" si="1"/>
        <v>15</v>
      </c>
      <c r="O15" s="172">
        <f t="shared" si="2"/>
        <v>16</v>
      </c>
      <c r="P15" s="95">
        <f t="shared" si="4"/>
        <v>-313.64247431630019</v>
      </c>
      <c r="Q15" s="95">
        <f t="shared" si="5"/>
        <v>-19.509045048931512</v>
      </c>
      <c r="R15" s="95">
        <f t="shared" si="6"/>
        <v>-333.15151936523171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3.24845232386453E-3</v>
      </c>
      <c r="F16" s="188">
        <v>3.0528251208355099E-3</v>
      </c>
      <c r="G16" s="189">
        <v>1.0640807105830801</v>
      </c>
      <c r="H16" s="42">
        <f t="shared" si="0"/>
        <v>0.88673392548590102</v>
      </c>
      <c r="I16" s="47">
        <f>+'Centers of Mass and Rigidity'!L15-'Centers of Mass and Rigidity'!F15</f>
        <v>0.35449895948429955</v>
      </c>
      <c r="J16" s="47">
        <f>+'Centers of Mass and Rigidity'!M15-'Centers of Mass and Rigidity'!G15</f>
        <v>0.1975231583450805</v>
      </c>
      <c r="K16" s="172">
        <f>IF(+'Sismo UBC-94 y Dinamico'!O25=0,'Sismo UBC-94 y Dinamico'!M25,'Sismo UBC-94 y Dinamico'!O25)</f>
        <v>2197.5157089489949</v>
      </c>
      <c r="L16" s="172">
        <f>IF(+'Sismo UBC-94 y Dinamico'!P25=0,'Sismo UBC-94 y Dinamico'!N25,'Sismo UBC-94 y Dinamico'!P25)</f>
        <v>134.5949542831404</v>
      </c>
      <c r="M16" s="52">
        <f t="shared" si="3"/>
        <v>-198.87401722363467</v>
      </c>
      <c r="N16" s="172">
        <f t="shared" si="1"/>
        <v>15</v>
      </c>
      <c r="O16" s="172">
        <f t="shared" si="2"/>
        <v>16</v>
      </c>
      <c r="P16" s="95">
        <f t="shared" si="4"/>
        <v>-186.67798352678983</v>
      </c>
      <c r="Q16" s="95">
        <f t="shared" si="5"/>
        <v>-12.196033696844751</v>
      </c>
      <c r="R16" s="95">
        <f t="shared" si="6"/>
        <v>-198.87401722363458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2.5978750368885001E-2</v>
      </c>
      <c r="F24" s="185">
        <v>2.5266040686352301E-2</v>
      </c>
      <c r="G24" s="186">
        <v>1.02820820608105</v>
      </c>
      <c r="H24" s="42">
        <f>+E24/(1.2*F24)</f>
        <v>0.85684017173420446</v>
      </c>
      <c r="I24" s="47">
        <f t="shared" ref="I24:L28" si="7">+I6</f>
        <v>-1.6106715192444998</v>
      </c>
      <c r="J24" s="47">
        <f t="shared" si="7"/>
        <v>0.30689470409233977</v>
      </c>
      <c r="K24" s="48">
        <f>+K6</f>
        <v>1029.6717025406001</v>
      </c>
      <c r="L24" s="48">
        <f>+L6</f>
        <v>89.526800047918499</v>
      </c>
      <c r="M24" s="52">
        <f>-0.05*N24*K24*(H24-1)-0.05*O24*L24*(H24-1)</f>
        <v>120.8090311354332</v>
      </c>
      <c r="N24" s="172">
        <f>+$N$3</f>
        <v>15</v>
      </c>
      <c r="O24" s="172">
        <f>+$O$3</f>
        <v>16</v>
      </c>
      <c r="P24" s="95">
        <f>+K24*(J24-0.05*N24*H24)-K24*(J24-0.05*N24)</f>
        <v>110.55571807939629</v>
      </c>
      <c r="Q24" s="95">
        <f>+L24*(I24-0.05*O24*H24)-L24*(I24-0.05*O24)</f>
        <v>10.253313056036973</v>
      </c>
      <c r="R24" s="95">
        <f>+P24+Q24</f>
        <v>120.80903113543326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2.6416908026638999E-2</v>
      </c>
      <c r="F25" s="185">
        <v>2.41801110826898E-2</v>
      </c>
      <c r="G25" s="186">
        <v>1.0925056521163199</v>
      </c>
      <c r="H25" s="42">
        <f>+E25/(1.2*F25)</f>
        <v>0.91042137676359736</v>
      </c>
      <c r="I25" s="47">
        <f t="shared" si="7"/>
        <v>0.87575614369309918</v>
      </c>
      <c r="J25" s="47">
        <f t="shared" si="7"/>
        <v>0.17555412329818054</v>
      </c>
      <c r="K25" s="48">
        <f t="shared" si="7"/>
        <v>10767.7982941666</v>
      </c>
      <c r="L25" s="48">
        <f t="shared" si="7"/>
        <v>645.60829066720544</v>
      </c>
      <c r="M25" s="52">
        <f>-0.05*N25*K25*(H25-1)-0.05*O25*L25*(H25-1)</f>
        <v>769.68957132142714</v>
      </c>
      <c r="N25" s="172">
        <f t="shared" ref="N25:N34" si="8">+$N$3</f>
        <v>15</v>
      </c>
      <c r="O25" s="172">
        <f t="shared" ref="O25:O34" si="9">+$O$3</f>
        <v>16</v>
      </c>
      <c r="P25" s="95">
        <f>+K25*(J25-0.05*N25*H25)-K25*(J25-0.05*N25)</f>
        <v>723.42340985904775</v>
      </c>
      <c r="Q25" s="95">
        <f>+L25*(I25-0.05*O25*H25)-L25*(I25-0.05*O25)</f>
        <v>46.26616146238041</v>
      </c>
      <c r="R25" s="95">
        <f>+P25+Q25</f>
        <v>769.68957132142816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2.5428737548884601E-2</v>
      </c>
      <c r="F26" s="185">
        <v>2.3250054327809699E-2</v>
      </c>
      <c r="G26" s="186">
        <v>1.09370658624522</v>
      </c>
      <c r="H26" s="42">
        <f>+E26/(1.2*F26)</f>
        <v>0.91142215520434833</v>
      </c>
      <c r="I26" s="47">
        <f t="shared" si="7"/>
        <v>0.95599125850318067</v>
      </c>
      <c r="J26" s="47">
        <f t="shared" si="7"/>
        <v>0.12658654782978029</v>
      </c>
      <c r="K26" s="48">
        <f t="shared" si="7"/>
        <v>12027.118844043101</v>
      </c>
      <c r="L26" s="48">
        <f t="shared" si="7"/>
        <v>708.52221467773609</v>
      </c>
      <c r="M26" s="52">
        <f>-0.05*N26*K26*(H26-1)-0.05*O26*L26*(H26-1)</f>
        <v>849.20969634267726</v>
      </c>
      <c r="N26" s="172">
        <f t="shared" si="8"/>
        <v>15</v>
      </c>
      <c r="O26" s="172">
        <f t="shared" si="9"/>
        <v>16</v>
      </c>
      <c r="P26" s="95">
        <f>+K26*(J26-0.05*N26*H26)-K26*(J26-0.05*N26)</f>
        <v>799.00219972988089</v>
      </c>
      <c r="Q26" s="95">
        <f>+L26*(I26-0.05*O26*H26)-L26*(I26-0.05*O26)</f>
        <v>50.20749661279676</v>
      </c>
      <c r="R26" s="95">
        <f>+P26+Q26</f>
        <v>849.2096963426776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2.3908841707373899E-2</v>
      </c>
      <c r="F27" s="185">
        <v>2.18386353532358E-2</v>
      </c>
      <c r="G27" s="186">
        <v>1.0947955914210299</v>
      </c>
      <c r="H27" s="42">
        <f>+E27/(1.2*F27)</f>
        <v>0.9123296595175211</v>
      </c>
      <c r="I27" s="47">
        <f t="shared" si="7"/>
        <v>0.92447899082385021</v>
      </c>
      <c r="J27" s="47">
        <f t="shared" si="7"/>
        <v>0.13562348128515023</v>
      </c>
      <c r="K27" s="48">
        <f t="shared" si="7"/>
        <v>10237.6077417298</v>
      </c>
      <c r="L27" s="48">
        <f t="shared" si="7"/>
        <v>581.55257167400987</v>
      </c>
      <c r="M27" s="52">
        <f>-0.05*N27*K27*(H27-1)-0.05*O27*L27*(H27-1)</f>
        <v>713.9388469063324</v>
      </c>
      <c r="N27" s="172">
        <f t="shared" si="8"/>
        <v>15</v>
      </c>
      <c r="O27" s="172">
        <f t="shared" si="9"/>
        <v>16</v>
      </c>
      <c r="P27" s="95">
        <f>+K27*(J27-0.05*N27*H27)-K27*(J27-0.05*N27)</f>
        <v>673.1509173326358</v>
      </c>
      <c r="Q27" s="95">
        <f>+L27*(I27-0.05*O27*H27)-L27*(I27-0.05*O27)</f>
        <v>40.787929573697298</v>
      </c>
      <c r="R27" s="95">
        <f>+P27+Q27</f>
        <v>713.93884690633308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2.1900928998583199E-2</v>
      </c>
      <c r="F28" s="185">
        <v>1.9985414345199001E-2</v>
      </c>
      <c r="G28" s="186">
        <v>1.0958456312337801</v>
      </c>
      <c r="H28" s="42">
        <f>+E28/(1.2*F28)</f>
        <v>0.91320469269481486</v>
      </c>
      <c r="I28" s="47">
        <f t="shared" si="7"/>
        <v>0.89654452629294923</v>
      </c>
      <c r="J28" s="47">
        <f t="shared" si="7"/>
        <v>0.14403656280744048</v>
      </c>
      <c r="K28" s="48">
        <f t="shared" si="7"/>
        <v>8727.5873059391015</v>
      </c>
      <c r="L28" s="48">
        <f t="shared" si="7"/>
        <v>489.54064496687988</v>
      </c>
      <c r="M28" s="52">
        <f>-0.05*N28*K28*(H28-1)-0.05*O28*L28*(H28-1)</f>
        <v>602.12708126348605</v>
      </c>
      <c r="N28" s="172">
        <f t="shared" si="8"/>
        <v>15</v>
      </c>
      <c r="O28" s="172">
        <f t="shared" si="9"/>
        <v>16</v>
      </c>
      <c r="P28" s="95">
        <f>+K28*(J28-0.05*N28*H28)-K28*(J28-0.05*N28)</f>
        <v>568.13521668886278</v>
      </c>
      <c r="Q28" s="95">
        <f>+L28*(I28-0.05*O28*H28)-L28*(I28-0.05*O28)</f>
        <v>33.991864574623094</v>
      </c>
      <c r="R28" s="95">
        <f>+P28+Q28</f>
        <v>602.12708126348593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1.9480173065761702E-2</v>
      </c>
      <c r="F29" s="185">
        <v>1.77591454068491E-2</v>
      </c>
      <c r="G29" s="186">
        <v>1.09690937370493</v>
      </c>
      <c r="H29" s="42">
        <f t="shared" ref="H29:H34" si="10">+E29/(1.2*F29)</f>
        <v>0.91409114475411168</v>
      </c>
      <c r="I29" s="47">
        <f t="shared" ref="I29:L34" si="11">+I11</f>
        <v>0.87236697959042075</v>
      </c>
      <c r="J29" s="47">
        <f t="shared" si="11"/>
        <v>0.15203417699726085</v>
      </c>
      <c r="K29" s="48">
        <f t="shared" si="11"/>
        <v>7534.5244743153962</v>
      </c>
      <c r="L29" s="48">
        <f t="shared" si="11"/>
        <v>423.8318366431804</v>
      </c>
      <c r="M29" s="52">
        <f t="shared" ref="M29:M34" si="12">-0.05*N29*K29*(H29-1)-0.05*O29*L29*(H29-1)</f>
        <v>514.59050563014546</v>
      </c>
      <c r="N29" s="172">
        <f t="shared" si="8"/>
        <v>15</v>
      </c>
      <c r="O29" s="172">
        <f t="shared" si="9"/>
        <v>16</v>
      </c>
      <c r="P29" s="95">
        <f t="shared" ref="P29:P34" si="13">+K29*(J29-0.05*N29*H29)-K29*(J29-0.05*N29)</f>
        <v>485.46177930792328</v>
      </c>
      <c r="Q29" s="95">
        <f t="shared" ref="Q29:Q34" si="14">+L29*(I29-0.05*O29*H29)-L29*(I29-0.05*O29)</f>
        <v>29.128726322222391</v>
      </c>
      <c r="R29" s="95">
        <f t="shared" ref="R29:R34" si="15">+P29+Q29</f>
        <v>514.59050563014569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1.6712870589534499E-2</v>
      </c>
      <c r="F30" s="185">
        <v>1.5220639393460401E-2</v>
      </c>
      <c r="G30" s="186">
        <v>1.09803998094293</v>
      </c>
      <c r="H30" s="42">
        <f t="shared" si="10"/>
        <v>0.91503331745244343</v>
      </c>
      <c r="I30" s="47">
        <f t="shared" si="11"/>
        <v>0.85006183336975027</v>
      </c>
      <c r="J30" s="47">
        <f t="shared" si="11"/>
        <v>0.15971376283194072</v>
      </c>
      <c r="K30" s="48">
        <f t="shared" si="11"/>
        <v>6564.6694431760043</v>
      </c>
      <c r="L30" s="48">
        <f t="shared" si="11"/>
        <v>369.86929372523991</v>
      </c>
      <c r="M30" s="52">
        <f t="shared" si="12"/>
        <v>443.47489194721857</v>
      </c>
      <c r="N30" s="172">
        <f t="shared" si="8"/>
        <v>15</v>
      </c>
      <c r="O30" s="172">
        <f t="shared" si="9"/>
        <v>16</v>
      </c>
      <c r="P30" s="95">
        <f t="shared" si="13"/>
        <v>418.33363845598524</v>
      </c>
      <c r="Q30" s="95">
        <f t="shared" si="14"/>
        <v>25.141253491233144</v>
      </c>
      <c r="R30" s="95">
        <f t="shared" si="15"/>
        <v>443.4748919472184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1.36612075475172E-2</v>
      </c>
      <c r="F31" s="185">
        <v>1.24261014692144E-2</v>
      </c>
      <c r="G31" s="186">
        <v>1.0993961043504099</v>
      </c>
      <c r="H31" s="42">
        <f t="shared" si="10"/>
        <v>0.91616342029200726</v>
      </c>
      <c r="I31" s="47">
        <f t="shared" si="11"/>
        <v>0.75708959733982084</v>
      </c>
      <c r="J31" s="47">
        <f t="shared" si="11"/>
        <v>0.17437086452338946</v>
      </c>
      <c r="K31" s="48">
        <f t="shared" si="11"/>
        <v>5721.6885113876997</v>
      </c>
      <c r="L31" s="48">
        <f t="shared" si="11"/>
        <v>322.00171346704974</v>
      </c>
      <c r="M31" s="52">
        <f t="shared" si="12"/>
        <v>381.36151406569837</v>
      </c>
      <c r="N31" s="172">
        <f t="shared" si="8"/>
        <v>15</v>
      </c>
      <c r="O31" s="172">
        <f t="shared" si="9"/>
        <v>16</v>
      </c>
      <c r="P31" s="95">
        <f t="shared" si="13"/>
        <v>359.765096211946</v>
      </c>
      <c r="Q31" s="95">
        <f t="shared" si="14"/>
        <v>21.596417853752452</v>
      </c>
      <c r="R31" s="95">
        <f t="shared" si="15"/>
        <v>381.36151406569843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1.03806177226312E-2</v>
      </c>
      <c r="F32" s="185">
        <v>9.4273897122707402E-3</v>
      </c>
      <c r="G32" s="186">
        <v>1.10111261329525</v>
      </c>
      <c r="H32" s="42">
        <f t="shared" si="10"/>
        <v>0.91759384441270919</v>
      </c>
      <c r="I32" s="47">
        <f t="shared" si="11"/>
        <v>0.69744561691402041</v>
      </c>
      <c r="J32" s="47">
        <f t="shared" si="11"/>
        <v>0.18162390394978001</v>
      </c>
      <c r="K32" s="48">
        <f t="shared" si="11"/>
        <v>4838.2568744512027</v>
      </c>
      <c r="L32" s="48">
        <f t="shared" si="11"/>
        <v>274.17916556848013</v>
      </c>
      <c r="M32" s="52">
        <f t="shared" si="12"/>
        <v>317.10185235678267</v>
      </c>
      <c r="N32" s="172">
        <f t="shared" si="8"/>
        <v>15</v>
      </c>
      <c r="O32" s="172">
        <f t="shared" si="9"/>
        <v>16</v>
      </c>
      <c r="P32" s="95">
        <f t="shared" si="13"/>
        <v>299.02661157547891</v>
      </c>
      <c r="Q32" s="95">
        <f t="shared" si="14"/>
        <v>18.075240781303798</v>
      </c>
      <c r="R32" s="95">
        <f t="shared" si="15"/>
        <v>317.10185235678273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6.9296739501481797E-3</v>
      </c>
      <c r="F33" s="185">
        <v>6.2807090126534302E-3</v>
      </c>
      <c r="G33" s="186">
        <v>1.1033267002478999</v>
      </c>
      <c r="H33" s="42">
        <f t="shared" si="10"/>
        <v>0.9194389168732533</v>
      </c>
      <c r="I33" s="47">
        <f t="shared" si="11"/>
        <v>0.5992114822923309</v>
      </c>
      <c r="J33" s="47">
        <f t="shared" si="11"/>
        <v>0.18964810179419977</v>
      </c>
      <c r="K33" s="48">
        <f t="shared" si="11"/>
        <v>3744.0623391970003</v>
      </c>
      <c r="L33" s="48">
        <f t="shared" si="11"/>
        <v>218.33104217815981</v>
      </c>
      <c r="M33" s="52">
        <f t="shared" si="12"/>
        <v>240.29047619527961</v>
      </c>
      <c r="N33" s="172">
        <f t="shared" si="8"/>
        <v>15</v>
      </c>
      <c r="O33" s="172">
        <f t="shared" si="9"/>
        <v>16</v>
      </c>
      <c r="P33" s="95">
        <f t="shared" si="13"/>
        <v>226.21928800482851</v>
      </c>
      <c r="Q33" s="95">
        <f t="shared" si="14"/>
        <v>14.071188190451178</v>
      </c>
      <c r="R33" s="95">
        <f t="shared" si="15"/>
        <v>240.29047619527969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3.3943779217099801E-3</v>
      </c>
      <c r="F34" s="188">
        <v>3.0671877190690199E-3</v>
      </c>
      <c r="G34" s="189">
        <v>1.1066743325186099</v>
      </c>
      <c r="H34" s="42">
        <f t="shared" si="10"/>
        <v>0.92222861043217352</v>
      </c>
      <c r="I34" s="47">
        <f t="shared" si="11"/>
        <v>0.35449895948429955</v>
      </c>
      <c r="J34" s="47">
        <f t="shared" si="11"/>
        <v>0.1975231583450805</v>
      </c>
      <c r="K34" s="48">
        <f t="shared" si="11"/>
        <v>2197.5157089489949</v>
      </c>
      <c r="L34" s="48">
        <f t="shared" si="11"/>
        <v>134.5949542831404</v>
      </c>
      <c r="M34" s="52">
        <f t="shared" si="12"/>
        <v>136.55199701030233</v>
      </c>
      <c r="N34" s="172">
        <f t="shared" si="8"/>
        <v>15</v>
      </c>
      <c r="O34" s="172">
        <f t="shared" si="9"/>
        <v>16</v>
      </c>
      <c r="P34" s="95">
        <f t="shared" si="13"/>
        <v>128.17788771156802</v>
      </c>
      <c r="Q34" s="95">
        <f t="shared" si="14"/>
        <v>8.374109298734318</v>
      </c>
      <c r="R34" s="95">
        <f t="shared" si="15"/>
        <v>136.55199701030233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2.4526041265698201E-2</v>
      </c>
      <c r="F42" s="185">
        <v>2.4471312903060798E-2</v>
      </c>
      <c r="G42" s="186">
        <v>1.00223642935931</v>
      </c>
      <c r="H42" s="42">
        <f>+E42/(1.2*F42)</f>
        <v>0.83519702446609634</v>
      </c>
      <c r="I42" s="181">
        <f>+I24</f>
        <v>-1.6106715192444998</v>
      </c>
      <c r="J42" s="181">
        <f>+J24</f>
        <v>0.30689470409233977</v>
      </c>
      <c r="K42" s="48">
        <f>IF(+'Sismo UBC-94 y Dinamico'!O34=0,'Sismo UBC-94 y Dinamico'!M34,'Sismo UBC-94 y Dinamico'!O34)</f>
        <v>103.16713021787693</v>
      </c>
      <c r="L42" s="48">
        <f>IF(+'Sismo UBC-94 y Dinamico'!P34=0,'Sismo UBC-94 y Dinamico'!N34,'Sismo UBC-94 y Dinamico'!P34)</f>
        <v>871.86153082829139</v>
      </c>
      <c r="M42" s="52">
        <f>0.05*N42*K42*(H42-1)+0.05*O42*L42*(H42-1)</f>
        <v>-127.69998715513725</v>
      </c>
      <c r="N42" s="172">
        <f>+$N$3</f>
        <v>15</v>
      </c>
      <c r="O42" s="172">
        <f>+$O$3</f>
        <v>16</v>
      </c>
      <c r="P42" s="95">
        <f>+K42*(J42+0.05*N42*H42)-K42*(J42+0.05*N42)</f>
        <v>-12.751687527899875</v>
      </c>
      <c r="Q42" s="95">
        <f>+L42*(I42+0.05*O42*H42)-L42*(I42+0.05*O42)</f>
        <v>-114.94829962723736</v>
      </c>
      <c r="R42" s="95">
        <f>+P42+Q42</f>
        <v>-127.69998715513724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2.4336792755100201E-2</v>
      </c>
      <c r="F43" s="185">
        <v>2.4139172127357101E-2</v>
      </c>
      <c r="G43" s="186">
        <v>1.00818671935808</v>
      </c>
      <c r="H43" s="42">
        <f t="shared" ref="H43:H52" si="16">+E43/(1.2*F43)</f>
        <v>0.84015559946506813</v>
      </c>
      <c r="I43" s="181">
        <f t="shared" ref="I43:J43" si="17">+I25</f>
        <v>0.87575614369309918</v>
      </c>
      <c r="J43" s="181">
        <f t="shared" si="17"/>
        <v>0.17555412329818054</v>
      </c>
      <c r="K43" s="48">
        <f>IF(+'Sismo UBC-94 y Dinamico'!O35=0,'Sismo UBC-94 y Dinamico'!M35,'Sismo UBC-94 y Dinamico'!O35)</f>
        <v>726.74175777537653</v>
      </c>
      <c r="L43" s="48">
        <f>IF(+'Sismo UBC-94 y Dinamico'!P35=0,'Sismo UBC-94 y Dinamico'!N35,'Sismo UBC-94 y Dinamico'!P35)</f>
        <v>10818.493849808745</v>
      </c>
      <c r="M43" s="52">
        <f>0.05*N43*K43*(H43-1)+0.05*O43*L43*(H43-1)</f>
        <v>-1470.5447317523017</v>
      </c>
      <c r="N43" s="172">
        <f t="shared" ref="N43:N52" si="18">+$N$3</f>
        <v>15</v>
      </c>
      <c r="O43" s="172">
        <f t="shared" ref="O43:O52" si="19">+$O$3</f>
        <v>16</v>
      </c>
      <c r="P43" s="95">
        <f>+K43*(J43+0.05*N43*H43)-K43*(J43+0.05*N43)</f>
        <v>-87.124200461480768</v>
      </c>
      <c r="Q43" s="95">
        <f>+L43*(I43+0.05*O43*H43)-L43*(I43+0.05*O43)</f>
        <v>-1383.4205312908198</v>
      </c>
      <c r="R43" s="95">
        <f>+P43+Q43</f>
        <v>-1470.5447317523005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2.33297783992822E-2</v>
      </c>
      <c r="F44" s="185">
        <v>2.3171370930696902E-2</v>
      </c>
      <c r="G44" s="186">
        <v>1.00683634425685</v>
      </c>
      <c r="H44" s="42">
        <f t="shared" si="16"/>
        <v>0.83903028688070436</v>
      </c>
      <c r="I44" s="181">
        <f t="shared" ref="I44:J44" si="20">+I26</f>
        <v>0.95599125850318067</v>
      </c>
      <c r="J44" s="181">
        <f t="shared" si="20"/>
        <v>0.12658654782978029</v>
      </c>
      <c r="K44" s="48">
        <f>IF(+'Sismo UBC-94 y Dinamico'!O36=0,'Sismo UBC-94 y Dinamico'!M36,'Sismo UBC-94 y Dinamico'!O36)</f>
        <v>811.78920255447508</v>
      </c>
      <c r="L44" s="48">
        <f>IF(+'Sismo UBC-94 y Dinamico'!P36=0,'Sismo UBC-94 y Dinamico'!N36,'Sismo UBC-94 y Dinamico'!P36)</f>
        <v>12114.766333583155</v>
      </c>
      <c r="M44" s="52">
        <f>0.05*N44*K44*(H44-1)+0.05*O44*L44*(H44-1)</f>
        <v>-1658.093475265747</v>
      </c>
      <c r="N44" s="172">
        <f t="shared" si="18"/>
        <v>15</v>
      </c>
      <c r="O44" s="172">
        <f t="shared" si="19"/>
        <v>16</v>
      </c>
      <c r="P44" s="95">
        <f>+K44*(J44+0.05*N44*H44)-K44*(J44+0.05*N44)</f>
        <v>-98.005106286401656</v>
      </c>
      <c r="Q44" s="95">
        <f>+L44*(I44+0.05*O44*H44)-L44*(I44+0.05*O44)</f>
        <v>-1560.0883689793445</v>
      </c>
      <c r="R44" s="95">
        <f>+P44+Q44</f>
        <v>-1658.0934752657463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2.1849203976984401E-2</v>
      </c>
      <c r="F45" s="185">
        <v>2.1723341015021502E-2</v>
      </c>
      <c r="G45" s="186">
        <v>1.0057939044402</v>
      </c>
      <c r="H45" s="42">
        <f t="shared" si="16"/>
        <v>0.83816158703349952</v>
      </c>
      <c r="I45" s="181">
        <f t="shared" ref="I45:J45" si="21">+I27</f>
        <v>0.92447899082385021</v>
      </c>
      <c r="J45" s="181">
        <f t="shared" si="21"/>
        <v>0.13562348128515023</v>
      </c>
      <c r="K45" s="48">
        <f>IF(+'Sismo UBC-94 y Dinamico'!O37=0,'Sismo UBC-94 y Dinamico'!M37,'Sismo UBC-94 y Dinamico'!O37)</f>
        <v>670.30896985677396</v>
      </c>
      <c r="L45" s="48">
        <f>IF(+'Sismo UBC-94 y Dinamico'!P37=0,'Sismo UBC-94 y Dinamico'!N37,'Sismo UBC-94 y Dinamico'!P37)</f>
        <v>10211.208089142307</v>
      </c>
      <c r="M45" s="52">
        <f>0.05*N45*K45*(H45-1)+0.05*O45*L45*(H45-1)</f>
        <v>-1403.4138742031089</v>
      </c>
      <c r="N45" s="172">
        <f t="shared" si="18"/>
        <v>15</v>
      </c>
      <c r="O45" s="172">
        <f t="shared" si="19"/>
        <v>16</v>
      </c>
      <c r="P45" s="95">
        <f>+K45*(J45+0.05*N45*H45)-K45*(J45+0.05*N45)</f>
        <v>-81.361304909122623</v>
      </c>
      <c r="Q45" s="95">
        <f>+L45*(I45+0.05*O45*H45)-L45*(I45+0.05*O45)</f>
        <v>-1322.0525692939864</v>
      </c>
      <c r="R45" s="95">
        <f>+P45+Q45</f>
        <v>-1403.4138742031091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1.9932710386615801E-2</v>
      </c>
      <c r="F46" s="185">
        <v>1.9836553609512999E-2</v>
      </c>
      <c r="G46" s="186">
        <v>1.00484745379645</v>
      </c>
      <c r="H46" s="42">
        <f t="shared" si="16"/>
        <v>0.83737287816370354</v>
      </c>
      <c r="I46" s="181">
        <f t="shared" ref="I46:J46" si="22">+I28</f>
        <v>0.89654452629294923</v>
      </c>
      <c r="J46" s="181">
        <f t="shared" si="22"/>
        <v>0.14403656280744048</v>
      </c>
      <c r="K46" s="48">
        <f>IF(+'Sismo UBC-94 y Dinamico'!O38=0,'Sismo UBC-94 y Dinamico'!M38,'Sismo UBC-94 y Dinamico'!O38)</f>
        <v>564.54270637188665</v>
      </c>
      <c r="L46" s="48">
        <f>IF(+'Sismo UBC-94 y Dinamico'!P38=0,'Sismo UBC-94 y Dinamico'!N38,'Sismo UBC-94 y Dinamico'!P38)</f>
        <v>8614.9840334838354</v>
      </c>
      <c r="M46" s="52">
        <f>0.05*N46*K46*(H46-1)+0.05*O46*L46*(H46-1)</f>
        <v>-1189.6815130430996</v>
      </c>
      <c r="N46" s="172">
        <f t="shared" si="18"/>
        <v>15</v>
      </c>
      <c r="O46" s="172">
        <f t="shared" si="19"/>
        <v>16</v>
      </c>
      <c r="P46" s="95">
        <f>+K46*(J46+0.05*N46*H46)-K46*(J46+0.05*N46)</f>
        <v>-68.857466618200078</v>
      </c>
      <c r="Q46" s="95">
        <f>+L46*(I46+0.05*O46*H46)-L46*(I46+0.05*O46)</f>
        <v>-1120.8240464248993</v>
      </c>
      <c r="R46" s="95">
        <f>+P46+Q46</f>
        <v>-1189.6815130430994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1.7652605203304399E-2</v>
      </c>
      <c r="F47" s="185">
        <v>1.7583196908437699E-2</v>
      </c>
      <c r="G47" s="186">
        <v>1.00394742180436</v>
      </c>
      <c r="H47" s="42">
        <f t="shared" si="16"/>
        <v>0.83662285150363236</v>
      </c>
      <c r="I47" s="181">
        <f t="shared" ref="I47:J47" si="23">+I29</f>
        <v>0.87236697959042075</v>
      </c>
      <c r="J47" s="181">
        <f t="shared" si="23"/>
        <v>0.15203417699726085</v>
      </c>
      <c r="K47" s="48">
        <f>IF(+'Sismo UBC-94 y Dinamico'!O39=0,'Sismo UBC-94 y Dinamico'!M39,'Sismo UBC-94 y Dinamico'!O39)</f>
        <v>488.78913025527862</v>
      </c>
      <c r="L47" s="48">
        <f>IF(+'Sismo UBC-94 y Dinamico'!P39=0,'Sismo UBC-94 y Dinamico'!N39,'Sismo UBC-94 y Dinamico'!P39)</f>
        <v>7384.4484707220963</v>
      </c>
      <c r="M47" s="52">
        <f t="shared" ref="M47:M52" si="24">0.05*N47*K47*(H47-1)+0.05*O47*L47*(H47-1)</f>
        <v>-1025.0528382297964</v>
      </c>
      <c r="N47" s="172">
        <f t="shared" si="18"/>
        <v>15</v>
      </c>
      <c r="O47" s="172">
        <f t="shared" si="19"/>
        <v>16</v>
      </c>
      <c r="P47" s="95">
        <f t="shared" ref="P47:P52" si="25">+K47*(J47+0.05*N47*H47)-K47*(J47+0.05*N47)</f>
        <v>-59.892730737845284</v>
      </c>
      <c r="Q47" s="95">
        <f t="shared" ref="Q47:Q52" si="26">+L47*(I47+0.05*O47*H47)-L47*(I47+0.05*O47)</f>
        <v>-965.16010749195266</v>
      </c>
      <c r="R47" s="95">
        <f t="shared" ref="R47:R52" si="27">+P47+Q47</f>
        <v>-1025.052838229798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1.50733799457524E-2</v>
      </c>
      <c r="F48" s="185">
        <v>1.5028490021086501E-2</v>
      </c>
      <c r="G48" s="186">
        <v>1.00298698835365</v>
      </c>
      <c r="H48" s="42">
        <f t="shared" si="16"/>
        <v>0.83582249029470657</v>
      </c>
      <c r="I48" s="181">
        <f t="shared" ref="I48:J48" si="28">+I30</f>
        <v>0.85006183336975027</v>
      </c>
      <c r="J48" s="181">
        <f t="shared" si="28"/>
        <v>0.15971376283194072</v>
      </c>
      <c r="K48" s="48">
        <f>IF(+'Sismo UBC-94 y Dinamico'!O40=0,'Sismo UBC-94 y Dinamico'!M40,'Sismo UBC-94 y Dinamico'!O40)</f>
        <v>427.17781237169942</v>
      </c>
      <c r="L48" s="48">
        <f>IF(+'Sismo UBC-94 y Dinamico'!P40=0,'Sismo UBC-94 y Dinamico'!N40,'Sismo UBC-94 y Dinamico'!P40)</f>
        <v>6432.3017756052268</v>
      </c>
      <c r="M48" s="52">
        <f t="shared" si="24"/>
        <v>-897.43117183084826</v>
      </c>
      <c r="N48" s="172">
        <f t="shared" si="18"/>
        <v>15</v>
      </c>
      <c r="O48" s="172">
        <f t="shared" si="19"/>
        <v>16</v>
      </c>
      <c r="P48" s="95">
        <f t="shared" si="25"/>
        <v>-52.599742077405494</v>
      </c>
      <c r="Q48" s="95">
        <f t="shared" si="26"/>
        <v>-844.83142975344344</v>
      </c>
      <c r="R48" s="95">
        <f t="shared" si="27"/>
        <v>-897.43117183084894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1.2251649047491001E-2</v>
      </c>
      <c r="F49" s="185">
        <v>1.22450837114073E-2</v>
      </c>
      <c r="G49" s="186">
        <v>1.00053616098007</v>
      </c>
      <c r="H49" s="42">
        <f t="shared" si="16"/>
        <v>0.83378013415005525</v>
      </c>
      <c r="I49" s="181">
        <f t="shared" ref="I49:J49" si="29">+I31</f>
        <v>0.75708959733982084</v>
      </c>
      <c r="J49" s="181">
        <f t="shared" si="29"/>
        <v>0.17437086452338946</v>
      </c>
      <c r="K49" s="48">
        <f>IF(+'Sismo UBC-94 y Dinamico'!O41=0,'Sismo UBC-94 y Dinamico'!M41,'Sismo UBC-94 y Dinamico'!O41)</f>
        <v>372.21994999530079</v>
      </c>
      <c r="L49" s="48">
        <f>IF(+'Sismo UBC-94 y Dinamico'!P41=0,'Sismo UBC-94 y Dinamico'!N41,'Sismo UBC-94 y Dinamico'!P41)</f>
        <v>5646.6228592872621</v>
      </c>
      <c r="M49" s="52">
        <f t="shared" si="24"/>
        <v>-797.26747795693711</v>
      </c>
      <c r="N49" s="172">
        <f t="shared" si="18"/>
        <v>15</v>
      </c>
      <c r="O49" s="172">
        <f t="shared" si="19"/>
        <v>16</v>
      </c>
      <c r="P49" s="95">
        <f t="shared" si="25"/>
        <v>-46.40276261616907</v>
      </c>
      <c r="Q49" s="95">
        <f t="shared" si="26"/>
        <v>-750.86471534076736</v>
      </c>
      <c r="R49" s="95">
        <f t="shared" si="27"/>
        <v>-797.26747795693643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9.3271524585406308E-3</v>
      </c>
      <c r="F50" s="185">
        <v>9.2843927740343599E-3</v>
      </c>
      <c r="G50" s="186">
        <v>1.00460554454631</v>
      </c>
      <c r="H50" s="42">
        <f t="shared" si="16"/>
        <v>0.83717128712192657</v>
      </c>
      <c r="I50" s="181">
        <f t="shared" ref="I50:J50" si="30">+I32</f>
        <v>0.69744561691402041</v>
      </c>
      <c r="J50" s="181">
        <f t="shared" si="30"/>
        <v>0.18162390394978001</v>
      </c>
      <c r="K50" s="48">
        <f>IF(+'Sismo UBC-94 y Dinamico'!O42=0,'Sismo UBC-94 y Dinamico'!M42,'Sismo UBC-94 y Dinamico'!O42)</f>
        <v>317.52922026928678</v>
      </c>
      <c r="L50" s="48">
        <f>IF(+'Sismo UBC-94 y Dinamico'!P42=0,'Sismo UBC-94 y Dinamico'!N42,'Sismo UBC-94 y Dinamico'!P42)</f>
        <v>4835.4334728450231</v>
      </c>
      <c r="M50" s="52">
        <f t="shared" si="24"/>
        <v>-668.65508255094585</v>
      </c>
      <c r="N50" s="172">
        <f t="shared" si="18"/>
        <v>15</v>
      </c>
      <c r="O50" s="172">
        <f t="shared" si="19"/>
        <v>16</v>
      </c>
      <c r="P50" s="95">
        <f t="shared" si="25"/>
        <v>-38.777155678219685</v>
      </c>
      <c r="Q50" s="95">
        <f t="shared" si="26"/>
        <v>-629.87792687272577</v>
      </c>
      <c r="R50" s="95">
        <f t="shared" si="27"/>
        <v>-668.65508255094551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6.2692342934877604E-3</v>
      </c>
      <c r="F51" s="185">
        <v>6.1863544021676497E-3</v>
      </c>
      <c r="G51" s="186">
        <v>1.0133972103652999</v>
      </c>
      <c r="H51" s="42">
        <f t="shared" si="16"/>
        <v>0.84449767530441278</v>
      </c>
      <c r="I51" s="181">
        <f t="shared" ref="I51:J51" si="31">+I33</f>
        <v>0.5992114822923309</v>
      </c>
      <c r="J51" s="181">
        <f t="shared" si="31"/>
        <v>0.18964810179419977</v>
      </c>
      <c r="K51" s="48">
        <f>IF(+'Sismo UBC-94 y Dinamico'!O43=0,'Sismo UBC-94 y Dinamico'!M43,'Sismo UBC-94 y Dinamico'!O43)</f>
        <v>253.04552290907108</v>
      </c>
      <c r="L51" s="48">
        <f>IF(+'Sismo UBC-94 y Dinamico'!P43=0,'Sismo UBC-94 y Dinamico'!N43,'Sismo UBC-94 y Dinamico'!P43)</f>
        <v>3796.1422187263784</v>
      </c>
      <c r="M51" s="52">
        <f t="shared" si="24"/>
        <v>-501.75902720924125</v>
      </c>
      <c r="N51" s="172">
        <f t="shared" si="18"/>
        <v>15</v>
      </c>
      <c r="O51" s="172">
        <f t="shared" si="19"/>
        <v>16</v>
      </c>
      <c r="P51" s="95">
        <f t="shared" si="25"/>
        <v>-29.511875299628286</v>
      </c>
      <c r="Q51" s="95">
        <f t="shared" si="26"/>
        <v>-472.24715190961251</v>
      </c>
      <c r="R51" s="95">
        <f t="shared" si="27"/>
        <v>-501.7590272092408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3.1214994917802999E-3</v>
      </c>
      <c r="F52" s="188">
        <v>3.0258132960866899E-3</v>
      </c>
      <c r="G52" s="189">
        <v>1.0316232980459701</v>
      </c>
      <c r="H52" s="42">
        <f t="shared" si="16"/>
        <v>0.85968608170497551</v>
      </c>
      <c r="I52" s="181">
        <f t="shared" ref="I52:J52" si="32">+I34</f>
        <v>0.35449895948429955</v>
      </c>
      <c r="J52" s="181">
        <f t="shared" si="32"/>
        <v>0.1975231583450805</v>
      </c>
      <c r="K52" s="48">
        <f>IF(+'Sismo UBC-94 y Dinamico'!O44=0,'Sismo UBC-94 y Dinamico'!M44,'Sismo UBC-94 y Dinamico'!O44)</f>
        <v>155.28133183952966</v>
      </c>
      <c r="L52" s="48">
        <f>IF(+'Sismo UBC-94 y Dinamico'!P44=0,'Sismo UBC-94 y Dinamico'!N44,'Sismo UBC-94 y Dinamico'!P44)</f>
        <v>2268.3819937452695</v>
      </c>
      <c r="M52" s="52">
        <f t="shared" si="24"/>
        <v>-270.96955166717856</v>
      </c>
      <c r="N52" s="172">
        <f t="shared" si="18"/>
        <v>15</v>
      </c>
      <c r="O52" s="172">
        <f t="shared" si="19"/>
        <v>16</v>
      </c>
      <c r="P52" s="95">
        <f t="shared" si="25"/>
        <v>-16.341099081355765</v>
      </c>
      <c r="Q52" s="95">
        <f t="shared" si="26"/>
        <v>-254.62845258582274</v>
      </c>
      <c r="R52" s="95">
        <f t="shared" si="27"/>
        <v>-270.96955166717851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2.3214830928650398E-2</v>
      </c>
      <c r="F60" s="185">
        <v>2.2059454239960901E-2</v>
      </c>
      <c r="G60" s="186">
        <v>1.05237557902029</v>
      </c>
      <c r="H60" s="42">
        <f>+E60/(1.2*F60)</f>
        <v>0.8769796491835733</v>
      </c>
      <c r="I60" s="181">
        <f>+I42</f>
        <v>-1.6106715192444998</v>
      </c>
      <c r="J60" s="181">
        <f>+J42</f>
        <v>0.30689470409233977</v>
      </c>
      <c r="K60" s="48">
        <f>+K42</f>
        <v>103.16713021787693</v>
      </c>
      <c r="L60" s="48">
        <f>+L42</f>
        <v>871.86153082829139</v>
      </c>
      <c r="M60" s="52">
        <f>-0.05*N60*K60*(H60-1)-0.05*O60*L60*(H60-1)</f>
        <v>95.324111522769996</v>
      </c>
      <c r="N60" s="172">
        <f>+$N$3</f>
        <v>15</v>
      </c>
      <c r="O60" s="172">
        <f>+$O$3</f>
        <v>16</v>
      </c>
      <c r="P60" s="95">
        <f>+K60*(J60-0.05*N60*H60)-K60*(J60-0.05*N60)</f>
        <v>9.5187424140953922</v>
      </c>
      <c r="Q60" s="95">
        <f>+L60*(I60-0.05*O60*H60)-L60*(I60-0.05*O60)</f>
        <v>85.805369108674313</v>
      </c>
      <c r="R60" s="95">
        <f>+P60+Q60</f>
        <v>95.324111522769698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2.9521437453775098E-2</v>
      </c>
      <c r="F61" s="185">
        <v>2.49892207987449E-2</v>
      </c>
      <c r="G61" s="186">
        <v>1.1813668657991101</v>
      </c>
      <c r="H61" s="42">
        <f t="shared" ref="H61:H70" si="33">+E61/(1.2*F61)</f>
        <v>0.98447238816592186</v>
      </c>
      <c r="I61" s="181">
        <f t="shared" ref="I61:J61" si="34">+I43</f>
        <v>0.87575614369309918</v>
      </c>
      <c r="J61" s="181">
        <f t="shared" si="34"/>
        <v>0.17555412329818054</v>
      </c>
      <c r="K61" s="48">
        <f t="shared" ref="K61:L64" si="35">+K43</f>
        <v>726.74175777537653</v>
      </c>
      <c r="L61" s="48">
        <f t="shared" si="35"/>
        <v>10818.493849808745</v>
      </c>
      <c r="M61" s="52">
        <f>-0.05*N61*K61*(H61-1)-0.05*O61*L61*(H61-1)</f>
        <v>142.8517214421172</v>
      </c>
      <c r="N61" s="172">
        <f t="shared" ref="N61:N70" si="36">+$N$3</f>
        <v>15</v>
      </c>
      <c r="O61" s="172">
        <f t="shared" ref="O61:O70" si="37">+$O$3</f>
        <v>16</v>
      </c>
      <c r="P61" s="95">
        <f>+K61*(J61-0.05*N61*H61)-K61*(J61-0.05*N61)</f>
        <v>8.4634229387637561</v>
      </c>
      <c r="Q61" s="95">
        <f>+L61*(I61-0.05*O61*H61)-L61*(I61-0.05*O61)</f>
        <v>134.38829850335367</v>
      </c>
      <c r="R61" s="95">
        <f>+P61+Q61</f>
        <v>142.85172144211742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2.83521438846429E-2</v>
      </c>
      <c r="F62" s="185">
        <v>2.39854103814959E-2</v>
      </c>
      <c r="G62" s="186">
        <v>1.1820579024370499</v>
      </c>
      <c r="H62" s="42">
        <f t="shared" si="33"/>
        <v>0.98504825203087554</v>
      </c>
      <c r="I62" s="181">
        <f t="shared" ref="I62:J62" si="38">+I44</f>
        <v>0.95599125850318067</v>
      </c>
      <c r="J62" s="181">
        <f t="shared" si="38"/>
        <v>0.12658654782978029</v>
      </c>
      <c r="K62" s="48">
        <f t="shared" si="35"/>
        <v>811.78920255447508</v>
      </c>
      <c r="L62" s="48">
        <f t="shared" si="35"/>
        <v>12114.766333583155</v>
      </c>
      <c r="M62" s="52">
        <f>-0.05*N62*K62*(H62-1)-0.05*O62*L62*(H62-1)</f>
        <v>154.01279701014374</v>
      </c>
      <c r="N62" s="172">
        <f t="shared" si="36"/>
        <v>15</v>
      </c>
      <c r="O62" s="172">
        <f t="shared" si="37"/>
        <v>16</v>
      </c>
      <c r="P62" s="95">
        <f>+K62*(J62-0.05*N62*H62)-K62*(J62-0.05*N62)</f>
        <v>9.1032506704883076</v>
      </c>
      <c r="Q62" s="95">
        <f>+L62*(I62-0.05*O62*H62)-L62*(I62-0.05*O62)</f>
        <v>144.90954633965498</v>
      </c>
      <c r="R62" s="95">
        <f>+P62+Q62</f>
        <v>154.01279701014329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2.65968555808727E-2</v>
      </c>
      <c r="F63" s="185">
        <v>2.24863434299554E-2</v>
      </c>
      <c r="G63" s="186">
        <v>1.18280038120566</v>
      </c>
      <c r="H63" s="42">
        <f t="shared" si="33"/>
        <v>0.98566698433805244</v>
      </c>
      <c r="I63" s="181">
        <f t="shared" ref="I63:J63" si="39">+I45</f>
        <v>0.92447899082385021</v>
      </c>
      <c r="J63" s="181">
        <f t="shared" si="39"/>
        <v>0.13562348128515023</v>
      </c>
      <c r="K63" s="48">
        <f t="shared" si="35"/>
        <v>670.30896985677396</v>
      </c>
      <c r="L63" s="48">
        <f t="shared" si="35"/>
        <v>10211.208089142307</v>
      </c>
      <c r="M63" s="52">
        <f>-0.05*N63*K63*(H63-1)-0.05*O63*L63*(H63-1)</f>
        <v>124.29158609774163</v>
      </c>
      <c r="N63" s="172">
        <f t="shared" si="36"/>
        <v>15</v>
      </c>
      <c r="O63" s="172">
        <f t="shared" si="37"/>
        <v>16</v>
      </c>
      <c r="P63" s="95">
        <f>+K63*(J63-0.05*N63*H63)-K63*(J63-0.05*N63)</f>
        <v>7.2056617224758384</v>
      </c>
      <c r="Q63" s="95">
        <f>+L63*(I63-0.05*O63*H63)-L63*(I63-0.05*O63)</f>
        <v>117.08592437526568</v>
      </c>
      <c r="R63" s="95">
        <f>+P63+Q63</f>
        <v>124.29158609774152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2.43016707491461E-2</v>
      </c>
      <c r="F64" s="185">
        <v>2.0533715013020599E-2</v>
      </c>
      <c r="G64" s="186">
        <v>1.18350092682869</v>
      </c>
      <c r="H64" s="42">
        <f t="shared" si="33"/>
        <v>0.98625077235724312</v>
      </c>
      <c r="I64" s="181">
        <f t="shared" ref="I64:J64" si="40">+I46</f>
        <v>0.89654452629294923</v>
      </c>
      <c r="J64" s="181">
        <f t="shared" si="40"/>
        <v>0.14403656280744048</v>
      </c>
      <c r="K64" s="48">
        <f t="shared" si="35"/>
        <v>564.54270637188665</v>
      </c>
      <c r="L64" s="48">
        <f t="shared" si="35"/>
        <v>8614.9840334838354</v>
      </c>
      <c r="M64" s="52">
        <f>-0.05*N64*K64*(H64-1)-0.05*O64*L64*(H64-1)</f>
        <v>100.58102093004192</v>
      </c>
      <c r="N64" s="172">
        <f t="shared" si="36"/>
        <v>15</v>
      </c>
      <c r="O64" s="172">
        <f t="shared" si="37"/>
        <v>16</v>
      </c>
      <c r="P64" s="95">
        <f>+K64*(J64-0.05*N64*H64)-K64*(J64-0.05*N64)</f>
        <v>5.8215196379738359</v>
      </c>
      <c r="Q64" s="95">
        <f>+L64*(I64-0.05*O64*H64)-L64*(I64-0.05*O64)</f>
        <v>94.759501292067853</v>
      </c>
      <c r="R64" s="95">
        <f>+P64+Q64</f>
        <v>100.58102093004169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2.1554807073379E-2</v>
      </c>
      <c r="F65" s="185">
        <v>1.82020521591903E-2</v>
      </c>
      <c r="G65" s="186">
        <v>1.1841965337131499</v>
      </c>
      <c r="H65" s="42">
        <f t="shared" si="33"/>
        <v>0.98683044476095327</v>
      </c>
      <c r="I65" s="181">
        <f t="shared" ref="I65:J65" si="41">+I47</f>
        <v>0.87236697959042075</v>
      </c>
      <c r="J65" s="181">
        <f t="shared" si="41"/>
        <v>0.15203417699726085</v>
      </c>
      <c r="K65" s="48">
        <f t="shared" ref="K65:L70" si="42">+K47</f>
        <v>488.78913025527862</v>
      </c>
      <c r="L65" s="48">
        <f t="shared" si="42"/>
        <v>7384.4484707220963</v>
      </c>
      <c r="M65" s="52">
        <f t="shared" ref="M65:M70" si="43">-0.05*N65*K65*(H65-1)-0.05*O65*L65*(H65-1)</f>
        <v>82.627773224411897</v>
      </c>
      <c r="N65" s="172">
        <f t="shared" si="36"/>
        <v>15</v>
      </c>
      <c r="O65" s="172">
        <f t="shared" si="37"/>
        <v>16</v>
      </c>
      <c r="P65" s="95">
        <f t="shared" ref="P65:P70" si="44">+K65*(J65-0.05*N65*H65)-K65*(J65-0.05*N65)</f>
        <v>4.8278515883569071</v>
      </c>
      <c r="Q65" s="95">
        <f t="shared" ref="Q65:Q70" si="45">+L65*(I65-0.05*O65*H65)-L65*(I65-0.05*O65)</f>
        <v>77.799921636055387</v>
      </c>
      <c r="R65" s="95">
        <f t="shared" ref="R65:R70" si="46">+P65+Q65</f>
        <v>82.627773224412294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1.8434379057473398E-2</v>
      </c>
      <c r="F66" s="185">
        <v>1.55584642223457E-2</v>
      </c>
      <c r="G66" s="186">
        <v>1.1848456758988599</v>
      </c>
      <c r="H66" s="42">
        <f t="shared" si="33"/>
        <v>0.98737139658238215</v>
      </c>
      <c r="I66" s="181">
        <f t="shared" ref="I66:J66" si="47">+I48</f>
        <v>0.85006183336975027</v>
      </c>
      <c r="J66" s="181">
        <f t="shared" si="47"/>
        <v>0.15971376283194072</v>
      </c>
      <c r="K66" s="48">
        <f t="shared" si="42"/>
        <v>427.17781237169942</v>
      </c>
      <c r="L66" s="48">
        <f t="shared" si="42"/>
        <v>6432.3017756052268</v>
      </c>
      <c r="M66" s="52">
        <f t="shared" si="43"/>
        <v>69.030784935181828</v>
      </c>
      <c r="N66" s="172">
        <f t="shared" si="36"/>
        <v>15</v>
      </c>
      <c r="O66" s="172">
        <f t="shared" si="37"/>
        <v>16</v>
      </c>
      <c r="P66" s="95">
        <f t="shared" si="44"/>
        <v>4.0459943859358134</v>
      </c>
      <c r="Q66" s="95">
        <f t="shared" si="45"/>
        <v>64.98479054924627</v>
      </c>
      <c r="R66" s="95">
        <f t="shared" si="46"/>
        <v>69.030784935182083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1.5008456604268699E-2</v>
      </c>
      <c r="F67" s="185">
        <v>1.2674620128973401E-2</v>
      </c>
      <c r="G67" s="186">
        <v>1.1841346290103201</v>
      </c>
      <c r="H67" s="42">
        <f t="shared" si="33"/>
        <v>0.98677885750860317</v>
      </c>
      <c r="I67" s="181">
        <f t="shared" ref="I67:J67" si="48">+I49</f>
        <v>0.75708959733982084</v>
      </c>
      <c r="J67" s="181">
        <f t="shared" si="48"/>
        <v>0.17437086452338946</v>
      </c>
      <c r="K67" s="48">
        <f t="shared" si="42"/>
        <v>372.21994999530079</v>
      </c>
      <c r="L67" s="48">
        <f t="shared" si="42"/>
        <v>5646.6228592872621</v>
      </c>
      <c r="M67" s="52">
        <f t="shared" si="43"/>
        <v>63.414724082023746</v>
      </c>
      <c r="N67" s="172">
        <f t="shared" si="36"/>
        <v>15</v>
      </c>
      <c r="O67" s="172">
        <f t="shared" si="37"/>
        <v>16</v>
      </c>
      <c r="P67" s="95">
        <f t="shared" si="44"/>
        <v>3.6908797477713335</v>
      </c>
      <c r="Q67" s="95">
        <f t="shared" si="45"/>
        <v>59.723844334252249</v>
      </c>
      <c r="R67" s="95">
        <f t="shared" si="46"/>
        <v>63.414724082023582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1.1341366603615099E-2</v>
      </c>
      <c r="F68" s="185">
        <v>9.6036905828419897E-3</v>
      </c>
      <c r="G68" s="186">
        <v>1.1809383596632801</v>
      </c>
      <c r="H68" s="42">
        <f t="shared" si="33"/>
        <v>0.98411529971939926</v>
      </c>
      <c r="I68" s="181">
        <f t="shared" ref="I68:J68" si="49">+I50</f>
        <v>0.69744561691402041</v>
      </c>
      <c r="J68" s="181">
        <f t="shared" si="49"/>
        <v>0.18162390394978001</v>
      </c>
      <c r="K68" s="48">
        <f t="shared" si="42"/>
        <v>317.52922026928678</v>
      </c>
      <c r="L68" s="48">
        <f t="shared" si="42"/>
        <v>4835.4334728450231</v>
      </c>
      <c r="M68" s="52">
        <f t="shared" si="43"/>
        <v>65.230421525074888</v>
      </c>
      <c r="N68" s="172">
        <f t="shared" si="36"/>
        <v>15</v>
      </c>
      <c r="O68" s="172">
        <f t="shared" si="37"/>
        <v>16</v>
      </c>
      <c r="P68" s="95">
        <f t="shared" si="44"/>
        <v>3.782892370732867</v>
      </c>
      <c r="Q68" s="95">
        <f t="shared" si="45"/>
        <v>61.447529154342192</v>
      </c>
      <c r="R68" s="95">
        <f t="shared" si="46"/>
        <v>65.230421525075059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7.5045874560215999E-3</v>
      </c>
      <c r="F69" s="185">
        <v>6.3905913715237702E-3</v>
      </c>
      <c r="G69" s="186">
        <v>1.1743181530056499</v>
      </c>
      <c r="H69" s="42">
        <f t="shared" si="33"/>
        <v>0.97859846083803681</v>
      </c>
      <c r="I69" s="181">
        <f t="shared" ref="I69:J69" si="50">+I51</f>
        <v>0.5992114822923309</v>
      </c>
      <c r="J69" s="181">
        <f t="shared" si="50"/>
        <v>0.18964810179419977</v>
      </c>
      <c r="K69" s="48">
        <f t="shared" si="42"/>
        <v>253.04552290907108</v>
      </c>
      <c r="L69" s="48">
        <f t="shared" si="42"/>
        <v>3796.1422187263784</v>
      </c>
      <c r="M69" s="52">
        <f t="shared" si="43"/>
        <v>69.056301837986993</v>
      </c>
      <c r="N69" s="172">
        <f t="shared" si="36"/>
        <v>15</v>
      </c>
      <c r="O69" s="172">
        <f t="shared" si="37"/>
        <v>16</v>
      </c>
      <c r="P69" s="95">
        <f t="shared" si="44"/>
        <v>4.0616727512234547</v>
      </c>
      <c r="Q69" s="95">
        <f t="shared" si="45"/>
        <v>64.994629086763553</v>
      </c>
      <c r="R69" s="95">
        <f t="shared" si="46"/>
        <v>69.056301837987007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3.6100917286096602E-3</v>
      </c>
      <c r="F70" s="188">
        <v>3.1159797786665601E-3</v>
      </c>
      <c r="G70" s="189">
        <v>1.1585735418843299</v>
      </c>
      <c r="H70" s="42">
        <f t="shared" si="33"/>
        <v>0.96547795157027316</v>
      </c>
      <c r="I70" s="181">
        <f t="shared" ref="I70:J70" si="51">+I52</f>
        <v>0.35449895948429955</v>
      </c>
      <c r="J70" s="181">
        <f t="shared" si="51"/>
        <v>0.1975231583450805</v>
      </c>
      <c r="K70" s="48">
        <f t="shared" si="42"/>
        <v>155.28133183952966</v>
      </c>
      <c r="L70" s="48">
        <f t="shared" si="42"/>
        <v>2268.3819937452695</v>
      </c>
      <c r="M70" s="52">
        <f t="shared" si="43"/>
        <v>66.66782667965316</v>
      </c>
      <c r="N70" s="172">
        <f t="shared" si="36"/>
        <v>15</v>
      </c>
      <c r="O70" s="172">
        <f t="shared" si="37"/>
        <v>16</v>
      </c>
      <c r="P70" s="95">
        <f t="shared" si="44"/>
        <v>4.0204722434975508</v>
      </c>
      <c r="Q70" s="95">
        <f t="shared" si="45"/>
        <v>62.64735443615541</v>
      </c>
      <c r="R70" s="95">
        <f t="shared" si="46"/>
        <v>66.667826679652961</v>
      </c>
    </row>
  </sheetData>
  <mergeCells count="1">
    <mergeCell ref="M2:P2"/>
  </mergeCells>
  <conditionalFormatting sqref="G1:G5 G19:G23 G37:G41 G55:G59 G71:G1048576">
    <cfRule type="cellIs" dxfId="4" priority="5" operator="greaterThan">
      <formula>1.2</formula>
    </cfRule>
  </conditionalFormatting>
  <conditionalFormatting sqref="G1:G23 G35:G41 G53:G59 G71:G1048576">
    <cfRule type="cellIs" dxfId="3" priority="4" operator="greaterThan">
      <formula>1.2</formula>
    </cfRule>
  </conditionalFormatting>
  <conditionalFormatting sqref="G24:G34">
    <cfRule type="cellIs" dxfId="2" priority="3" operator="greaterThan">
      <formula>1.2</formula>
    </cfRule>
  </conditionalFormatting>
  <conditionalFormatting sqref="G42:G52">
    <cfRule type="cellIs" dxfId="1" priority="2" operator="greaterThan">
      <formula>1.2</formula>
    </cfRule>
  </conditionalFormatting>
  <conditionalFormatting sqref="G60:G70">
    <cfRule type="cellIs" dxfId="0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1303968.3477046699</v>
      </c>
      <c r="E6" s="53">
        <f>0.7*D6</f>
        <v>912777.84339326888</v>
      </c>
      <c r="F6" s="1" t="str">
        <f>+IF(D6&lt;E5,"piso suave","ok")</f>
        <v>ok</v>
      </c>
      <c r="G6" s="53">
        <f>0.9*D6</f>
        <v>1173571.512934203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11269031.145711301</v>
      </c>
      <c r="E7" s="53">
        <f>0.7*D7</f>
        <v>7888321.8019979103</v>
      </c>
      <c r="F7" s="1" t="str">
        <f>+IF(D7&lt;E6,"piso suave","ok")</f>
        <v>ok</v>
      </c>
      <c r="G7" s="53">
        <f>0.9*D7</f>
        <v>10142128.031140171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15738220.857939901</v>
      </c>
      <c r="E8" s="53">
        <f>0.7*D8</f>
        <v>11016754.600557931</v>
      </c>
      <c r="F8" s="1" t="str">
        <f>+IF(D8&lt;E7,"piso suave","ok")</f>
        <v>ok</v>
      </c>
      <c r="G8" s="53">
        <f>0.9*D8</f>
        <v>14164398.77214591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17765666.535479199</v>
      </c>
      <c r="E9" s="53">
        <f>0.7*D9</f>
        <v>12435966.574835438</v>
      </c>
      <c r="F9" s="1" t="str">
        <f>+IF(D9&lt;E8,"piso suave","ok")</f>
        <v>ok</v>
      </c>
      <c r="G9" s="53">
        <f>0.9*D9</f>
        <v>15989099.881931279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18949806.402244199</v>
      </c>
      <c r="E10" s="53">
        <f>0.7*D10</f>
        <v>13264864.481570939</v>
      </c>
      <c r="F10" s="1" t="str">
        <f>+IF(D10&lt;E9,"piso suave","ok")</f>
        <v>ok</v>
      </c>
      <c r="G10" s="53">
        <f>0.9*D10</f>
        <v>17054825.76201978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19792982.0117485</v>
      </c>
      <c r="E11" s="53">
        <f t="shared" ref="E11:E16" si="0">0.7*D11</f>
        <v>13855087.408223949</v>
      </c>
      <c r="F11" s="1" t="str">
        <f t="shared" ref="F11:F16" si="1">+IF(D11&lt;E10,"piso suave","ok")</f>
        <v>ok</v>
      </c>
      <c r="G11" s="53">
        <f t="shared" ref="G11:G16" si="2">0.9*D11</f>
        <v>17813683.810573652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20421550.288851999</v>
      </c>
      <c r="E12" s="53">
        <f t="shared" si="0"/>
        <v>14295085.202196399</v>
      </c>
      <c r="F12" s="1" t="str">
        <f t="shared" si="1"/>
        <v>ok</v>
      </c>
      <c r="G12" s="53">
        <f t="shared" si="2"/>
        <v>18379395.259966798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20950073.455908898</v>
      </c>
      <c r="E13" s="53">
        <f t="shared" si="0"/>
        <v>14665051.419136228</v>
      </c>
      <c r="F13" s="1" t="str">
        <f t="shared" si="1"/>
        <v>ok</v>
      </c>
      <c r="G13" s="53">
        <f t="shared" si="2"/>
        <v>18855066.110318009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21514040.575626601</v>
      </c>
      <c r="E14" s="53">
        <f t="shared" si="0"/>
        <v>15059828.402938619</v>
      </c>
      <c r="F14" s="1" t="str">
        <f t="shared" si="1"/>
        <v>ok</v>
      </c>
      <c r="G14" s="53">
        <f t="shared" si="2"/>
        <v>19362636.51806394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22395874.4839499</v>
      </c>
      <c r="E15" s="53">
        <f t="shared" si="0"/>
        <v>15677112.138764929</v>
      </c>
      <c r="F15" s="1" t="str">
        <f t="shared" si="1"/>
        <v>ok</v>
      </c>
      <c r="G15" s="53">
        <f t="shared" si="2"/>
        <v>20156287.035554912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24040191.6809805</v>
      </c>
      <c r="E16" s="53">
        <f t="shared" si="0"/>
        <v>16828134.17668635</v>
      </c>
      <c r="F16" s="1" t="str">
        <f t="shared" si="1"/>
        <v>ok</v>
      </c>
      <c r="G16" s="53">
        <f t="shared" si="2"/>
        <v>21636172.512882449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1307204.2154671301</v>
      </c>
      <c r="E23" s="53">
        <f>0.7*D23</f>
        <v>915042.950826991</v>
      </c>
      <c r="F23" s="1" t="str">
        <f>+IF(D23&lt;E22,"piso suave","ok")</f>
        <v>ok</v>
      </c>
      <c r="G23" s="53">
        <f>0.9*D23</f>
        <v>1176483.7939204171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11049326.432838401</v>
      </c>
      <c r="E24" s="53">
        <f>0.7*D24</f>
        <v>7734528.50298688</v>
      </c>
      <c r="F24" s="1" t="str">
        <f>+IF(D24&lt;E23,"piso suave","ok")</f>
        <v>ok</v>
      </c>
      <c r="G24" s="53">
        <f>0.9*D24</f>
        <v>9944393.7895545606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15577939.3276831</v>
      </c>
      <c r="E25" s="53">
        <f>0.7*D25</f>
        <v>10904557.52937817</v>
      </c>
      <c r="F25" s="1" t="str">
        <f>+IF(D25&lt;E24,"piso suave","ok")</f>
        <v>ok</v>
      </c>
      <c r="G25" s="53">
        <f>0.9*D25</f>
        <v>14020145.394914791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17602233.2834015</v>
      </c>
      <c r="E26" s="53">
        <f>0.7*D26</f>
        <v>12321563.298381049</v>
      </c>
      <c r="F26" s="1" t="str">
        <f>+IF(D26&lt;E25,"piso suave","ok")</f>
        <v>ok</v>
      </c>
      <c r="G26" s="53">
        <f>0.9*D26</f>
        <v>15842009.95506135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18792959.8552102</v>
      </c>
      <c r="E27" s="53">
        <f>0.7*D27</f>
        <v>13155071.898647139</v>
      </c>
      <c r="F27" s="1" t="str">
        <f>+IF(D27&lt;E26,"piso suave","ok")</f>
        <v>ok</v>
      </c>
      <c r="G27" s="53">
        <f>0.9*D27</f>
        <v>16913663.869689181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19647663.151868202</v>
      </c>
      <c r="E28" s="53">
        <f t="shared" ref="E28:E33" si="4">0.7*D28</f>
        <v>13753364.206307741</v>
      </c>
      <c r="F28" s="1" t="str">
        <f t="shared" ref="F28:F33" si="5">+IF(D28&lt;E27,"piso suave","ok")</f>
        <v>ok</v>
      </c>
      <c r="G28" s="53">
        <f t="shared" ref="G28:G33" si="6">0.9*D28</f>
        <v>17682896.836681381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20357203.661782701</v>
      </c>
      <c r="E29" s="53">
        <f t="shared" si="4"/>
        <v>14250042.563247889</v>
      </c>
      <c r="F29" s="1" t="str">
        <f t="shared" si="5"/>
        <v>ok</v>
      </c>
      <c r="G29" s="53">
        <f t="shared" si="6"/>
        <v>18321483.29560443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20879187.8711739</v>
      </c>
      <c r="E30" s="53">
        <f t="shared" si="4"/>
        <v>14615431.50982173</v>
      </c>
      <c r="F30" s="1" t="str">
        <f t="shared" si="5"/>
        <v>ok</v>
      </c>
      <c r="G30" s="53">
        <f t="shared" si="6"/>
        <v>18791269.084056512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21434943.507846899</v>
      </c>
      <c r="E31" s="53">
        <f t="shared" si="4"/>
        <v>15004460.455492828</v>
      </c>
      <c r="F31" s="1" t="str">
        <f t="shared" si="5"/>
        <v>ok</v>
      </c>
      <c r="G31" s="53">
        <f t="shared" si="6"/>
        <v>19291449.15706221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22154197.486768201</v>
      </c>
      <c r="E32" s="53">
        <f t="shared" si="4"/>
        <v>15507938.24073774</v>
      </c>
      <c r="F32" s="1" t="str">
        <f t="shared" si="5"/>
        <v>ok</v>
      </c>
      <c r="G32" s="53">
        <f t="shared" si="6"/>
        <v>19938777.738091383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23927619.628830802</v>
      </c>
      <c r="E33" s="53">
        <f t="shared" si="4"/>
        <v>16749333.74018156</v>
      </c>
      <c r="F33" s="1" t="str">
        <f t="shared" si="5"/>
        <v>ok</v>
      </c>
      <c r="G33" s="53">
        <f t="shared" si="6"/>
        <v>21534857.66594772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1433452.8361736599</v>
      </c>
      <c r="E40" s="53">
        <f>0.7*D40</f>
        <v>1003416.9853215618</v>
      </c>
      <c r="F40" s="1" t="str">
        <f>+IF(D40&lt;E39,"piso suave","ok")</f>
        <v>ok</v>
      </c>
      <c r="G40" s="53">
        <f>0.9*D40</f>
        <v>1290107.552556294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10734889.708097</v>
      </c>
      <c r="E41" s="53">
        <f>0.7*D41</f>
        <v>7514422.7956678988</v>
      </c>
      <c r="F41" s="1" t="str">
        <f>+IF(D41&lt;E40,"piso suave","ok")</f>
        <v>ok</v>
      </c>
      <c r="G41" s="53">
        <f>0.9*D41</f>
        <v>9661400.7372872997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15192981.4814598</v>
      </c>
      <c r="E42" s="53">
        <f>0.7*D42</f>
        <v>10635087.037021859</v>
      </c>
      <c r="F42" s="1" t="str">
        <f>+IF(D42&lt;E41,"piso suave","ok")</f>
        <v>ok</v>
      </c>
      <c r="G42" s="53">
        <f>0.9*D42</f>
        <v>13673683.333313821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17141432.173900999</v>
      </c>
      <c r="E43" s="53">
        <f>0.7*D43</f>
        <v>11999002.521730699</v>
      </c>
      <c r="F43" s="1" t="str">
        <f>+IF(D43&lt;E42,"piso suave","ok")</f>
        <v>ok</v>
      </c>
      <c r="G43" s="53">
        <f>0.9*D43</f>
        <v>15427288.9565109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18276484.863981001</v>
      </c>
      <c r="E44" s="53">
        <f>0.7*D44</f>
        <v>12793539.4047867</v>
      </c>
      <c r="F44" s="1" t="str">
        <f>+IF(D44&lt;E43,"piso suave","ok")</f>
        <v>ok</v>
      </c>
      <c r="G44" s="53">
        <f>0.9*D44</f>
        <v>16448836.377582902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19077095.392578099</v>
      </c>
      <c r="E45" s="53">
        <f t="shared" ref="E45:E50" si="8">0.7*D45</f>
        <v>13353966.774804669</v>
      </c>
      <c r="F45" s="1" t="str">
        <f t="shared" ref="F45:F50" si="9">+IF(D45&lt;E44,"piso suave","ok")</f>
        <v>ok</v>
      </c>
      <c r="G45" s="53">
        <f t="shared" ref="G45:G50" si="10">0.9*D45</f>
        <v>17169385.853320289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20080784.108491801</v>
      </c>
      <c r="E46" s="53">
        <f t="shared" si="8"/>
        <v>14056548.875944261</v>
      </c>
      <c r="F46" s="1" t="str">
        <f t="shared" si="9"/>
        <v>ok</v>
      </c>
      <c r="G46" s="53">
        <f t="shared" si="10"/>
        <v>18072705.697642621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20901339.0140866</v>
      </c>
      <c r="E47" s="53">
        <f t="shared" si="8"/>
        <v>14630937.309860619</v>
      </c>
      <c r="F47" s="1" t="str">
        <f t="shared" si="9"/>
        <v>ok</v>
      </c>
      <c r="G47" s="53">
        <f t="shared" si="10"/>
        <v>18811205.112677939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21580781.217344798</v>
      </c>
      <c r="E48" s="53">
        <f t="shared" si="8"/>
        <v>15106546.852141358</v>
      </c>
      <c r="F48" s="1" t="str">
        <f t="shared" si="9"/>
        <v>ok</v>
      </c>
      <c r="G48" s="53">
        <f t="shared" si="10"/>
        <v>19422703.095610321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22964609.025811601</v>
      </c>
      <c r="E49" s="53">
        <f t="shared" si="8"/>
        <v>16075226.318068121</v>
      </c>
      <c r="F49" s="1" t="str">
        <f t="shared" si="9"/>
        <v>ok</v>
      </c>
      <c r="G49" s="53">
        <f t="shared" si="10"/>
        <v>20668148.123230442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24123975.365470599</v>
      </c>
      <c r="E50" s="53">
        <f t="shared" si="8"/>
        <v>16886782.75582942</v>
      </c>
      <c r="F50" s="1" t="str">
        <f t="shared" si="9"/>
        <v>ok</v>
      </c>
      <c r="G50" s="53">
        <f t="shared" si="10"/>
        <v>21711577.828923538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1487544.45580845</v>
      </c>
      <c r="E57" s="53">
        <f>0.7*D57</f>
        <v>1041281.1190659149</v>
      </c>
      <c r="F57" s="1" t="str">
        <f>+IF(D57&lt;E56,"piso suave","ok")</f>
        <v>ok</v>
      </c>
      <c r="G57" s="53">
        <f>0.9*D57</f>
        <v>1338790.010227605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11490225.9771608</v>
      </c>
      <c r="E58" s="53">
        <f>0.7*D58</f>
        <v>8043158.1840125592</v>
      </c>
      <c r="F58" s="1" t="str">
        <f>+IF(D58&lt;E57,"piso suave","ok")</f>
        <v>ok</v>
      </c>
      <c r="G58" s="53">
        <f>0.9*D58</f>
        <v>10341203.37944472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15879959.137597101</v>
      </c>
      <c r="E59" s="53">
        <f>0.7*D59</f>
        <v>11115971.39631797</v>
      </c>
      <c r="F59" s="1" t="str">
        <f>+IF(D59&lt;E58,"piso suave","ok")</f>
        <v>ok</v>
      </c>
      <c r="G59" s="53">
        <f>0.9*D59</f>
        <v>14291963.223837391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17420790.270454299</v>
      </c>
      <c r="E60" s="53">
        <f>0.7*D60</f>
        <v>12194553.189318009</v>
      </c>
      <c r="F60" s="1" t="str">
        <f>+IF(D60&lt;E59,"piso suave","ok")</f>
        <v>ok</v>
      </c>
      <c r="G60" s="53">
        <f>0.9*D60</f>
        <v>15678711.24340887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18283652.878546201</v>
      </c>
      <c r="E61" s="53">
        <f>0.7*D61</f>
        <v>12798557.014982339</v>
      </c>
      <c r="F61" s="1" t="str">
        <f>+IF(D61&lt;E60,"piso suave","ok")</f>
        <v>ok</v>
      </c>
      <c r="G61" s="53">
        <f>0.9*D61</f>
        <v>16455287.590691581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18919651.607764501</v>
      </c>
      <c r="E62" s="53">
        <f t="shared" ref="E62:E67" si="12">0.7*D62</f>
        <v>13243756.125435149</v>
      </c>
      <c r="F62" s="1" t="str">
        <f t="shared" ref="F62:F67" si="13">+IF(D62&lt;E61,"piso suave","ok")</f>
        <v>ok</v>
      </c>
      <c r="G62" s="53">
        <f t="shared" ref="G62:G67" si="14">0.9*D62</f>
        <v>17027686.44698805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19573896.084468301</v>
      </c>
      <c r="E63" s="53">
        <f t="shared" si="12"/>
        <v>13701727.259127811</v>
      </c>
      <c r="F63" s="1" t="str">
        <f t="shared" si="13"/>
        <v>ok</v>
      </c>
      <c r="G63" s="53">
        <f t="shared" si="14"/>
        <v>17616506.476021472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20220160.2468514</v>
      </c>
      <c r="E64" s="53">
        <f t="shared" si="12"/>
        <v>14154112.172795979</v>
      </c>
      <c r="F64" s="1" t="str">
        <f t="shared" si="13"/>
        <v>ok</v>
      </c>
      <c r="G64" s="53">
        <f t="shared" si="14"/>
        <v>18198144.222166259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20830393.5376077</v>
      </c>
      <c r="E65" s="53">
        <f t="shared" si="12"/>
        <v>14581275.476325389</v>
      </c>
      <c r="F65" s="1" t="str">
        <f t="shared" si="13"/>
        <v>ok</v>
      </c>
      <c r="G65" s="53">
        <f t="shared" si="14"/>
        <v>18747354.183846932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21948158.983188499</v>
      </c>
      <c r="E66" s="53">
        <f t="shared" si="12"/>
        <v>15363711.288231948</v>
      </c>
      <c r="F66" s="1" t="str">
        <f t="shared" si="13"/>
        <v>ok</v>
      </c>
      <c r="G66" s="53">
        <f t="shared" si="14"/>
        <v>19753343.084869649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23425904.688531801</v>
      </c>
      <c r="E67" s="53">
        <f t="shared" si="12"/>
        <v>16398133.281972259</v>
      </c>
      <c r="F67" s="1" t="str">
        <f t="shared" si="13"/>
        <v>ok</v>
      </c>
      <c r="G67" s="53">
        <f t="shared" si="14"/>
        <v>21083314.219678622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808.34942106097105</v>
      </c>
      <c r="E7" s="171">
        <f>+'Centers of Mass and Rigidity'!E5</f>
        <v>808.34942106097105</v>
      </c>
      <c r="F7" s="68">
        <f>+E7*9.807</f>
        <v>7927.4827723449434</v>
      </c>
      <c r="G7">
        <f>1.5*F7</f>
        <v>11891.224158517416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7412.7136913548502</v>
      </c>
      <c r="E8" s="171">
        <f>+'Centers of Mass and Rigidity'!E6</f>
        <v>7412.7136913548502</v>
      </c>
      <c r="F8" s="68">
        <f t="shared" ref="F8:F17" si="0">+E8*9.807</f>
        <v>72696.483171117012</v>
      </c>
      <c r="G8" s="68">
        <f t="shared" ref="G8:G17" si="1">1.5*F8</f>
        <v>109044.72475667551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9273.2348261151001</v>
      </c>
      <c r="E9" s="171">
        <f>+'Centers of Mass and Rigidity'!E7</f>
        <v>9273.2348261151001</v>
      </c>
      <c r="F9" s="68">
        <f t="shared" si="0"/>
        <v>90942.613939710791</v>
      </c>
      <c r="G9" s="68">
        <f t="shared" si="1"/>
        <v>136413.92090956619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9273.2348261151001</v>
      </c>
      <c r="E10" s="171">
        <f>+'Centers of Mass and Rigidity'!E8</f>
        <v>9273.2348261151001</v>
      </c>
      <c r="F10" s="68">
        <f t="shared" si="0"/>
        <v>90942.613939710791</v>
      </c>
      <c r="G10" s="68">
        <f t="shared" si="1"/>
        <v>136413.92090956619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9273.2348261151001</v>
      </c>
      <c r="E11" s="171">
        <f>+'Centers of Mass and Rigidity'!E9</f>
        <v>9273.2348261151001</v>
      </c>
      <c r="F11" s="68">
        <f t="shared" si="0"/>
        <v>90942.613939710791</v>
      </c>
      <c r="G11" s="68">
        <f t="shared" si="1"/>
        <v>136413.92090956619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9273.2348261151001</v>
      </c>
      <c r="E12" s="171">
        <f>+'Centers of Mass and Rigidity'!E10</f>
        <v>9273.2348261151001</v>
      </c>
      <c r="F12" s="158">
        <f t="shared" si="0"/>
        <v>90942.613939710791</v>
      </c>
      <c r="G12" s="158">
        <f t="shared" si="1"/>
        <v>136413.92090956619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9273.2348261151001</v>
      </c>
      <c r="E13" s="171">
        <f>+'Centers of Mass and Rigidity'!E11</f>
        <v>9273.2348261151001</v>
      </c>
      <c r="F13" s="158">
        <f t="shared" si="0"/>
        <v>90942.613939710791</v>
      </c>
      <c r="G13" s="158">
        <f t="shared" si="1"/>
        <v>136413.92090956619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9340.4137288587099</v>
      </c>
      <c r="E14" s="171">
        <f>+'Centers of Mass and Rigidity'!E12</f>
        <v>9340.4137288587099</v>
      </c>
      <c r="F14" s="158">
        <f t="shared" si="0"/>
        <v>91601.437438917375</v>
      </c>
      <c r="G14" s="158">
        <f t="shared" si="1"/>
        <v>137402.15615837608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9340.4137288587099</v>
      </c>
      <c r="E15" s="171">
        <f>+'Centers of Mass and Rigidity'!E13</f>
        <v>9340.4137288587099</v>
      </c>
      <c r="F15" s="158">
        <f t="shared" si="0"/>
        <v>91601.437438917375</v>
      </c>
      <c r="G15" s="158">
        <f t="shared" si="1"/>
        <v>137402.15615837608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9340.4137288587099</v>
      </c>
      <c r="E16" s="171">
        <f>+'Centers of Mass and Rigidity'!E14</f>
        <v>9340.4137288587099</v>
      </c>
      <c r="F16" s="158">
        <f t="shared" si="0"/>
        <v>91601.437438917375</v>
      </c>
      <c r="G16" s="158">
        <f t="shared" si="1"/>
        <v>137402.15615837608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9674.5357115606803</v>
      </c>
      <c r="E17" s="171">
        <f>+'Centers of Mass and Rigidity'!E15</f>
        <v>9674.5357115606803</v>
      </c>
      <c r="F17" s="158">
        <f t="shared" si="0"/>
        <v>94878.171723275591</v>
      </c>
      <c r="G17" s="158">
        <f t="shared" si="1"/>
        <v>142317.2575849134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905019.51968204346</v>
      </c>
      <c r="G18">
        <f>1.5*F18</f>
        <v>1357529.2795230653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17953.1999999982</v>
      </c>
      <c r="F5" s="172">
        <v>5.7186753110727304E-9</v>
      </c>
      <c r="G5" s="172">
        <v>-2.9260718292789501E-9</v>
      </c>
      <c r="H5" s="172">
        <v>-7.1971498982748003E-8</v>
      </c>
      <c r="I5" s="172">
        <v>116056.79999999701</v>
      </c>
      <c r="J5" s="172">
        <v>-251344.79999995499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301171.15875048999</v>
      </c>
      <c r="F6" s="172">
        <v>-4.2769948436216501E-6</v>
      </c>
      <c r="G6" s="172">
        <v>-4.1434759623371098E-8</v>
      </c>
      <c r="H6" s="172">
        <v>3.12754721107922E-5</v>
      </c>
      <c r="I6" s="172">
        <v>2243152.96960815</v>
      </c>
      <c r="J6" s="172">
        <v>-2512462.2669659099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580228.11750152905</v>
      </c>
      <c r="F7" s="172">
        <v>-6.0598995901273198E-6</v>
      </c>
      <c r="G7" s="172">
        <v>-2.08258796874361E-8</v>
      </c>
      <c r="H7" s="172">
        <v>4.3920847701883799E-5</v>
      </c>
      <c r="I7" s="172">
        <v>4338121.8842235701</v>
      </c>
      <c r="J7" s="172">
        <v>-4744972.8139436897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859285.07625070901</v>
      </c>
      <c r="F8" s="172">
        <v>-8.1515636907170102E-6</v>
      </c>
      <c r="G8" s="172">
        <v>-1.46715066762226E-7</v>
      </c>
      <c r="H8" s="172">
        <v>5.6253350066981498E-5</v>
      </c>
      <c r="I8" s="172">
        <v>6433090.7988239396</v>
      </c>
      <c r="J8" s="172">
        <v>-6977483.3609130001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1138342.0350009899</v>
      </c>
      <c r="F9" s="172">
        <v>-1.00406465435299E-5</v>
      </c>
      <c r="G9" s="172">
        <v>-2.09891311442334E-7</v>
      </c>
      <c r="H9" s="172">
        <v>6.7885526959798894E-5</v>
      </c>
      <c r="I9" s="172">
        <v>8528059.7134312</v>
      </c>
      <c r="J9" s="172">
        <v>-9209993.9078997504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1417398.9937515201</v>
      </c>
      <c r="F10" s="172">
        <v>-1.0904191981353499E-5</v>
      </c>
      <c r="G10" s="172">
        <v>-4.0809591439483499E-7</v>
      </c>
      <c r="H10" s="172">
        <v>7.1793561119193301E-5</v>
      </c>
      <c r="I10" s="172">
        <v>10623028.6280479</v>
      </c>
      <c r="J10" s="172">
        <v>-11442504.45489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1696455.9525009501</v>
      </c>
      <c r="F11" s="172">
        <v>-1.18207436230477E-5</v>
      </c>
      <c r="G11" s="172">
        <v>-4.7770845412742304E-7</v>
      </c>
      <c r="H11" s="172">
        <v>7.7370669259835295E-5</v>
      </c>
      <c r="I11" s="172">
        <v>12717997.5426558</v>
      </c>
      <c r="J11" s="172">
        <v>-13675015.0018696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1976171.99925126</v>
      </c>
      <c r="F12" s="172">
        <v>-1.3333174138097099E-5</v>
      </c>
      <c r="G12" s="172">
        <v>-5.7629257810276602E-7</v>
      </c>
      <c r="H12" s="172">
        <v>8.5954748101357796E-5</v>
      </c>
      <c r="I12" s="172">
        <v>14817259.4269557</v>
      </c>
      <c r="J12" s="172">
        <v>-15918070.9568657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2255888.04600171</v>
      </c>
      <c r="F13" s="172">
        <v>-1.27486496239726E-5</v>
      </c>
      <c r="G13" s="172">
        <v>-6.7183020746597301E-7</v>
      </c>
      <c r="H13" s="172">
        <v>8.0217903814627803E-5</v>
      </c>
      <c r="I13" s="172">
        <v>16916521.3112587</v>
      </c>
      <c r="J13" s="172">
        <v>-18161126.9118619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2535604.0927521</v>
      </c>
      <c r="F14" s="172">
        <v>-1.2942931903126001E-5</v>
      </c>
      <c r="G14" s="172">
        <v>-7.7152459709850497E-7</v>
      </c>
      <c r="H14" s="172">
        <v>7.9939229635783704E-5</v>
      </c>
      <c r="I14" s="172">
        <v>19015783.195560701</v>
      </c>
      <c r="J14" s="172">
        <v>-20404182.866857398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2891559.1395027302</v>
      </c>
      <c r="F15" s="172">
        <v>-1.2996501439488401E-5</v>
      </c>
      <c r="G15" s="172">
        <v>-8.1319353739672796E-7</v>
      </c>
      <c r="H15" s="172">
        <v>7.9599514720030102E-5</v>
      </c>
      <c r="I15" s="172">
        <v>21693981.779867399</v>
      </c>
      <c r="J15" s="172">
        <v>-23223762.6218649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6" t="s">
        <v>73</v>
      </c>
      <c r="F19" s="206"/>
      <c r="G19" s="206"/>
      <c r="H19" s="206"/>
      <c r="I19" s="206"/>
      <c r="J19" s="206"/>
      <c r="K19" s="206"/>
      <c r="L19" s="206"/>
      <c r="M19" s="206"/>
      <c r="N19" s="206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2.5273836366962898E-2</v>
      </c>
      <c r="F22" s="83">
        <f t="shared" ref="F22:F32" si="0">+E5</f>
        <v>17953.1999999982</v>
      </c>
      <c r="G22" s="83">
        <v>0</v>
      </c>
      <c r="H22" s="83">
        <f t="shared" ref="H22:H32" si="1">+E22</f>
        <v>2.5273836366962898E-2</v>
      </c>
      <c r="I22" s="83">
        <f t="shared" ref="I22:I31" si="2">+H22-H23</f>
        <v>-4.3572195791750229E-4</v>
      </c>
      <c r="J22" s="83">
        <f>IF(+'Sismo UBC-94 y Dinamico'!O15=0,'Sismo UBC-94 y Dinamico'!M15,'Sismo UBC-94 y Dinamico'!O15)</f>
        <v>1029.6717025406001</v>
      </c>
      <c r="K22" s="83">
        <f t="shared" ref="K22:K32" si="3">+C22</f>
        <v>38.5</v>
      </c>
      <c r="L22" s="83">
        <f>+G22*I22</f>
        <v>0</v>
      </c>
      <c r="M22" s="83">
        <f>+J22*K22</f>
        <v>39642.360547813107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2.5709558324880401E-2</v>
      </c>
      <c r="F23" s="165">
        <f t="shared" si="0"/>
        <v>301171.15875048999</v>
      </c>
      <c r="G23" s="83">
        <f>+F23</f>
        <v>301171.15875048999</v>
      </c>
      <c r="H23" s="83">
        <f t="shared" si="1"/>
        <v>2.5709558324880401E-2</v>
      </c>
      <c r="I23" s="83">
        <f t="shared" si="2"/>
        <v>9.8420448134210053E-4</v>
      </c>
      <c r="J23" s="172">
        <f>IF(+'Sismo UBC-94 y Dinamico'!O16=0,'Sismo UBC-94 y Dinamico'!M16,'Sismo UBC-94 y Dinamico'!O16)</f>
        <v>10767.7982941666</v>
      </c>
      <c r="K23" s="172">
        <f t="shared" si="3"/>
        <v>35.5</v>
      </c>
      <c r="L23" s="83">
        <f t="shared" ref="L23:L32" si="4">+G23*I23</f>
        <v>296.4140040932254</v>
      </c>
      <c r="M23" s="83">
        <f t="shared" ref="M23:M32" si="5">+J23*K23</f>
        <v>382256.83944291429</v>
      </c>
      <c r="N23" s="83">
        <f t="shared" ref="N23:N32" si="6">+L23/M23</f>
        <v>7.754315253723314E-4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2.47253538435383E-2</v>
      </c>
      <c r="F24" s="165">
        <f t="shared" si="0"/>
        <v>580228.11750152905</v>
      </c>
      <c r="G24" s="83">
        <f>+F24-F23</f>
        <v>279056.95875103906</v>
      </c>
      <c r="H24" s="83">
        <f t="shared" si="1"/>
        <v>2.47253538435383E-2</v>
      </c>
      <c r="I24" s="83">
        <f t="shared" si="2"/>
        <v>1.4982440998277009E-3</v>
      </c>
      <c r="J24" s="172">
        <f>IF(+'Sismo UBC-94 y Dinamico'!O17=0,'Sismo UBC-94 y Dinamico'!M17,'Sismo UBC-94 y Dinamico'!O17)</f>
        <v>12027.118844043101</v>
      </c>
      <c r="K24" s="172">
        <f t="shared" si="3"/>
        <v>32</v>
      </c>
      <c r="L24" s="83">
        <f t="shared" si="4"/>
        <v>418.09544196460638</v>
      </c>
      <c r="M24" s="83">
        <f t="shared" si="5"/>
        <v>384867.80300937925</v>
      </c>
      <c r="N24" s="83">
        <f t="shared" si="6"/>
        <v>1.0863352005426586E-3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2.3227109743710599E-2</v>
      </c>
      <c r="F25" s="165">
        <f t="shared" si="0"/>
        <v>859285.07625070901</v>
      </c>
      <c r="G25" s="83">
        <f>+F25-F24</f>
        <v>279056.95874917996</v>
      </c>
      <c r="H25" s="83">
        <f t="shared" si="1"/>
        <v>2.3227109743710599E-2</v>
      </c>
      <c r="I25" s="83">
        <f t="shared" si="2"/>
        <v>1.9705978087104989E-3</v>
      </c>
      <c r="J25" s="172">
        <f>IF(+'Sismo UBC-94 y Dinamico'!O18=0,'Sismo UBC-94 y Dinamico'!M18,'Sismo UBC-94 y Dinamico'!O18)</f>
        <v>10237.6077417298</v>
      </c>
      <c r="K25" s="172">
        <f t="shared" si="3"/>
        <v>28.5</v>
      </c>
      <c r="L25" s="83">
        <f t="shared" si="4"/>
        <v>549.90903141655008</v>
      </c>
      <c r="M25" s="83">
        <f t="shared" si="5"/>
        <v>291771.82063929929</v>
      </c>
      <c r="N25" s="83">
        <f t="shared" si="6"/>
        <v>1.8847228982279648E-3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2.12565119350001E-2</v>
      </c>
      <c r="F26" s="165">
        <f t="shared" si="0"/>
        <v>1138342.0350009899</v>
      </c>
      <c r="G26" s="83">
        <f>+F26-F25</f>
        <v>279056.9587502809</v>
      </c>
      <c r="H26" s="83">
        <f t="shared" si="1"/>
        <v>2.12565119350001E-2</v>
      </c>
      <c r="I26" s="83">
        <f t="shared" si="2"/>
        <v>2.3695553633148007E-3</v>
      </c>
      <c r="J26" s="172">
        <f>IF(+'Sismo UBC-94 y Dinamico'!O19=0,'Sismo UBC-94 y Dinamico'!M19,'Sismo UBC-94 y Dinamico'!O19)</f>
        <v>8727.5873059391015</v>
      </c>
      <c r="K26" s="172">
        <f t="shared" si="3"/>
        <v>25</v>
      </c>
      <c r="L26" s="83">
        <f t="shared" si="4"/>
        <v>661.24091327704525</v>
      </c>
      <c r="M26" s="83">
        <f t="shared" si="5"/>
        <v>218189.68264847755</v>
      </c>
      <c r="N26" s="83">
        <f t="shared" si="6"/>
        <v>3.0305782805613293E-3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1.88869565716853E-2</v>
      </c>
      <c r="F27" s="165">
        <f t="shared" si="0"/>
        <v>1417398.9937515201</v>
      </c>
      <c r="G27" s="165">
        <f t="shared" ref="G27:G32" si="8">+F27-F26</f>
        <v>279056.95875053015</v>
      </c>
      <c r="H27" s="165">
        <f t="shared" si="1"/>
        <v>1.88869565716853E-2</v>
      </c>
      <c r="I27" s="165">
        <f t="shared" si="2"/>
        <v>2.7033073925895011E-3</v>
      </c>
      <c r="J27" s="172">
        <f>IF(+'Sismo UBC-94 y Dinamico'!O20=0,'Sismo UBC-94 y Dinamico'!M20,'Sismo UBC-94 y Dinamico'!O20)</f>
        <v>7534.5244743153962</v>
      </c>
      <c r="K27" s="172">
        <f t="shared" si="3"/>
        <v>21.5</v>
      </c>
      <c r="L27" s="165">
        <f t="shared" si="4"/>
        <v>754.37673954385161</v>
      </c>
      <c r="M27" s="165">
        <f t="shared" si="5"/>
        <v>161992.27619778103</v>
      </c>
      <c r="N27" s="165">
        <f t="shared" si="6"/>
        <v>4.6568685696027345E-3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1.6183649179095799E-2</v>
      </c>
      <c r="F28" s="165">
        <f t="shared" si="0"/>
        <v>1696455.9525009501</v>
      </c>
      <c r="G28" s="165">
        <f t="shared" si="8"/>
        <v>279056.95874943002</v>
      </c>
      <c r="H28" s="165">
        <f t="shared" si="1"/>
        <v>1.6183649179095799E-2</v>
      </c>
      <c r="I28" s="165">
        <f t="shared" si="2"/>
        <v>2.9759608393423991E-3</v>
      </c>
      <c r="J28" s="172">
        <f>IF(+'Sismo UBC-94 y Dinamico'!O21=0,'Sismo UBC-94 y Dinamico'!M21,'Sismo UBC-94 y Dinamico'!O21)</f>
        <v>6564.6694431760043</v>
      </c>
      <c r="K28" s="172">
        <f t="shared" si="3"/>
        <v>18</v>
      </c>
      <c r="L28" s="165">
        <f t="shared" si="4"/>
        <v>830.46258118429103</v>
      </c>
      <c r="M28" s="165">
        <f t="shared" si="5"/>
        <v>118164.04997716808</v>
      </c>
      <c r="N28" s="165">
        <f t="shared" si="6"/>
        <v>7.0280477128598327E-3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1.3207688339753399E-2</v>
      </c>
      <c r="F29" s="165">
        <f t="shared" si="0"/>
        <v>1976171.99925126</v>
      </c>
      <c r="G29" s="165">
        <f t="shared" si="8"/>
        <v>279716.04675030988</v>
      </c>
      <c r="H29" s="165">
        <f t="shared" si="1"/>
        <v>1.3207688339753399E-2</v>
      </c>
      <c r="I29" s="165">
        <f t="shared" si="2"/>
        <v>3.1925903782357989E-3</v>
      </c>
      <c r="J29" s="172">
        <f>IF(+'Sismo UBC-94 y Dinamico'!O22=0,'Sismo UBC-94 y Dinamico'!M22,'Sismo UBC-94 y Dinamico'!O22)</f>
        <v>5721.6885113876997</v>
      </c>
      <c r="K29" s="172">
        <f t="shared" si="3"/>
        <v>14.5</v>
      </c>
      <c r="L29" s="165">
        <f t="shared" si="4"/>
        <v>893.01875949319424</v>
      </c>
      <c r="M29" s="165">
        <f t="shared" si="5"/>
        <v>82964.483415121649</v>
      </c>
      <c r="N29" s="165">
        <f t="shared" si="6"/>
        <v>1.0763868136499802E-2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1.00150979615176E-2</v>
      </c>
      <c r="F30" s="165">
        <f t="shared" si="0"/>
        <v>2255888.04600171</v>
      </c>
      <c r="G30" s="165">
        <f t="shared" si="8"/>
        <v>279716.04675045004</v>
      </c>
      <c r="H30" s="165">
        <f t="shared" si="1"/>
        <v>1.00150979615176E-2</v>
      </c>
      <c r="I30" s="165">
        <f t="shared" si="2"/>
        <v>3.3491696275306506E-3</v>
      </c>
      <c r="J30" s="172">
        <f>IF(+'Sismo UBC-94 y Dinamico'!O23=0,'Sismo UBC-94 y Dinamico'!M23,'Sismo UBC-94 y Dinamico'!O23)</f>
        <v>4838.2568744512027</v>
      </c>
      <c r="K30" s="172">
        <f t="shared" si="3"/>
        <v>11</v>
      </c>
      <c r="L30" s="165">
        <f t="shared" si="4"/>
        <v>936.81648810955085</v>
      </c>
      <c r="M30" s="165">
        <f t="shared" si="5"/>
        <v>53220.82561896323</v>
      </c>
      <c r="N30" s="165">
        <f t="shared" si="6"/>
        <v>1.7602441848924486E-2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6.6659283339869499E-3</v>
      </c>
      <c r="F31" s="165">
        <f t="shared" si="0"/>
        <v>2535604.0927521</v>
      </c>
      <c r="G31" s="165">
        <f t="shared" si="8"/>
        <v>279716.04675038997</v>
      </c>
      <c r="H31" s="165">
        <f t="shared" si="1"/>
        <v>6.6659283339869499E-3</v>
      </c>
      <c r="I31" s="165">
        <f t="shared" si="2"/>
        <v>3.4174760101224199E-3</v>
      </c>
      <c r="J31" s="172">
        <f>IF(+'Sismo UBC-94 y Dinamico'!O24=0,'Sismo UBC-94 y Dinamico'!M24,'Sismo UBC-94 y Dinamico'!O24)</f>
        <v>3744.0623391970003</v>
      </c>
      <c r="K31" s="172">
        <f t="shared" si="3"/>
        <v>7.5</v>
      </c>
      <c r="L31" s="165">
        <f t="shared" si="4"/>
        <v>955.92287941573898</v>
      </c>
      <c r="M31" s="165">
        <f t="shared" si="5"/>
        <v>28080.467543977502</v>
      </c>
      <c r="N31" s="165">
        <f t="shared" si="6"/>
        <v>3.4042270767701603E-2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3.24845232386453E-3</v>
      </c>
      <c r="F32" s="165">
        <f t="shared" si="0"/>
        <v>2891559.1395027302</v>
      </c>
      <c r="G32" s="165">
        <f t="shared" si="8"/>
        <v>355955.04675063025</v>
      </c>
      <c r="H32" s="165">
        <f t="shared" si="1"/>
        <v>3.24845232386453E-3</v>
      </c>
      <c r="I32" s="165">
        <f>+H32-I33</f>
        <v>3.24845232386453E-3</v>
      </c>
      <c r="J32" s="172">
        <f>IF(+'Sismo UBC-94 y Dinamico'!O25=0,'Sismo UBC-94 y Dinamico'!M25,'Sismo UBC-94 y Dinamico'!O25)</f>
        <v>2197.5157089489949</v>
      </c>
      <c r="K32" s="172">
        <f t="shared" si="3"/>
        <v>4</v>
      </c>
      <c r="L32" s="165">
        <f t="shared" si="4"/>
        <v>1156.3029988083922</v>
      </c>
      <c r="M32" s="165">
        <f t="shared" si="5"/>
        <v>8790.0628357959795</v>
      </c>
      <c r="N32" s="165">
        <f t="shared" si="6"/>
        <v>0.13154661353495134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6" t="s">
        <v>73</v>
      </c>
      <c r="F37" s="206"/>
      <c r="G37" s="206"/>
      <c r="H37" s="206"/>
      <c r="I37" s="206"/>
      <c r="J37" s="206"/>
      <c r="K37" s="206"/>
      <c r="L37" s="206"/>
      <c r="M37" s="206"/>
      <c r="N37" s="206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2.5978750368885001E-2</v>
      </c>
      <c r="F40" s="165">
        <f t="shared" ref="F40:F50" si="9">+E5</f>
        <v>17953.1999999982</v>
      </c>
      <c r="G40" s="165">
        <v>0</v>
      </c>
      <c r="H40" s="165">
        <f t="shared" ref="H40:H50" si="10">+E40</f>
        <v>2.5978750368885001E-2</v>
      </c>
      <c r="I40" s="165">
        <f t="shared" ref="I40:I49" si="11">+H40-H41</f>
        <v>-4.3815765775399862E-4</v>
      </c>
      <c r="J40" s="165">
        <f>+J22</f>
        <v>1029.6717025406001</v>
      </c>
      <c r="K40" s="165">
        <f t="shared" ref="K40:K50" si="12">+C40</f>
        <v>38.5</v>
      </c>
      <c r="L40" s="165">
        <f>+G40*I40</f>
        <v>0</v>
      </c>
      <c r="M40" s="165">
        <f>+J40*K40</f>
        <v>39642.360547813107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2.6416908026638999E-2</v>
      </c>
      <c r="F41" s="165">
        <f t="shared" si="9"/>
        <v>301171.15875048999</v>
      </c>
      <c r="G41" s="165">
        <f>+F41</f>
        <v>301171.15875048999</v>
      </c>
      <c r="H41" s="165">
        <f t="shared" si="10"/>
        <v>2.6416908026638999E-2</v>
      </c>
      <c r="I41" s="165">
        <f t="shared" si="11"/>
        <v>9.8817047775439856E-4</v>
      </c>
      <c r="J41" s="172">
        <f t="shared" ref="J41:J50" si="13">+J23</f>
        <v>10767.7982941666</v>
      </c>
      <c r="K41" s="172">
        <f t="shared" si="12"/>
        <v>35.5</v>
      </c>
      <c r="L41" s="165">
        <f t="shared" ref="L41:L50" si="14">+G41*I41</f>
        <v>297.60844782831754</v>
      </c>
      <c r="M41" s="165">
        <f t="shared" ref="M41:M50" si="15">+J41*K41</f>
        <v>382256.83944291429</v>
      </c>
      <c r="N41" s="165">
        <f t="shared" ref="N41:N50" si="16">+L41/M41</f>
        <v>7.7855624051629809E-4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2.5428737548884601E-2</v>
      </c>
      <c r="F42" s="165">
        <f t="shared" si="9"/>
        <v>580228.11750152905</v>
      </c>
      <c r="G42" s="165">
        <f>+F42-F41</f>
        <v>279056.95875103906</v>
      </c>
      <c r="H42" s="165">
        <f t="shared" si="10"/>
        <v>2.5428737548884601E-2</v>
      </c>
      <c r="I42" s="165">
        <f t="shared" si="11"/>
        <v>1.5198958415107017E-3</v>
      </c>
      <c r="J42" s="172">
        <f t="shared" si="13"/>
        <v>12027.118844043101</v>
      </c>
      <c r="K42" s="172">
        <f t="shared" si="12"/>
        <v>32</v>
      </c>
      <c r="L42" s="165">
        <f t="shared" si="14"/>
        <v>424.13751115032767</v>
      </c>
      <c r="M42" s="165">
        <f t="shared" si="15"/>
        <v>384867.80300937925</v>
      </c>
      <c r="N42" s="165">
        <f t="shared" si="16"/>
        <v>1.1020342773125956E-3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2.3908841707373899E-2</v>
      </c>
      <c r="F43" s="165">
        <f t="shared" si="9"/>
        <v>859285.07625070901</v>
      </c>
      <c r="G43" s="165">
        <f t="shared" ref="G43:G50" si="18">+F43-F42</f>
        <v>279056.95874917996</v>
      </c>
      <c r="H43" s="165">
        <f t="shared" si="10"/>
        <v>2.3908841707373899E-2</v>
      </c>
      <c r="I43" s="165">
        <f t="shared" si="11"/>
        <v>2.0079127087907003E-3</v>
      </c>
      <c r="J43" s="172">
        <f t="shared" si="13"/>
        <v>10237.6077417298</v>
      </c>
      <c r="K43" s="172">
        <f t="shared" si="12"/>
        <v>28.5</v>
      </c>
      <c r="L43" s="165">
        <f t="shared" si="14"/>
        <v>560.3220139489606</v>
      </c>
      <c r="M43" s="165">
        <f t="shared" si="15"/>
        <v>291771.82063929929</v>
      </c>
      <c r="N43" s="165">
        <f t="shared" si="16"/>
        <v>1.9204116858209364E-3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2.1900928998583199E-2</v>
      </c>
      <c r="F44" s="165">
        <f t="shared" si="9"/>
        <v>1138342.0350009899</v>
      </c>
      <c r="G44" s="165">
        <f t="shared" si="18"/>
        <v>279056.9587502809</v>
      </c>
      <c r="H44" s="165">
        <f t="shared" si="10"/>
        <v>2.1900928998583199E-2</v>
      </c>
      <c r="I44" s="165">
        <f t="shared" si="11"/>
        <v>2.4207559328214973E-3</v>
      </c>
      <c r="J44" s="172">
        <f t="shared" si="13"/>
        <v>8727.5873059391015</v>
      </c>
      <c r="K44" s="172">
        <f t="shared" si="12"/>
        <v>25</v>
      </c>
      <c r="L44" s="165">
        <f t="shared" si="14"/>
        <v>675.52878848986632</v>
      </c>
      <c r="M44" s="165">
        <f t="shared" si="15"/>
        <v>218189.68264847755</v>
      </c>
      <c r="N44" s="165">
        <f t="shared" si="16"/>
        <v>3.0960620148946347E-3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1.9480173065761702E-2</v>
      </c>
      <c r="F45" s="165">
        <f t="shared" si="9"/>
        <v>1417398.9937515201</v>
      </c>
      <c r="G45" s="165">
        <f t="shared" si="18"/>
        <v>279056.95875053015</v>
      </c>
      <c r="H45" s="165">
        <f t="shared" si="10"/>
        <v>1.9480173065761702E-2</v>
      </c>
      <c r="I45" s="165">
        <f t="shared" si="11"/>
        <v>2.7673024762272028E-3</v>
      </c>
      <c r="J45" s="172">
        <f t="shared" si="13"/>
        <v>7534.5244743153962</v>
      </c>
      <c r="K45" s="172">
        <f t="shared" si="12"/>
        <v>21.5</v>
      </c>
      <c r="L45" s="165">
        <f t="shared" si="14"/>
        <v>772.2350129587744</v>
      </c>
      <c r="M45" s="165">
        <f t="shared" si="15"/>
        <v>161992.27619778103</v>
      </c>
      <c r="N45" s="165">
        <f t="shared" si="16"/>
        <v>4.7671100813222135E-3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1.6712870589534499E-2</v>
      </c>
      <c r="F46" s="165">
        <f t="shared" si="9"/>
        <v>1696455.9525009501</v>
      </c>
      <c r="G46" s="165">
        <f t="shared" si="18"/>
        <v>279056.95874943002</v>
      </c>
      <c r="H46" s="165">
        <f t="shared" si="10"/>
        <v>1.6712870589534499E-2</v>
      </c>
      <c r="I46" s="165">
        <f t="shared" si="11"/>
        <v>3.051663042017299E-3</v>
      </c>
      <c r="J46" s="172">
        <f t="shared" si="13"/>
        <v>6564.6694431760043</v>
      </c>
      <c r="K46" s="172">
        <f t="shared" si="12"/>
        <v>18</v>
      </c>
      <c r="L46" s="165">
        <f t="shared" si="14"/>
        <v>851.58780763338154</v>
      </c>
      <c r="M46" s="165">
        <f t="shared" si="15"/>
        <v>118164.04997716808</v>
      </c>
      <c r="N46" s="165">
        <f t="shared" si="16"/>
        <v>7.2068265077062542E-3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1.36612075475172E-2</v>
      </c>
      <c r="F47" s="165">
        <f t="shared" si="9"/>
        <v>1976171.99925126</v>
      </c>
      <c r="G47" s="165">
        <f t="shared" si="18"/>
        <v>279716.04675030988</v>
      </c>
      <c r="H47" s="165">
        <f t="shared" si="10"/>
        <v>1.36612075475172E-2</v>
      </c>
      <c r="I47" s="165">
        <f t="shared" si="11"/>
        <v>3.2805898248860002E-3</v>
      </c>
      <c r="J47" s="172">
        <f t="shared" si="13"/>
        <v>5721.6885113876997</v>
      </c>
      <c r="K47" s="172">
        <f t="shared" si="12"/>
        <v>14.5</v>
      </c>
      <c r="L47" s="165">
        <f t="shared" si="14"/>
        <v>917.63361682640334</v>
      </c>
      <c r="M47" s="165">
        <f t="shared" si="15"/>
        <v>82964.483415121649</v>
      </c>
      <c r="N47" s="165">
        <f t="shared" si="16"/>
        <v>1.1060559640140535E-2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1.03806177226312E-2</v>
      </c>
      <c r="F48" s="165">
        <f t="shared" si="9"/>
        <v>2255888.04600171</v>
      </c>
      <c r="G48" s="165">
        <f t="shared" si="18"/>
        <v>279716.04675045004</v>
      </c>
      <c r="H48" s="165">
        <f t="shared" si="10"/>
        <v>1.03806177226312E-2</v>
      </c>
      <c r="I48" s="165">
        <f t="shared" si="11"/>
        <v>3.45094377248302E-3</v>
      </c>
      <c r="J48" s="172">
        <f t="shared" si="13"/>
        <v>4838.2568744512027</v>
      </c>
      <c r="K48" s="172">
        <f t="shared" si="12"/>
        <v>11</v>
      </c>
      <c r="L48" s="165">
        <f t="shared" si="14"/>
        <v>965.28434959703486</v>
      </c>
      <c r="M48" s="165">
        <f t="shared" si="15"/>
        <v>53220.82561896323</v>
      </c>
      <c r="N48" s="165">
        <f t="shared" si="16"/>
        <v>1.8137342635531989E-2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6.9296739501481797E-3</v>
      </c>
      <c r="F49" s="165">
        <f t="shared" si="9"/>
        <v>2535604.0927521</v>
      </c>
      <c r="G49" s="165">
        <f t="shared" si="18"/>
        <v>279716.04675038997</v>
      </c>
      <c r="H49" s="165">
        <f t="shared" si="10"/>
        <v>6.9296739501481797E-3</v>
      </c>
      <c r="I49" s="165">
        <f t="shared" si="11"/>
        <v>3.5352960284381995E-3</v>
      </c>
      <c r="J49" s="172">
        <f t="shared" si="13"/>
        <v>3744.0623391970003</v>
      </c>
      <c r="K49" s="172">
        <f t="shared" si="12"/>
        <v>7.5</v>
      </c>
      <c r="L49" s="165">
        <f t="shared" si="14"/>
        <v>988.87902916708742</v>
      </c>
      <c r="M49" s="165">
        <f t="shared" si="15"/>
        <v>28080.467543977502</v>
      </c>
      <c r="N49" s="165">
        <f t="shared" si="16"/>
        <v>3.5215903282891564E-2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3.3943779217099801E-3</v>
      </c>
      <c r="F50" s="165">
        <f t="shared" si="9"/>
        <v>2891559.1395027302</v>
      </c>
      <c r="G50" s="165">
        <f t="shared" si="18"/>
        <v>355955.04675063025</v>
      </c>
      <c r="H50" s="165">
        <f t="shared" si="10"/>
        <v>3.3943779217099801E-3</v>
      </c>
      <c r="I50" s="165">
        <f>+H50-I51</f>
        <v>3.3943779217099801E-3</v>
      </c>
      <c r="J50" s="172">
        <f t="shared" si="13"/>
        <v>2197.5157089489949</v>
      </c>
      <c r="K50" s="172">
        <f t="shared" si="12"/>
        <v>4</v>
      </c>
      <c r="L50" s="165">
        <f t="shared" si="14"/>
        <v>1208.2459518115832</v>
      </c>
      <c r="M50" s="165">
        <f t="shared" si="15"/>
        <v>8790.0628357959795</v>
      </c>
      <c r="N50" s="165">
        <f t="shared" si="16"/>
        <v>0.13745589472821682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6" t="s">
        <v>73</v>
      </c>
      <c r="F55" s="206"/>
      <c r="G55" s="206"/>
      <c r="H55" s="206"/>
      <c r="I55" s="206"/>
      <c r="J55" s="206"/>
      <c r="K55" s="206"/>
      <c r="L55" s="206"/>
      <c r="M55" s="206"/>
      <c r="N55" s="206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2.4526041265698201E-2</v>
      </c>
      <c r="F58" s="83">
        <f t="shared" ref="F58:F68" si="19">+E5</f>
        <v>17953.1999999982</v>
      </c>
      <c r="G58" s="83">
        <v>0</v>
      </c>
      <c r="H58" s="83">
        <f>+E58</f>
        <v>2.4526041265698201E-2</v>
      </c>
      <c r="I58" s="83">
        <f>+H58-H59</f>
        <v>1.8924851059800088E-4</v>
      </c>
      <c r="J58" s="83">
        <f>IF(+'Sismo UBC-94 y Dinamico'!P34=0,'Sismo UBC-94 y Dinamico'!N34,'Sismo UBC-94 y Dinamico'!P34)</f>
        <v>871.86153082829139</v>
      </c>
      <c r="K58" s="83">
        <f t="shared" ref="K58:K68" si="20">+C58</f>
        <v>38.5</v>
      </c>
      <c r="L58" s="83">
        <f>+G58*I58</f>
        <v>0</v>
      </c>
      <c r="M58" s="83">
        <f>+J58*K58</f>
        <v>33566.668936889218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2.4336792755100201E-2</v>
      </c>
      <c r="F59" s="165">
        <f t="shared" si="19"/>
        <v>301171.15875048999</v>
      </c>
      <c r="G59" s="83">
        <f>+F59</f>
        <v>301171.15875048999</v>
      </c>
      <c r="H59" s="83">
        <f t="shared" ref="H59:H68" si="21">+E59</f>
        <v>2.4336792755100201E-2</v>
      </c>
      <c r="I59" s="83">
        <f>+H59-H60</f>
        <v>1.0070143558180006E-3</v>
      </c>
      <c r="J59" s="172">
        <f>IF(+'Sismo UBC-94 y Dinamico'!P35=0,'Sismo UBC-94 y Dinamico'!N35,'Sismo UBC-94 y Dinamico'!P35)</f>
        <v>10818.493849808745</v>
      </c>
      <c r="K59" s="172">
        <f t="shared" si="20"/>
        <v>35.5</v>
      </c>
      <c r="L59" s="83">
        <f>+G59*I59</f>
        <v>303.28368042008549</v>
      </c>
      <c r="M59" s="83">
        <f>+J59*K59</f>
        <v>384056.53166821046</v>
      </c>
      <c r="N59" s="83">
        <f>+L59/M59</f>
        <v>7.8968499533838086E-4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2.33297783992822E-2</v>
      </c>
      <c r="F60" s="165">
        <f t="shared" si="19"/>
        <v>580228.11750152905</v>
      </c>
      <c r="G60" s="83">
        <f>+F60-F59</f>
        <v>279056.95875103906</v>
      </c>
      <c r="H60" s="83">
        <f t="shared" si="21"/>
        <v>2.33297783992822E-2</v>
      </c>
      <c r="I60" s="83">
        <f>+H60-H61</f>
        <v>1.4805744222977993E-3</v>
      </c>
      <c r="J60" s="172">
        <f>IF(+'Sismo UBC-94 y Dinamico'!P36=0,'Sismo UBC-94 y Dinamico'!N36,'Sismo UBC-94 y Dinamico'!P36)</f>
        <v>12114.766333583155</v>
      </c>
      <c r="K60" s="172">
        <f t="shared" si="20"/>
        <v>32</v>
      </c>
      <c r="L60" s="83">
        <f>+G60*I60</f>
        <v>413.16459549100045</v>
      </c>
      <c r="M60" s="83">
        <f>+J60*K60</f>
        <v>387672.52267466096</v>
      </c>
      <c r="N60" s="83">
        <f>+L60/M60</f>
        <v>1.0657567181714673E-3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2.1849203976984401E-2</v>
      </c>
      <c r="F61" s="165">
        <f t="shared" si="19"/>
        <v>859285.07625070901</v>
      </c>
      <c r="G61" s="83">
        <f t="shared" ref="G61:G68" si="22">+F61-F60</f>
        <v>279056.95874917996</v>
      </c>
      <c r="H61" s="83">
        <f t="shared" si="21"/>
        <v>2.1849203976984401E-2</v>
      </c>
      <c r="I61" s="83">
        <f>+H61-H62</f>
        <v>1.9164935903685995E-3</v>
      </c>
      <c r="J61" s="172">
        <f>IF(+'Sismo UBC-94 y Dinamico'!P37=0,'Sismo UBC-94 y Dinamico'!N37,'Sismo UBC-94 y Dinamico'!P37)</f>
        <v>10211.208089142307</v>
      </c>
      <c r="K61" s="172">
        <f t="shared" si="20"/>
        <v>28.5</v>
      </c>
      <c r="L61" s="83">
        <f>+G61*I61</f>
        <v>534.81087279055805</v>
      </c>
      <c r="M61" s="83">
        <f>+J61*K61</f>
        <v>291019.43054055574</v>
      </c>
      <c r="N61" s="83">
        <f>+L61/M61</f>
        <v>1.8377153436015268E-3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1.9932710386615801E-2</v>
      </c>
      <c r="F62" s="165">
        <f t="shared" si="19"/>
        <v>1138342.0350009899</v>
      </c>
      <c r="G62" s="83">
        <f t="shared" si="22"/>
        <v>279056.9587502809</v>
      </c>
      <c r="H62" s="83">
        <f t="shared" si="21"/>
        <v>1.9932710386615801E-2</v>
      </c>
      <c r="I62" s="83">
        <f>+H62-H63</f>
        <v>2.2801051833114018E-3</v>
      </c>
      <c r="J62" s="172">
        <f>IF(+'Sismo UBC-94 y Dinamico'!P38=0,'Sismo UBC-94 y Dinamico'!N38,'Sismo UBC-94 y Dinamico'!P38)</f>
        <v>8614.9840334838354</v>
      </c>
      <c r="K62" s="172">
        <f t="shared" si="20"/>
        <v>25</v>
      </c>
      <c r="L62" s="83">
        <f>+G62*I62</f>
        <v>636.27921808563156</v>
      </c>
      <c r="M62" s="83">
        <f>+J62*K62</f>
        <v>215374.60083709587</v>
      </c>
      <c r="N62" s="83">
        <f>+L62/M62</f>
        <v>2.9542908755842466E-3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1.7652605203304399E-2</v>
      </c>
      <c r="F63" s="165">
        <f t="shared" si="19"/>
        <v>1417398.9937515201</v>
      </c>
      <c r="G63" s="165">
        <f t="shared" si="22"/>
        <v>279056.95875053015</v>
      </c>
      <c r="H63" s="165">
        <f t="shared" si="21"/>
        <v>1.7652605203304399E-2</v>
      </c>
      <c r="I63" s="165">
        <f t="shared" ref="I63:I68" si="23">+H63-H64</f>
        <v>2.5792252575519998E-3</v>
      </c>
      <c r="J63" s="172">
        <f>IF(+'Sismo UBC-94 y Dinamico'!P39=0,'Sismo UBC-94 y Dinamico'!N39,'Sismo UBC-94 y Dinamico'!P39)</f>
        <v>7384.4484707220963</v>
      </c>
      <c r="K63" s="172">
        <f t="shared" si="20"/>
        <v>21.5</v>
      </c>
      <c r="L63" s="165">
        <f t="shared" ref="L63:L68" si="24">+G63*I63</f>
        <v>719.75075630501385</v>
      </c>
      <c r="M63" s="165">
        <f t="shared" ref="M63:M68" si="25">+J63*K63</f>
        <v>158765.64212052507</v>
      </c>
      <c r="N63" s="165">
        <f t="shared" ref="N63:N68" si="26">+L63/M63</f>
        <v>4.5334163405368498E-3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1.50733799457524E-2</v>
      </c>
      <c r="F64" s="165">
        <f t="shared" si="19"/>
        <v>1696455.9525009501</v>
      </c>
      <c r="G64" s="165">
        <f t="shared" si="22"/>
        <v>279056.95874943002</v>
      </c>
      <c r="H64" s="165">
        <f t="shared" si="21"/>
        <v>1.50733799457524E-2</v>
      </c>
      <c r="I64" s="165">
        <f t="shared" si="23"/>
        <v>2.821730898261399E-3</v>
      </c>
      <c r="J64" s="172">
        <f>IF(+'Sismo UBC-94 y Dinamico'!P40=0,'Sismo UBC-94 y Dinamico'!N40,'Sismo UBC-94 y Dinamico'!P40)</f>
        <v>6432.3017756052268</v>
      </c>
      <c r="K64" s="172">
        <f t="shared" si="20"/>
        <v>18</v>
      </c>
      <c r="L64" s="165">
        <f t="shared" si="24"/>
        <v>787.42364287812336</v>
      </c>
      <c r="M64" s="165">
        <f t="shared" si="25"/>
        <v>115781.43196089409</v>
      </c>
      <c r="N64" s="165">
        <f t="shared" si="26"/>
        <v>6.8009492501706209E-3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1.2251649047491001E-2</v>
      </c>
      <c r="F65" s="165">
        <f t="shared" si="19"/>
        <v>1976171.99925126</v>
      </c>
      <c r="G65" s="165">
        <f t="shared" si="22"/>
        <v>279716.04675030988</v>
      </c>
      <c r="H65" s="165">
        <f t="shared" si="21"/>
        <v>1.2251649047491001E-2</v>
      </c>
      <c r="I65" s="165">
        <f t="shared" si="23"/>
        <v>2.9244965889503698E-3</v>
      </c>
      <c r="J65" s="172">
        <f>IF(+'Sismo UBC-94 y Dinamico'!P41=0,'Sismo UBC-94 y Dinamico'!N41,'Sismo UBC-94 y Dinamico'!P41)</f>
        <v>5646.6228592872621</v>
      </c>
      <c r="K65" s="172">
        <f t="shared" si="20"/>
        <v>14.5</v>
      </c>
      <c r="L65" s="165">
        <f t="shared" si="24"/>
        <v>818.02862459596338</v>
      </c>
      <c r="M65" s="165">
        <f t="shared" si="25"/>
        <v>81876.031459665304</v>
      </c>
      <c r="N65" s="165">
        <f t="shared" si="26"/>
        <v>9.9910634408184509E-3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9.3271524585406308E-3</v>
      </c>
      <c r="F66" s="165">
        <f t="shared" si="19"/>
        <v>2255888.04600171</v>
      </c>
      <c r="G66" s="165">
        <f t="shared" si="22"/>
        <v>279716.04675045004</v>
      </c>
      <c r="H66" s="165">
        <f t="shared" si="21"/>
        <v>9.3271524585406308E-3</v>
      </c>
      <c r="I66" s="165">
        <f t="shared" si="23"/>
        <v>3.0579181650528704E-3</v>
      </c>
      <c r="J66" s="172">
        <f>IF(+'Sismo UBC-94 y Dinamico'!P42=0,'Sismo UBC-94 y Dinamico'!N42,'Sismo UBC-94 y Dinamico'!P42)</f>
        <v>4835.4334728450231</v>
      </c>
      <c r="K66" s="172">
        <f t="shared" si="20"/>
        <v>11</v>
      </c>
      <c r="L66" s="165">
        <f t="shared" si="24"/>
        <v>855.34878041497916</v>
      </c>
      <c r="M66" s="165">
        <f t="shared" si="25"/>
        <v>53189.768201295257</v>
      </c>
      <c r="N66" s="165">
        <f t="shared" si="26"/>
        <v>1.6081077420340217E-2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6.2692342934877604E-3</v>
      </c>
      <c r="F67" s="165">
        <f t="shared" si="19"/>
        <v>2535604.0927521</v>
      </c>
      <c r="G67" s="165">
        <f t="shared" si="22"/>
        <v>279716.04675038997</v>
      </c>
      <c r="H67" s="165">
        <f t="shared" si="21"/>
        <v>6.2692342934877604E-3</v>
      </c>
      <c r="I67" s="165">
        <f t="shared" si="23"/>
        <v>3.1477348017074605E-3</v>
      </c>
      <c r="J67" s="172">
        <f>IF(+'Sismo UBC-94 y Dinamico'!P43=0,'Sismo UBC-94 y Dinamico'!N43,'Sismo UBC-94 y Dinamico'!P43)</f>
        <v>3796.1422187263784</v>
      </c>
      <c r="K67" s="172">
        <f t="shared" si="20"/>
        <v>7.5</v>
      </c>
      <c r="L67" s="165">
        <f t="shared" si="24"/>
        <v>880.47193495223348</v>
      </c>
      <c r="M67" s="165">
        <f t="shared" si="25"/>
        <v>28471.066640447836</v>
      </c>
      <c r="N67" s="165">
        <f t="shared" si="26"/>
        <v>3.0925147486444298E-2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3.1214994917802999E-3</v>
      </c>
      <c r="F68" s="165">
        <f t="shared" si="19"/>
        <v>2891559.1395027302</v>
      </c>
      <c r="G68" s="165">
        <f t="shared" si="22"/>
        <v>355955.04675063025</v>
      </c>
      <c r="H68" s="165">
        <f t="shared" si="21"/>
        <v>3.1214994917802999E-3</v>
      </c>
      <c r="I68" s="165">
        <f t="shared" si="23"/>
        <v>3.1214994917802999E-3</v>
      </c>
      <c r="J68" s="172">
        <f>IF(+'Sismo UBC-94 y Dinamico'!P44=0,'Sismo UBC-94 y Dinamico'!N44,'Sismo UBC-94 y Dinamico'!P44)</f>
        <v>2268.3819937452695</v>
      </c>
      <c r="K68" s="172">
        <f t="shared" si="20"/>
        <v>4</v>
      </c>
      <c r="L68" s="165">
        <f t="shared" si="24"/>
        <v>1111.1134975287252</v>
      </c>
      <c r="M68" s="165">
        <f t="shared" si="25"/>
        <v>9073.5279749810779</v>
      </c>
      <c r="N68" s="165">
        <f t="shared" si="26"/>
        <v>0.12245661231138072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6" t="s">
        <v>73</v>
      </c>
      <c r="F73" s="206"/>
      <c r="G73" s="206"/>
      <c r="H73" s="206"/>
      <c r="I73" s="206"/>
      <c r="J73" s="206"/>
      <c r="K73" s="206"/>
      <c r="L73" s="206"/>
      <c r="M73" s="206"/>
      <c r="N73" s="206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2.3214830928650398E-2</v>
      </c>
      <c r="F76" s="83">
        <f t="shared" ref="F76:F86" si="28">+E5</f>
        <v>17953.1999999982</v>
      </c>
      <c r="G76" s="83">
        <v>0</v>
      </c>
      <c r="H76" s="83">
        <f>+E76</f>
        <v>2.3214830928650398E-2</v>
      </c>
      <c r="I76" s="83">
        <f>+H76-H77</f>
        <v>-6.3066065251247E-3</v>
      </c>
      <c r="J76" s="83">
        <f>+J58</f>
        <v>871.86153082829139</v>
      </c>
      <c r="K76" s="83">
        <f t="shared" ref="K76:K86" si="29">+C76</f>
        <v>38.5</v>
      </c>
      <c r="L76" s="83">
        <f>+G76*I76</f>
        <v>0</v>
      </c>
      <c r="M76" s="83">
        <f>+J76*K76</f>
        <v>33566.668936889218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2.9521437453775098E-2</v>
      </c>
      <c r="F77" s="165">
        <f t="shared" si="28"/>
        <v>301171.15875048999</v>
      </c>
      <c r="G77" s="83">
        <f>+F77</f>
        <v>301171.15875048999</v>
      </c>
      <c r="H77" s="83">
        <f>+E77</f>
        <v>2.9521437453775098E-2</v>
      </c>
      <c r="I77" s="83">
        <f>+H77-H78</f>
        <v>1.169293569132198E-3</v>
      </c>
      <c r="J77" s="172">
        <f t="shared" ref="J77:J86" si="30">+J59</f>
        <v>10818.493849808745</v>
      </c>
      <c r="K77" s="172">
        <f t="shared" si="29"/>
        <v>35.5</v>
      </c>
      <c r="L77" s="83">
        <f>+G77*I77</f>
        <v>352.15749913504027</v>
      </c>
      <c r="M77" s="83">
        <f>+J77*K77</f>
        <v>384056.53166821046</v>
      </c>
      <c r="N77" s="83">
        <f>+L77/M77</f>
        <v>9.1694183042633935E-4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2.83521438846429E-2</v>
      </c>
      <c r="F78" s="165">
        <f t="shared" si="28"/>
        <v>580228.11750152905</v>
      </c>
      <c r="G78" s="83">
        <f>+F78-F77</f>
        <v>279056.95875103906</v>
      </c>
      <c r="H78" s="83">
        <f>+E78</f>
        <v>2.83521438846429E-2</v>
      </c>
      <c r="I78" s="83">
        <f>+H78-H79</f>
        <v>1.7552883037702006E-3</v>
      </c>
      <c r="J78" s="172">
        <f t="shared" si="30"/>
        <v>12114.766333583155</v>
      </c>
      <c r="K78" s="172">
        <f t="shared" si="29"/>
        <v>32</v>
      </c>
      <c r="L78" s="83">
        <f>+G78*I78</f>
        <v>489.82541578138222</v>
      </c>
      <c r="M78" s="83">
        <f>+J78*K78</f>
        <v>387672.52267466096</v>
      </c>
      <c r="N78" s="83">
        <f>+L78/M78</f>
        <v>1.2635030525298516E-3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2.65968555808727E-2</v>
      </c>
      <c r="F79" s="165">
        <f t="shared" si="28"/>
        <v>859285.07625070901</v>
      </c>
      <c r="G79" s="83">
        <f t="shared" ref="G79:G86" si="31">+F79-F78</f>
        <v>279056.95874917996</v>
      </c>
      <c r="H79" s="83">
        <f>+E79</f>
        <v>2.65968555808727E-2</v>
      </c>
      <c r="I79" s="83">
        <f>+H79-H80</f>
        <v>2.2951848317265995E-3</v>
      </c>
      <c r="J79" s="172">
        <f t="shared" si="30"/>
        <v>10211.208089142307</v>
      </c>
      <c r="K79" s="172">
        <f t="shared" si="29"/>
        <v>28.5</v>
      </c>
      <c r="L79" s="83">
        <f>+G79*I79</f>
        <v>640.48729890887319</v>
      </c>
      <c r="M79" s="83">
        <f>+J79*K79</f>
        <v>291019.43054055574</v>
      </c>
      <c r="N79" s="83">
        <f>+L79/M79</f>
        <v>2.2008403278062786E-3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2.43016707491461E-2</v>
      </c>
      <c r="F80" s="165">
        <f t="shared" si="28"/>
        <v>1138342.0350009899</v>
      </c>
      <c r="G80" s="83">
        <f t="shared" si="31"/>
        <v>279056.9587502809</v>
      </c>
      <c r="H80" s="83">
        <f>+E80</f>
        <v>2.43016707491461E-2</v>
      </c>
      <c r="I80" s="83">
        <f>+H80-H81</f>
        <v>2.7468636757671007E-3</v>
      </c>
      <c r="J80" s="172">
        <f t="shared" si="30"/>
        <v>8614.9840334838354</v>
      </c>
      <c r="K80" s="172">
        <f t="shared" si="29"/>
        <v>25</v>
      </c>
      <c r="L80" s="83">
        <f>+G80*I80</f>
        <v>766.53142346118477</v>
      </c>
      <c r="M80" s="83">
        <f>+J80*K80</f>
        <v>215374.60083709587</v>
      </c>
      <c r="N80" s="83">
        <f>+L80/M80</f>
        <v>3.5590613771629021E-3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2.1554807073379E-2</v>
      </c>
      <c r="F81" s="165">
        <f t="shared" si="28"/>
        <v>1417398.9937515201</v>
      </c>
      <c r="G81" s="165">
        <f t="shared" si="31"/>
        <v>279056.95875053015</v>
      </c>
      <c r="H81" s="165">
        <f t="shared" ref="H81:H86" si="32">+E81</f>
        <v>2.1554807073379E-2</v>
      </c>
      <c r="I81" s="165">
        <f t="shared" ref="I81:I86" si="33">+H81-H82</f>
        <v>3.1204280159056012E-3</v>
      </c>
      <c r="J81" s="172">
        <f t="shared" si="30"/>
        <v>7384.4484707220963</v>
      </c>
      <c r="K81" s="172">
        <f t="shared" si="29"/>
        <v>21.5</v>
      </c>
      <c r="L81" s="165">
        <f t="shared" ref="L81:L86" si="34">+G81*I81</f>
        <v>870.77715211856798</v>
      </c>
      <c r="M81" s="165">
        <f t="shared" ref="M81:M86" si="35">+J81*K81</f>
        <v>158765.64212052507</v>
      </c>
      <c r="N81" s="165">
        <f t="shared" ref="N81:N86" si="36">+L81/M81</f>
        <v>5.4846699858243121E-3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1.8434379057473398E-2</v>
      </c>
      <c r="F82" s="165">
        <f t="shared" si="28"/>
        <v>1696455.9525009501</v>
      </c>
      <c r="G82" s="165">
        <f t="shared" si="31"/>
        <v>279056.95874943002</v>
      </c>
      <c r="H82" s="165">
        <f t="shared" si="32"/>
        <v>1.8434379057473398E-2</v>
      </c>
      <c r="I82" s="165">
        <f t="shared" si="33"/>
        <v>3.4259224532046991E-3</v>
      </c>
      <c r="J82" s="172">
        <f t="shared" si="30"/>
        <v>6432.3017756052268</v>
      </c>
      <c r="K82" s="172">
        <f t="shared" si="29"/>
        <v>18</v>
      </c>
      <c r="L82" s="165">
        <f t="shared" si="34"/>
        <v>956.02750070268985</v>
      </c>
      <c r="M82" s="165">
        <f t="shared" si="35"/>
        <v>115781.43196089409</v>
      </c>
      <c r="N82" s="165">
        <f t="shared" si="36"/>
        <v>8.257174613504472E-3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1.5008456604268699E-2</v>
      </c>
      <c r="F83" s="165">
        <f t="shared" si="28"/>
        <v>1976171.99925126</v>
      </c>
      <c r="G83" s="165">
        <f t="shared" si="31"/>
        <v>279716.04675030988</v>
      </c>
      <c r="H83" s="165">
        <f t="shared" si="32"/>
        <v>1.5008456604268699E-2</v>
      </c>
      <c r="I83" s="165">
        <f t="shared" si="33"/>
        <v>3.6670900006536E-3</v>
      </c>
      <c r="J83" s="172">
        <f t="shared" si="30"/>
        <v>5646.6228592872621</v>
      </c>
      <c r="K83" s="172">
        <f t="shared" si="29"/>
        <v>14.5</v>
      </c>
      <c r="L83" s="165">
        <f t="shared" si="34"/>
        <v>1025.7439180604163</v>
      </c>
      <c r="M83" s="165">
        <f t="shared" si="35"/>
        <v>81876.031459665304</v>
      </c>
      <c r="N83" s="165">
        <f t="shared" si="36"/>
        <v>1.2528012163922842E-2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1.1341366603615099E-2</v>
      </c>
      <c r="F84" s="165">
        <f t="shared" si="28"/>
        <v>2255888.04600171</v>
      </c>
      <c r="G84" s="165">
        <f t="shared" si="31"/>
        <v>279716.04675045004</v>
      </c>
      <c r="H84" s="165">
        <f t="shared" si="32"/>
        <v>1.1341366603615099E-2</v>
      </c>
      <c r="I84" s="165">
        <f t="shared" si="33"/>
        <v>3.8367791475934993E-3</v>
      </c>
      <c r="J84" s="172">
        <f t="shared" si="30"/>
        <v>4835.4334728450231</v>
      </c>
      <c r="K84" s="172">
        <f t="shared" si="29"/>
        <v>11</v>
      </c>
      <c r="L84" s="165">
        <f t="shared" si="34"/>
        <v>1073.2086954194151</v>
      </c>
      <c r="M84" s="165">
        <f t="shared" si="35"/>
        <v>53189.768201295257</v>
      </c>
      <c r="N84" s="165">
        <f t="shared" si="36"/>
        <v>2.0176976356766314E-2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7.5045874560215999E-3</v>
      </c>
      <c r="F85" s="165">
        <f t="shared" si="28"/>
        <v>2535604.0927521</v>
      </c>
      <c r="G85" s="165">
        <f t="shared" si="31"/>
        <v>279716.04675038997</v>
      </c>
      <c r="H85" s="165">
        <f t="shared" si="32"/>
        <v>7.5045874560215999E-3</v>
      </c>
      <c r="I85" s="165">
        <f t="shared" si="33"/>
        <v>3.8944957274119397E-3</v>
      </c>
      <c r="J85" s="172">
        <f t="shared" si="30"/>
        <v>3796.1422187263784</v>
      </c>
      <c r="K85" s="172">
        <f t="shared" si="29"/>
        <v>7.5</v>
      </c>
      <c r="L85" s="165">
        <f t="shared" si="34"/>
        <v>1089.3529489579521</v>
      </c>
      <c r="M85" s="165">
        <f t="shared" si="35"/>
        <v>28471.066640447836</v>
      </c>
      <c r="N85" s="165">
        <f t="shared" si="36"/>
        <v>3.8261754036652315E-2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3.6100917286096602E-3</v>
      </c>
      <c r="F86" s="165">
        <f t="shared" si="28"/>
        <v>2891559.1395027302</v>
      </c>
      <c r="G86" s="165">
        <f t="shared" si="31"/>
        <v>355955.04675063025</v>
      </c>
      <c r="H86" s="165">
        <f t="shared" si="32"/>
        <v>3.6100917286096602E-3</v>
      </c>
      <c r="I86" s="165">
        <f t="shared" si="33"/>
        <v>3.6100917286096602E-3</v>
      </c>
      <c r="J86" s="172">
        <f t="shared" si="30"/>
        <v>2268.3819937452695</v>
      </c>
      <c r="K86" s="172">
        <f t="shared" si="29"/>
        <v>4</v>
      </c>
      <c r="L86" s="165">
        <f t="shared" si="34"/>
        <v>1285.0303700313152</v>
      </c>
      <c r="M86" s="165">
        <f t="shared" si="35"/>
        <v>9073.5279749810779</v>
      </c>
      <c r="N86" s="165">
        <f t="shared" si="36"/>
        <v>0.14162411507129288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5"/>
      <c r="D104" s="205"/>
      <c r="E104" s="205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G55:H55"/>
    <mergeCell ref="I55:J55"/>
    <mergeCell ref="K55:L55"/>
    <mergeCell ref="M55:N55"/>
    <mergeCell ref="G73:H73"/>
    <mergeCell ref="I73:J73"/>
    <mergeCell ref="K73:L73"/>
    <mergeCell ref="M73:N73"/>
    <mergeCell ref="G19:H19"/>
    <mergeCell ref="I19:J19"/>
    <mergeCell ref="K19:L19"/>
    <mergeCell ref="M19:N19"/>
    <mergeCell ref="G37:H37"/>
    <mergeCell ref="I37:J37"/>
    <mergeCell ref="K37:L37"/>
    <mergeCell ref="M37:N37"/>
    <mergeCell ref="C104:E104"/>
    <mergeCell ref="E19:F19"/>
    <mergeCell ref="E37:F37"/>
    <mergeCell ref="E55:F55"/>
    <mergeCell ref="E73:F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2021-05-20T23:43:53Z</dcterms:modified>
</cp:coreProperties>
</file>