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<sst xmlns="http://schemas.openxmlformats.org/spreadsheetml/2006/main" count="4088" uniqueCount="262">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</sst>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tabSelected="1"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785.95645347976699</v>
      </c>
      <c r="E5" s="172">
        <f t="shared" si="0"/>
        <v>785.95645347976699</v>
      </c>
      <c r="F5" s="172">
        <f t="shared" si="0"/>
        <v>25.299159274928002</v>
      </c>
      <c r="G5" s="172">
        <f t="shared" si="0"/>
        <v>2</v>
      </c>
      <c r="H5" s="172">
        <f t="shared" si="0"/>
        <v>785.95645347976699</v>
      </c>
      <c r="I5" s="172">
        <f t="shared" si="0"/>
        <v>785.95645347976699</v>
      </c>
      <c r="J5" s="172">
        <f t="shared" si="0"/>
        <v>25.299159274928002</v>
      </c>
      <c r="K5" s="172">
        <f t="shared" si="0"/>
        <v>2</v>
      </c>
      <c r="L5" s="172">
        <f t="shared" si="0"/>
        <v>23.847633099845002</v>
      </c>
      <c r="M5" s="172">
        <f t="shared" si="0"/>
        <v>2.93534149016907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16995.607231263399</v>
      </c>
      <c r="E6" s="172">
        <f t="shared" si="1"/>
        <v>16995.607231263399</v>
      </c>
      <c r="F6" s="172">
        <f t="shared" si="1"/>
        <v>12.5939384418818</v>
      </c>
      <c r="G6" s="172">
        <f t="shared" si="1"/>
        <v>14.4695574664972</v>
      </c>
      <c r="H6" s="172">
        <f t="shared" si="1"/>
        <v>16995.607231263399</v>
      </c>
      <c r="I6" s="172">
        <f t="shared" si="1"/>
        <v>16995.607231263399</v>
      </c>
      <c r="J6" s="172">
        <f t="shared" si="1"/>
        <v>12.5939384418818</v>
      </c>
      <c r="K6" s="172">
        <f t="shared" si="1"/>
        <v>14.4695574664972</v>
      </c>
      <c r="L6" s="172">
        <f t="shared" si="1"/>
        <v>12.3932161974496</v>
      </c>
      <c r="M6" s="172">
        <f t="shared" si="1"/>
        <v>14.5212421922131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21825.827740374301</v>
      </c>
      <c r="E7" s="172">
        <f t="shared" si="2"/>
        <v>21825.827740374301</v>
      </c>
      <c r="F7" s="172">
        <f t="shared" si="2"/>
        <v>12.435387949068</v>
      </c>
      <c r="G7" s="172">
        <f t="shared" si="2"/>
        <v>14.6456541487398</v>
      </c>
      <c r="H7" s="172">
        <f t="shared" si="2"/>
        <v>21825.827740374301</v>
      </c>
      <c r="I7" s="172">
        <f t="shared" si="2"/>
        <v>21825.827740374301</v>
      </c>
      <c r="J7" s="172">
        <f t="shared" si="2"/>
        <v>12.435387949068</v>
      </c>
      <c r="K7" s="172">
        <f t="shared" si="2"/>
        <v>14.6456541487398</v>
      </c>
      <c r="L7" s="172">
        <f t="shared" si="2"/>
        <v>12.4683007047177</v>
      </c>
      <c r="M7" s="172">
        <f t="shared" si="2"/>
        <v>14.499112011892199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21825.827740374301</v>
      </c>
      <c r="E8" s="172">
        <f t="shared" si="3"/>
        <v>21825.827740374301</v>
      </c>
      <c r="F8" s="172">
        <f t="shared" si="3"/>
        <v>12.435387949068</v>
      </c>
      <c r="G8" s="172">
        <f t="shared" si="3"/>
        <v>14.6456541487398</v>
      </c>
      <c r="H8" s="172">
        <f t="shared" si="3"/>
        <v>21825.827740374301</v>
      </c>
      <c r="I8" s="172">
        <f t="shared" si="3"/>
        <v>21825.827740374301</v>
      </c>
      <c r="J8" s="172">
        <f t="shared" si="3"/>
        <v>12.435387949068</v>
      </c>
      <c r="K8" s="172">
        <f t="shared" si="3"/>
        <v>14.6456541487398</v>
      </c>
      <c r="L8" s="172">
        <f t="shared" si="3"/>
        <v>12.5475019270703</v>
      </c>
      <c r="M8" s="172">
        <f t="shared" si="3"/>
        <v>14.4724494063679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21825.827740374301</v>
      </c>
      <c r="E9" s="172">
        <f t="shared" si="4"/>
        <v>21825.827740374301</v>
      </c>
      <c r="F9" s="172">
        <f t="shared" si="4"/>
        <v>12.435387949068</v>
      </c>
      <c r="G9" s="172">
        <f t="shared" si="4"/>
        <v>14.6456541487398</v>
      </c>
      <c r="H9" s="172">
        <f t="shared" si="4"/>
        <v>21825.827740374301</v>
      </c>
      <c r="I9" s="172">
        <f t="shared" si="4"/>
        <v>21825.827740374301</v>
      </c>
      <c r="J9" s="172">
        <f t="shared" si="4"/>
        <v>12.435387949068</v>
      </c>
      <c r="K9" s="172">
        <f t="shared" si="4"/>
        <v>14.6456541487398</v>
      </c>
      <c r="L9" s="172">
        <f t="shared" si="4"/>
        <v>12.6125977242512</v>
      </c>
      <c r="M9" s="172">
        <f t="shared" si="4"/>
        <v>14.4464015216685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21825.827740374301</v>
      </c>
      <c r="E10" s="172">
        <f t="shared" si="5"/>
        <v>21825.827740374301</v>
      </c>
      <c r="F10" s="172">
        <f t="shared" si="5"/>
        <v>12.435387949068</v>
      </c>
      <c r="G10" s="172">
        <f t="shared" si="5"/>
        <v>14.6456541487398</v>
      </c>
      <c r="H10" s="172">
        <f t="shared" si="5"/>
        <v>21825.827740374301</v>
      </c>
      <c r="I10" s="172">
        <f t="shared" si="5"/>
        <v>21825.827740374301</v>
      </c>
      <c r="J10" s="172">
        <f t="shared" si="5"/>
        <v>12.435387949068</v>
      </c>
      <c r="K10" s="172">
        <f t="shared" si="5"/>
        <v>14.6456541487398</v>
      </c>
      <c r="L10" s="172">
        <f t="shared" si="5"/>
        <v>12.6618878237483</v>
      </c>
      <c r="M10" s="172">
        <f t="shared" si="5"/>
        <v>14.4200062419632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21825.827740374301</v>
      </c>
      <c r="E11" s="172">
        <f t="shared" si="6"/>
        <v>21825.827740374301</v>
      </c>
      <c r="F11" s="172">
        <f t="shared" si="6"/>
        <v>12.435387949068</v>
      </c>
      <c r="G11" s="172">
        <f t="shared" si="6"/>
        <v>14.6456541487398</v>
      </c>
      <c r="H11" s="172">
        <f t="shared" si="6"/>
        <v>21825.827740374301</v>
      </c>
      <c r="I11" s="172">
        <f t="shared" si="6"/>
        <v>21825.827740374301</v>
      </c>
      <c r="J11" s="172">
        <f t="shared" si="6"/>
        <v>12.435387949068</v>
      </c>
      <c r="K11" s="172">
        <f t="shared" si="6"/>
        <v>14.6456541487398</v>
      </c>
      <c r="L11" s="172">
        <f t="shared" si="6"/>
        <v>12.6983514533948</v>
      </c>
      <c r="M11" s="172">
        <f t="shared" si="6"/>
        <v>14.392534076062599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23295.687448491401</v>
      </c>
      <c r="E12" s="172">
        <f t="shared" si="7"/>
        <v>23295.687448491401</v>
      </c>
      <c r="F12" s="172">
        <f t="shared" si="7"/>
        <v>12.4060644292076</v>
      </c>
      <c r="G12" s="172">
        <f t="shared" si="7"/>
        <v>14.6257484177141</v>
      </c>
      <c r="H12" s="172">
        <f t="shared" si="7"/>
        <v>23295.687448491401</v>
      </c>
      <c r="I12" s="172">
        <f t="shared" si="7"/>
        <v>23295.687448491401</v>
      </c>
      <c r="J12" s="172">
        <f t="shared" si="7"/>
        <v>12.4060644292076</v>
      </c>
      <c r="K12" s="172">
        <f t="shared" si="7"/>
        <v>14.6257484177141</v>
      </c>
      <c r="L12" s="172">
        <f t="shared" si="7"/>
        <v>12.731390283112701</v>
      </c>
      <c r="M12" s="172">
        <f t="shared" si="7"/>
        <v>14.387429806108701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23295.687448491401</v>
      </c>
      <c r="E13" s="172">
        <f t="shared" si="8"/>
        <v>23295.687448491401</v>
      </c>
      <c r="F13" s="172">
        <f t="shared" si="8"/>
        <v>12.4060644292076</v>
      </c>
      <c r="G13" s="172">
        <f t="shared" si="8"/>
        <v>14.6257484177141</v>
      </c>
      <c r="H13" s="172">
        <f t="shared" si="8"/>
        <v>23295.687448491401</v>
      </c>
      <c r="I13" s="172">
        <f t="shared" si="8"/>
        <v>23295.687448491401</v>
      </c>
      <c r="J13" s="172">
        <f t="shared" si="8"/>
        <v>12.4060644292076</v>
      </c>
      <c r="K13" s="172">
        <f t="shared" si="8"/>
        <v>14.6257484177141</v>
      </c>
      <c r="L13" s="172">
        <f t="shared" si="8"/>
        <v>12.739027943791299</v>
      </c>
      <c r="M13" s="172">
        <f t="shared" si="8"/>
        <v>14.4075157443969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23295.687448491401</v>
      </c>
      <c r="E14" s="172">
        <f t="shared" si="9"/>
        <v>23295.687448491401</v>
      </c>
      <c r="F14" s="172">
        <f t="shared" si="9"/>
        <v>12.4060644292076</v>
      </c>
      <c r="G14" s="172">
        <f t="shared" si="9"/>
        <v>14.6257484177141</v>
      </c>
      <c r="H14" s="172">
        <f t="shared" si="9"/>
        <v>23295.687448491401</v>
      </c>
      <c r="I14" s="172">
        <f t="shared" si="9"/>
        <v>23295.687448491401</v>
      </c>
      <c r="J14" s="172">
        <f t="shared" si="9"/>
        <v>12.4060644292076</v>
      </c>
      <c r="K14" s="172">
        <f t="shared" si="9"/>
        <v>14.6257484177141</v>
      </c>
      <c r="L14" s="172">
        <f t="shared" si="9"/>
        <v>12.6721580650851</v>
      </c>
      <c r="M14" s="172">
        <f t="shared" si="9"/>
        <v>14.471359437258601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24061.884046755498</v>
      </c>
      <c r="E15" s="172">
        <f t="shared" si="10"/>
        <v>24061.884046755498</v>
      </c>
      <c r="F15" s="172">
        <f t="shared" si="10"/>
        <v>12.4432313697406</v>
      </c>
      <c r="G15" s="172">
        <f t="shared" si="10"/>
        <v>14.5967247965482</v>
      </c>
      <c r="H15" s="172">
        <f t="shared" si="10"/>
        <v>24061.884046755498</v>
      </c>
      <c r="I15" s="172">
        <f t="shared" si="10"/>
        <v>24061.884046755498</v>
      </c>
      <c r="J15" s="172">
        <f t="shared" si="10"/>
        <v>12.4432313697406</v>
      </c>
      <c r="K15" s="172">
        <f t="shared" si="10"/>
        <v>14.5967247965482</v>
      </c>
      <c r="L15" s="172">
        <f t="shared" si="10"/>
        <v>12.4415248690722</v>
      </c>
      <c r="M15" s="172">
        <f t="shared" si="10"/>
        <v>14.643438648360201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24061.884046755498</v>
      </c>
      <c r="E23" s="172">
        <v>24061.884046755498</v>
      </c>
      <c r="F23" s="172">
        <v>12.4432313697406</v>
      </c>
      <c r="G23" s="172">
        <v>14.5967247965482</v>
      </c>
      <c r="H23" s="172">
        <v>24061.884046755498</v>
      </c>
      <c r="I23" s="172">
        <v>24061.884046755498</v>
      </c>
      <c r="J23" s="172">
        <v>12.4432313697406</v>
      </c>
      <c r="K23" s="172">
        <v>14.5967247965482</v>
      </c>
      <c r="L23" s="172">
        <v>12.4415248690722</v>
      </c>
      <c r="M23" s="172">
        <v>14.643438648360201</v>
      </c>
    </row>
    <row r="24" spans="2:15" x14ac:dyDescent="0.3">
      <c r="B24" s="172" t="s">
        <v>24</v>
      </c>
      <c r="C24" s="172" t="s">
        <v>175</v>
      </c>
      <c r="D24" s="172">
        <v>23295.687448491401</v>
      </c>
      <c r="E24" s="172">
        <v>23295.687448491401</v>
      </c>
      <c r="F24" s="172">
        <v>12.4060644292076</v>
      </c>
      <c r="G24" s="172">
        <v>14.6257484177141</v>
      </c>
      <c r="H24" s="172">
        <v>23295.687448491401</v>
      </c>
      <c r="I24" s="172">
        <v>23295.687448491401</v>
      </c>
      <c r="J24" s="172">
        <v>12.4060644292076</v>
      </c>
      <c r="K24" s="172">
        <v>14.6257484177141</v>
      </c>
      <c r="L24" s="172">
        <v>12.6721580650851</v>
      </c>
      <c r="M24" s="172">
        <v>14.471359437258601</v>
      </c>
    </row>
    <row r="25" spans="2:15" x14ac:dyDescent="0.3">
      <c r="B25" s="172" t="s">
        <v>25</v>
      </c>
      <c r="C25" s="172" t="s">
        <v>176</v>
      </c>
      <c r="D25" s="172">
        <v>23295.687448491401</v>
      </c>
      <c r="E25" s="172">
        <v>23295.687448491401</v>
      </c>
      <c r="F25" s="172">
        <v>12.4060644292076</v>
      </c>
      <c r="G25" s="172">
        <v>14.6257484177141</v>
      </c>
      <c r="H25" s="172">
        <v>23295.687448491401</v>
      </c>
      <c r="I25" s="172">
        <v>23295.687448491401</v>
      </c>
      <c r="J25" s="172">
        <v>12.4060644292076</v>
      </c>
      <c r="K25" s="172">
        <v>14.6257484177141</v>
      </c>
      <c r="L25" s="172">
        <v>12.739027943791299</v>
      </c>
      <c r="M25" s="172">
        <v>14.4075157443969</v>
      </c>
    </row>
    <row r="26" spans="2:15" x14ac:dyDescent="0.3">
      <c r="B26" s="172" t="s">
        <v>26</v>
      </c>
      <c r="C26" s="172" t="s">
        <v>177</v>
      </c>
      <c r="D26" s="172">
        <v>23295.687448491401</v>
      </c>
      <c r="E26" s="172">
        <v>23295.687448491401</v>
      </c>
      <c r="F26" s="172">
        <v>12.4060644292076</v>
      </c>
      <c r="G26" s="172">
        <v>14.6257484177141</v>
      </c>
      <c r="H26" s="172">
        <v>23295.687448491401</v>
      </c>
      <c r="I26" s="172">
        <v>23295.687448491401</v>
      </c>
      <c r="J26" s="172">
        <v>12.4060644292076</v>
      </c>
      <c r="K26" s="172">
        <v>14.6257484177141</v>
      </c>
      <c r="L26" s="172">
        <v>12.731390283112701</v>
      </c>
      <c r="M26" s="172">
        <v>14.387429806108701</v>
      </c>
    </row>
    <row r="27" spans="2:15" x14ac:dyDescent="0.3">
      <c r="B27" s="172" t="s">
        <v>39</v>
      </c>
      <c r="C27" s="172" t="s">
        <v>178</v>
      </c>
      <c r="D27" s="172">
        <v>21825.827740374301</v>
      </c>
      <c r="E27" s="172">
        <v>21825.827740374301</v>
      </c>
      <c r="F27" s="172">
        <v>12.435387949068</v>
      </c>
      <c r="G27" s="172">
        <v>14.6456541487398</v>
      </c>
      <c r="H27" s="172">
        <v>21825.827740374301</v>
      </c>
      <c r="I27" s="172">
        <v>21825.827740374301</v>
      </c>
      <c r="J27" s="172">
        <v>12.435387949068</v>
      </c>
      <c r="K27" s="172">
        <v>14.6456541487398</v>
      </c>
      <c r="L27" s="172">
        <v>12.6983514533948</v>
      </c>
      <c r="M27" s="172">
        <v>14.392534076062599</v>
      </c>
    </row>
    <row r="28" spans="2:15" x14ac:dyDescent="0.3">
      <c r="B28" s="172" t="s">
        <v>179</v>
      </c>
      <c r="C28" s="172" t="s">
        <v>180</v>
      </c>
      <c r="D28" s="172">
        <v>21825.827740374301</v>
      </c>
      <c r="E28" s="172">
        <v>21825.827740374301</v>
      </c>
      <c r="F28" s="172">
        <v>12.435387949068</v>
      </c>
      <c r="G28" s="172">
        <v>14.6456541487398</v>
      </c>
      <c r="H28" s="172">
        <v>21825.827740374301</v>
      </c>
      <c r="I28" s="172">
        <v>21825.827740374301</v>
      </c>
      <c r="J28" s="172">
        <v>12.435387949068</v>
      </c>
      <c r="K28" s="172">
        <v>14.6456541487398</v>
      </c>
      <c r="L28" s="172">
        <v>12.6618878237483</v>
      </c>
      <c r="M28" s="172">
        <v>14.4200062419632</v>
      </c>
    </row>
    <row r="29" spans="2:15" x14ac:dyDescent="0.3">
      <c r="B29" s="172" t="s">
        <v>181</v>
      </c>
      <c r="C29" s="172" t="s">
        <v>182</v>
      </c>
      <c r="D29" s="172">
        <v>21825.827740374301</v>
      </c>
      <c r="E29" s="172">
        <v>21825.827740374301</v>
      </c>
      <c r="F29" s="172">
        <v>12.435387949068</v>
      </c>
      <c r="G29" s="172">
        <v>14.6456541487398</v>
      </c>
      <c r="H29" s="172">
        <v>21825.827740374301</v>
      </c>
      <c r="I29" s="172">
        <v>21825.827740374301</v>
      </c>
      <c r="J29" s="172">
        <v>12.435387949068</v>
      </c>
      <c r="K29" s="172">
        <v>14.6456541487398</v>
      </c>
      <c r="L29" s="172">
        <v>12.6125977242512</v>
      </c>
      <c r="M29" s="172">
        <v>14.4464015216685</v>
      </c>
    </row>
    <row r="30" spans="2:15" x14ac:dyDescent="0.3">
      <c r="B30" s="172" t="s">
        <v>183</v>
      </c>
      <c r="C30" s="172" t="s">
        <v>184</v>
      </c>
      <c r="D30" s="172">
        <v>21825.827740374301</v>
      </c>
      <c r="E30" s="172">
        <v>21825.827740374301</v>
      </c>
      <c r="F30" s="172">
        <v>12.435387949068</v>
      </c>
      <c r="G30" s="172">
        <v>14.6456541487398</v>
      </c>
      <c r="H30" s="172">
        <v>21825.827740374301</v>
      </c>
      <c r="I30" s="172">
        <v>21825.827740374301</v>
      </c>
      <c r="J30" s="172">
        <v>12.435387949068</v>
      </c>
      <c r="K30" s="172">
        <v>14.6456541487398</v>
      </c>
      <c r="L30" s="172">
        <v>12.5475019270703</v>
      </c>
      <c r="M30" s="172">
        <v>14.4724494063679</v>
      </c>
    </row>
    <row r="31" spans="2:15" x14ac:dyDescent="0.3">
      <c r="B31" s="172" t="s">
        <v>185</v>
      </c>
      <c r="C31" s="172" t="s">
        <v>186</v>
      </c>
      <c r="D31" s="172">
        <v>21825.827740374301</v>
      </c>
      <c r="E31" s="172">
        <v>21825.827740374301</v>
      </c>
      <c r="F31" s="172">
        <v>12.435387949068</v>
      </c>
      <c r="G31" s="172">
        <v>14.6456541487398</v>
      </c>
      <c r="H31" s="172">
        <v>21825.827740374301</v>
      </c>
      <c r="I31" s="172">
        <v>21825.827740374301</v>
      </c>
      <c r="J31" s="172">
        <v>12.435387949068</v>
      </c>
      <c r="K31" s="172">
        <v>14.6456541487398</v>
      </c>
      <c r="L31" s="172">
        <v>12.4683007047177</v>
      </c>
      <c r="M31" s="172">
        <v>14.499112011892199</v>
      </c>
    </row>
    <row r="32" spans="2:15" x14ac:dyDescent="0.3">
      <c r="B32" s="172" t="s">
        <v>187</v>
      </c>
      <c r="C32" s="172" t="s">
        <v>188</v>
      </c>
      <c r="D32" s="172">
        <v>16995.607231263399</v>
      </c>
      <c r="E32" s="172">
        <v>16995.607231263399</v>
      </c>
      <c r="F32" s="172">
        <v>12.5939384418818</v>
      </c>
      <c r="G32" s="172">
        <v>14.4695574664972</v>
      </c>
      <c r="H32" s="172">
        <v>16995.607231263399</v>
      </c>
      <c r="I32" s="172">
        <v>16995.607231263399</v>
      </c>
      <c r="J32" s="172">
        <v>12.5939384418818</v>
      </c>
      <c r="K32" s="172">
        <v>14.4695574664972</v>
      </c>
      <c r="L32" s="172">
        <v>12.3932161974496</v>
      </c>
      <c r="M32" s="172">
        <v>14.5212421922131</v>
      </c>
    </row>
    <row r="33" spans="2:13" x14ac:dyDescent="0.3">
      <c r="B33" s="172" t="s">
        <v>189</v>
      </c>
      <c r="C33" s="172" t="s">
        <v>190</v>
      </c>
      <c r="D33" s="172">
        <v>785.95645347976699</v>
      </c>
      <c r="E33" s="172">
        <v>785.95645347976699</v>
      </c>
      <c r="F33" s="172">
        <v>25.299159274928002</v>
      </c>
      <c r="G33" s="172">
        <v>2</v>
      </c>
      <c r="H33" s="172">
        <v>785.95645347976699</v>
      </c>
      <c r="I33" s="172">
        <v>785.95645347976699</v>
      </c>
      <c r="J33" s="172">
        <v>25.299159274928002</v>
      </c>
      <c r="K33" s="172">
        <v>2</v>
      </c>
      <c r="L33" s="172">
        <v>23.847633099845002</v>
      </c>
      <c r="M33" s="172">
        <v>2.93534149016907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8.2337991445773403E-10</v>
      </c>
      <c r="G6" s="172">
        <v>977.45751004075203</v>
      </c>
      <c r="H6" s="172">
        <v>310.15521506338899</v>
      </c>
      <c r="I6" s="172">
        <v>9080.3930141360397</v>
      </c>
      <c r="J6" s="172">
        <v>1.5016826602261799E-9</v>
      </c>
      <c r="K6" s="172">
        <v>2.1823093991260499E-8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1.3202890914893901E-10</v>
      </c>
      <c r="G7" s="172">
        <v>977.45751004143801</v>
      </c>
      <c r="H7" s="172">
        <v>310.15521506316099</v>
      </c>
      <c r="I7" s="172">
        <v>9080.39301412655</v>
      </c>
      <c r="J7" s="172">
        <v>930.46564519025003</v>
      </c>
      <c r="K7" s="172">
        <v>2932.3725301209802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4.9661224377248204E-10</v>
      </c>
      <c r="G8" s="172">
        <v>232.90994566882199</v>
      </c>
      <c r="H8" s="172">
        <v>909.26702941628196</v>
      </c>
      <c r="I8" s="172">
        <v>23297.705806554699</v>
      </c>
      <c r="J8" s="172">
        <v>4.8289347949759E-10</v>
      </c>
      <c r="K8" s="172">
        <v>1.2619482502696401E-8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2.4473327828532498E-10</v>
      </c>
      <c r="G9" s="172">
        <v>232.90994566888199</v>
      </c>
      <c r="H9" s="172">
        <v>909.26702941638496</v>
      </c>
      <c r="I9" s="172">
        <v>23297.705806557598</v>
      </c>
      <c r="J9" s="172">
        <v>2727.8010882489002</v>
      </c>
      <c r="K9" s="172">
        <v>698.72983700518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6.8912224026635903E-10</v>
      </c>
      <c r="G10" s="172">
        <v>30259.302207864501</v>
      </c>
      <c r="H10" s="172">
        <v>2590.5530091326</v>
      </c>
      <c r="I10" s="172">
        <v>502471.29561329802</v>
      </c>
      <c r="J10" s="172">
        <v>930.46564519360697</v>
      </c>
      <c r="K10" s="172">
        <v>2932.37253007648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8.40028239553994E-10</v>
      </c>
      <c r="G11" s="172">
        <v>30290.827335177401</v>
      </c>
      <c r="H11" s="172">
        <v>2597.6742820545901</v>
      </c>
      <c r="I11" s="172">
        <v>502734.32938212098</v>
      </c>
      <c r="J11" s="172">
        <v>9622.9351345822997</v>
      </c>
      <c r="K11" s="172">
        <v>108647.742668933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6.9207841471339096E-9</v>
      </c>
      <c r="G12" s="172">
        <v>2461.1693580258202</v>
      </c>
      <c r="H12" s="172">
        <v>29139.005743518301</v>
      </c>
      <c r="I12" s="172">
        <v>325341.51198519202</v>
      </c>
      <c r="J12" s="172">
        <v>2727.8010883430602</v>
      </c>
      <c r="K12" s="172">
        <v>698.72983699274005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6.7086909292542497E-9</v>
      </c>
      <c r="G13" s="172">
        <v>2462.4357853720699</v>
      </c>
      <c r="H13" s="172">
        <v>29168.153949494001</v>
      </c>
      <c r="I13" s="172">
        <v>326176.42737772898</v>
      </c>
      <c r="J13" s="172">
        <v>104624.545110994</v>
      </c>
      <c r="K13" s="172">
        <v>8734.3842156825594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7.8221901572582697E-10</v>
      </c>
      <c r="G14" s="172">
        <v>62669.2342142216</v>
      </c>
      <c r="H14" s="172">
        <v>5285.4202280621803</v>
      </c>
      <c r="I14" s="172">
        <v>1051805.11593012</v>
      </c>
      <c r="J14" s="172">
        <v>9622.9351345799605</v>
      </c>
      <c r="K14" s="172">
        <v>108647.742668935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1.1325255126890999E-9</v>
      </c>
      <c r="G15" s="172">
        <v>62695.868678013801</v>
      </c>
      <c r="H15" s="172">
        <v>5291.0575706931204</v>
      </c>
      <c r="I15" s="172">
        <v>1052026.3517022301</v>
      </c>
      <c r="J15" s="172">
        <v>28012.275712472001</v>
      </c>
      <c r="K15" s="172">
        <v>327038.69811844599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1.02557270329903E-8</v>
      </c>
      <c r="G16" s="172">
        <v>5199.1952920971398</v>
      </c>
      <c r="H16" s="172">
        <v>59729.9496473693</v>
      </c>
      <c r="I16" s="172">
        <v>654849.60915931803</v>
      </c>
      <c r="J16" s="172">
        <v>104624.54511101299</v>
      </c>
      <c r="K16" s="172">
        <v>8734.3842156924602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1.0135188872557699E-8</v>
      </c>
      <c r="G17" s="172">
        <v>5200.1405427894797</v>
      </c>
      <c r="H17" s="172">
        <v>59754.406883069903</v>
      </c>
      <c r="I17" s="172">
        <v>655550.36458040902</v>
      </c>
      <c r="J17" s="172">
        <v>312574.93236450298</v>
      </c>
      <c r="K17" s="172">
        <v>26843.7541403166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1.30307018308995E-9</v>
      </c>
      <c r="G18" s="172">
        <v>89770.459321261398</v>
      </c>
      <c r="H18" s="172">
        <v>7542.9540300398403</v>
      </c>
      <c r="I18" s="172">
        <v>1510739.9578978401</v>
      </c>
      <c r="J18" s="172">
        <v>28012.2757124667</v>
      </c>
      <c r="K18" s="172">
        <v>327038.698118445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1.8570154120200701E-9</v>
      </c>
      <c r="G19" s="172">
        <v>89792.701442733305</v>
      </c>
      <c r="H19" s="172">
        <v>7547.5292922485696</v>
      </c>
      <c r="I19" s="172">
        <v>1510924.3288153899</v>
      </c>
      <c r="J19" s="172">
        <v>54169.528985677804</v>
      </c>
      <c r="K19" s="172">
        <v>637879.86442634603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1.2458670242541201E-8</v>
      </c>
      <c r="G20" s="172">
        <v>7492.3700139287002</v>
      </c>
      <c r="H20" s="172">
        <v>84937.677047229794</v>
      </c>
      <c r="I20" s="172">
        <v>928735.78488441801</v>
      </c>
      <c r="J20" s="172">
        <v>312574.93236451101</v>
      </c>
      <c r="K20" s="172">
        <v>26843.7541403256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1.23216272750662E-8</v>
      </c>
      <c r="G21" s="172">
        <v>7493.1799573107201</v>
      </c>
      <c r="H21" s="172">
        <v>84957.971122239294</v>
      </c>
      <c r="I21" s="172">
        <v>929317.421950544</v>
      </c>
      <c r="J21" s="172">
        <v>606084.71979666001</v>
      </c>
      <c r="K21" s="172">
        <v>52866.873405932602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1.3825288391443801E-9</v>
      </c>
      <c r="G22" s="172">
        <v>112500.402723108</v>
      </c>
      <c r="H22" s="172">
        <v>9423.7568287171907</v>
      </c>
      <c r="I22" s="172">
        <v>1895577.2606035699</v>
      </c>
      <c r="J22" s="172">
        <v>54169.528985685698</v>
      </c>
      <c r="K22" s="172">
        <v>637879.86442632799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1.40948752138609E-9</v>
      </c>
      <c r="G23" s="172">
        <v>112519.17202347</v>
      </c>
      <c r="H23" s="172">
        <v>9427.5645564995502</v>
      </c>
      <c r="I23" s="172">
        <v>1895732.79570263</v>
      </c>
      <c r="J23" s="172">
        <v>86599.406146228299</v>
      </c>
      <c r="K23" s="172">
        <v>1024314.9351818101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1.50070406435012E-8</v>
      </c>
      <c r="G24" s="172">
        <v>9402.5993142070092</v>
      </c>
      <c r="H24" s="172">
        <v>105845.167216911</v>
      </c>
      <c r="I24" s="172">
        <v>1157236.5799865499</v>
      </c>
      <c r="J24" s="172">
        <v>606084.71979668504</v>
      </c>
      <c r="K24" s="172">
        <v>52866.8734059423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1.4470761358678801E-8</v>
      </c>
      <c r="G25" s="172">
        <v>9403.3141409833206</v>
      </c>
      <c r="H25" s="172">
        <v>105862.199977907</v>
      </c>
      <c r="I25" s="172">
        <v>1157724.7622770499</v>
      </c>
      <c r="J25" s="172">
        <v>968538.57105665398</v>
      </c>
      <c r="K25" s="172">
        <v>85280.148215123103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1.5886005998064799E-9</v>
      </c>
      <c r="G26" s="172">
        <v>131809.19108303601</v>
      </c>
      <c r="H26" s="172">
        <v>11014.5418716614</v>
      </c>
      <c r="I26" s="172">
        <v>2222426.1375343199</v>
      </c>
      <c r="J26" s="172">
        <v>86599.406146235095</v>
      </c>
      <c r="K26" s="172">
        <v>1024314.9351818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1.6039938484186599E-9</v>
      </c>
      <c r="G27" s="172">
        <v>131825.26918213299</v>
      </c>
      <c r="H27" s="172">
        <v>11017.780963430099</v>
      </c>
      <c r="I27" s="172">
        <v>2222559.0138982702</v>
      </c>
      <c r="J27" s="172">
        <v>124141.49594532901</v>
      </c>
      <c r="K27" s="172">
        <v>1473094.55509341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1.6672064986415401E-8</v>
      </c>
      <c r="G28" s="172">
        <v>11017.5674160787</v>
      </c>
      <c r="H28" s="172">
        <v>123487.807325477</v>
      </c>
      <c r="I28" s="172">
        <v>1350815.92994142</v>
      </c>
      <c r="J28" s="172">
        <v>968538.57105666399</v>
      </c>
      <c r="K28" s="172">
        <v>85280.148215133493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1.64608934967965E-8</v>
      </c>
      <c r="G29" s="172">
        <v>11018.1964333047</v>
      </c>
      <c r="H29" s="172">
        <v>123502.386124247</v>
      </c>
      <c r="I29" s="172">
        <v>1351233.48785023</v>
      </c>
      <c r="J29" s="172">
        <v>1387210.15773468</v>
      </c>
      <c r="K29" s="172">
        <v>122905.241190363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1.60870100470233E-9</v>
      </c>
      <c r="G30" s="172">
        <v>148443.747616343</v>
      </c>
      <c r="H30" s="172">
        <v>12387.662044529299</v>
      </c>
      <c r="I30" s="172">
        <v>2503823.5829871199</v>
      </c>
      <c r="J30" s="172">
        <v>124141.49594533</v>
      </c>
      <c r="K30" s="172">
        <v>1473094.55509341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1.6616899846255799E-9</v>
      </c>
      <c r="G31" s="172">
        <v>148457.63260584199</v>
      </c>
      <c r="H31" s="172">
        <v>12390.458751442</v>
      </c>
      <c r="I31" s="172">
        <v>2503938.4547669101</v>
      </c>
      <c r="J31" s="172">
        <v>165940.44605041499</v>
      </c>
      <c r="K31" s="172">
        <v>1973955.1371688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1.5768420294249598E-8</v>
      </c>
      <c r="G32" s="172">
        <v>12404.3440941305</v>
      </c>
      <c r="H32" s="172">
        <v>138733.82514773001</v>
      </c>
      <c r="I32" s="172">
        <v>1518293.6895759001</v>
      </c>
      <c r="J32" s="172">
        <v>1387210.15773467</v>
      </c>
      <c r="K32" s="172">
        <v>122905.241190364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1.56484655998568E-8</v>
      </c>
      <c r="G33" s="172">
        <v>12404.8711148577</v>
      </c>
      <c r="H33" s="172">
        <v>138746.60150235301</v>
      </c>
      <c r="I33" s="172">
        <v>1518658.89552255</v>
      </c>
      <c r="J33" s="172">
        <v>1852683.95392955</v>
      </c>
      <c r="K33" s="172">
        <v>164859.33376685399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1.9614674131266899E-9</v>
      </c>
      <c r="G34" s="172">
        <v>163323.21127255401</v>
      </c>
      <c r="H34" s="172">
        <v>13627.3881344857</v>
      </c>
      <c r="I34" s="172">
        <v>2755451.65341157</v>
      </c>
      <c r="J34" s="172">
        <v>165940.44605042</v>
      </c>
      <c r="K34" s="172">
        <v>1973955.13716881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1.8871652231173799E-9</v>
      </c>
      <c r="G35" s="172">
        <v>163335.434951865</v>
      </c>
      <c r="H35" s="172">
        <v>13629.819802542999</v>
      </c>
      <c r="I35" s="172">
        <v>2755551.8967046998</v>
      </c>
      <c r="J35" s="172">
        <v>211459.64696551801</v>
      </c>
      <c r="K35" s="172">
        <v>2520060.77928825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1.61585259282209E-8</v>
      </c>
      <c r="G36" s="172">
        <v>13644.444570806199</v>
      </c>
      <c r="H36" s="172">
        <v>152546.319806677</v>
      </c>
      <c r="I36" s="172">
        <v>1669263.21818648</v>
      </c>
      <c r="J36" s="172">
        <v>1852683.95392954</v>
      </c>
      <c r="K36" s="172">
        <v>164859.33376686301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1.59917440260301E-8</v>
      </c>
      <c r="G37" s="172">
        <v>13644.8643858285</v>
      </c>
      <c r="H37" s="172">
        <v>152557.591915742</v>
      </c>
      <c r="I37" s="172">
        <v>1669584.6621429699</v>
      </c>
      <c r="J37" s="172">
        <v>2359165.7447939198</v>
      </c>
      <c r="K37" s="172">
        <v>210568.62036323099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2.0891810980122502E-9</v>
      </c>
      <c r="G38" s="172">
        <v>176099.945176234</v>
      </c>
      <c r="H38" s="172">
        <v>14694.5777720202</v>
      </c>
      <c r="I38" s="172">
        <v>2971329.83494697</v>
      </c>
      <c r="J38" s="172">
        <v>211459.646965514</v>
      </c>
      <c r="K38" s="172">
        <v>2520060.7792882598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2.0230868801969898E-9</v>
      </c>
      <c r="G39" s="172">
        <v>176110.02747814899</v>
      </c>
      <c r="H39" s="172">
        <v>14696.5724095406</v>
      </c>
      <c r="I39" s="172">
        <v>2971411.9104312002</v>
      </c>
      <c r="J39" s="172">
        <v>260207.63729411899</v>
      </c>
      <c r="K39" s="172">
        <v>3105042.91003463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1.6043350391732002E-8</v>
      </c>
      <c r="G40" s="172">
        <v>14703.844411222</v>
      </c>
      <c r="H40" s="172">
        <v>164571.79830891499</v>
      </c>
      <c r="I40" s="172">
        <v>1799805.25076959</v>
      </c>
      <c r="J40" s="172">
        <v>2359165.7447938998</v>
      </c>
      <c r="K40" s="172">
        <v>210568.62036323801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1.56680208713653E-8</v>
      </c>
      <c r="G41" s="172">
        <v>14704.155962127301</v>
      </c>
      <c r="H41" s="172">
        <v>164581.13240180101</v>
      </c>
      <c r="I41" s="172">
        <v>1800071.0394184999</v>
      </c>
      <c r="J41" s="172">
        <v>2901560.1261711102</v>
      </c>
      <c r="K41" s="172">
        <v>259502.22342512201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2.3218451958373099E-9</v>
      </c>
      <c r="G42" s="172">
        <v>185972.844865666</v>
      </c>
      <c r="H42" s="172">
        <v>15508.177391689</v>
      </c>
      <c r="I42" s="172">
        <v>3137806.7943973402</v>
      </c>
      <c r="J42" s="172">
        <v>260207.63729411599</v>
      </c>
      <c r="K42" s="172">
        <v>3105042.9100346598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2.5005535376395798E-9</v>
      </c>
      <c r="G43" s="172">
        <v>185979.74949785901</v>
      </c>
      <c r="H43" s="172">
        <v>15509.4945235265</v>
      </c>
      <c r="I43" s="172">
        <v>3137861.5095200599</v>
      </c>
      <c r="J43" s="172">
        <v>311581.64304816502</v>
      </c>
      <c r="K43" s="172">
        <v>3721472.5159733202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1.5281805583593599E-8</v>
      </c>
      <c r="G44" s="172">
        <v>15509.4657925676</v>
      </c>
      <c r="H44" s="172">
        <v>173953.896485573</v>
      </c>
      <c r="I44" s="172">
        <v>1901166.24250203</v>
      </c>
      <c r="J44" s="172">
        <v>2901560.1261710902</v>
      </c>
      <c r="K44" s="172">
        <v>259502.22342512701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1.5111730405800799E-8</v>
      </c>
      <c r="G45" s="172">
        <v>15509.6538226923</v>
      </c>
      <c r="H45" s="172">
        <v>173960.230483925</v>
      </c>
      <c r="I45" s="172">
        <v>1901346.6989961099</v>
      </c>
      <c r="J45" s="172">
        <v>3473660.6850752002</v>
      </c>
      <c r="K45" s="172">
        <v>311031.55045182299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2.7322309024705801E-9</v>
      </c>
      <c r="G46" s="172">
        <v>191494.53109167001</v>
      </c>
      <c r="H46" s="172">
        <v>15933.1631132441</v>
      </c>
      <c r="I46" s="172">
        <v>3230135.7405587798</v>
      </c>
      <c r="J46" s="172">
        <v>311581.64304816001</v>
      </c>
      <c r="K46" s="172">
        <v>3721472.51597333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2.7841760937261099E-9</v>
      </c>
      <c r="G47" s="172">
        <v>191497.06094328701</v>
      </c>
      <c r="H47" s="172">
        <v>15933.597967748199</v>
      </c>
      <c r="I47" s="172">
        <v>3230154.23330638</v>
      </c>
      <c r="J47" s="172">
        <v>372358.80878611602</v>
      </c>
      <c r="K47" s="172">
        <v>4451124.20026932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1.4840300963592799E-8</v>
      </c>
      <c r="G48" s="172">
        <v>15933.537553292899</v>
      </c>
      <c r="H48" s="172">
        <v>179170.527691986</v>
      </c>
      <c r="I48" s="172">
        <v>1957850.5094354399</v>
      </c>
      <c r="J48" s="172">
        <v>3473660.6850751801</v>
      </c>
      <c r="K48" s="172">
        <v>311031.55045182601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1.4786371697903299E-8</v>
      </c>
      <c r="G49" s="172">
        <v>15933.598188866899</v>
      </c>
      <c r="H49" s="172">
        <v>179172.73917165</v>
      </c>
      <c r="I49" s="172">
        <v>1957913.8134286299</v>
      </c>
      <c r="J49" s="172">
        <v>4151917.89255497</v>
      </c>
      <c r="K49" s="172">
        <v>371946.318624401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3"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1.43845000272307</v>
      </c>
      <c r="N5" s="172">
        <v>1.4714248663698499</v>
      </c>
      <c r="O5" s="172">
        <v>6357751.3875750899</v>
      </c>
      <c r="P5" s="172">
        <v>218282.24800375901</v>
      </c>
      <c r="Q5" s="172">
        <v>21979.167016478299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1.5549604708115801</v>
      </c>
      <c r="N6" s="172">
        <v>1.39697415025657</v>
      </c>
      <c r="O6" s="172">
        <v>6357751.3875750899</v>
      </c>
      <c r="P6" s="172">
        <v>207237.667984673</v>
      </c>
      <c r="Q6" s="172">
        <v>22557.246724553901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205095.81371996662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205095.81371996662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8.2337991445773403E-10</v>
      </c>
      <c r="F15" s="172">
        <v>977.45751004075203</v>
      </c>
      <c r="G15" s="172">
        <v>310.15521506338899</v>
      </c>
      <c r="H15" s="172">
        <v>9080.3930141360397</v>
      </c>
      <c r="I15" s="172">
        <v>1.5016826602261799E-9</v>
      </c>
      <c r="J15" s="172">
        <v>2.1823093991260499E-8</v>
      </c>
      <c r="K15" s="166"/>
      <c r="L15" s="166" t="s">
        <v>189</v>
      </c>
      <c r="M15">
        <f>+F15</f>
        <v>977.45751004075203</v>
      </c>
      <c r="N15">
        <f>+G15</f>
        <v>310.15521506338899</v>
      </c>
      <c r="O15" s="18">
        <f t="shared" ref="O15:P19" si="0">+M15*$O$55</f>
        <v>1046.883387507984</v>
      </c>
      <c r="P15" s="19">
        <f t="shared" si="0"/>
        <v>332.18461044438726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6.8912224026635903E-10</v>
      </c>
      <c r="F16" s="172">
        <v>30259.302207864501</v>
      </c>
      <c r="G16" s="172">
        <v>2590.5530091326</v>
      </c>
      <c r="H16" s="172">
        <v>502471.29561329802</v>
      </c>
      <c r="I16" s="172">
        <v>930.46564519360697</v>
      </c>
      <c r="J16" s="172">
        <v>2932.37253007648</v>
      </c>
      <c r="K16" s="166"/>
      <c r="L16" s="166" t="s">
        <v>187</v>
      </c>
      <c r="M16" s="13">
        <f>+F16-F15</f>
        <v>29281.844697823748</v>
      </c>
      <c r="N16">
        <f>+G16-G15</f>
        <v>2280.3977940692112</v>
      </c>
      <c r="O16" s="18">
        <f t="shared" si="0"/>
        <v>31361.646368098776</v>
      </c>
      <c r="P16" s="19">
        <f t="shared" si="0"/>
        <v>2442.3676149578905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7.8221901572582697E-10</v>
      </c>
      <c r="F17" s="172">
        <v>62669.2342142216</v>
      </c>
      <c r="G17" s="172">
        <v>5285.4202280621803</v>
      </c>
      <c r="H17" s="172">
        <v>1051805.11593012</v>
      </c>
      <c r="I17" s="172">
        <v>9622.9351345799605</v>
      </c>
      <c r="J17" s="172">
        <v>108647.742668935</v>
      </c>
      <c r="K17" s="166"/>
      <c r="L17" s="166" t="s">
        <v>185</v>
      </c>
      <c r="M17" s="13">
        <f t="shared" ref="M17:M25" si="1">+F17-F16</f>
        <v>32409.932006357099</v>
      </c>
      <c r="N17" s="13">
        <f t="shared" ref="N17:N25" si="2">+G17-G16</f>
        <v>2694.8672189295803</v>
      </c>
      <c r="O17" s="18">
        <f t="shared" si="0"/>
        <v>34711.912343181008</v>
      </c>
      <c r="P17" s="19">
        <f t="shared" si="0"/>
        <v>2886.2755608881635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1.30307018308995E-9</v>
      </c>
      <c r="F18" s="172">
        <v>89770.459321261398</v>
      </c>
      <c r="G18" s="172">
        <v>7542.9540300398403</v>
      </c>
      <c r="H18" s="172">
        <v>1510739.9578978401</v>
      </c>
      <c r="I18" s="172">
        <v>28012.2757124667</v>
      </c>
      <c r="J18" s="172">
        <v>327038.698118445</v>
      </c>
      <c r="K18" s="166"/>
      <c r="L18" s="166" t="s">
        <v>183</v>
      </c>
      <c r="M18" s="13">
        <f t="shared" si="1"/>
        <v>27101.225107039798</v>
      </c>
      <c r="N18" s="13">
        <f t="shared" si="2"/>
        <v>2257.53380197766</v>
      </c>
      <c r="O18" s="18">
        <f t="shared" si="0"/>
        <v>29026.143903167082</v>
      </c>
      <c r="P18" s="19">
        <f t="shared" si="0"/>
        <v>2417.8796620321814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1.3825288391443801E-9</v>
      </c>
      <c r="F19" s="172">
        <v>112500.402723108</v>
      </c>
      <c r="G19" s="172">
        <v>9423.7568287171907</v>
      </c>
      <c r="H19" s="172">
        <v>1895577.2606035699</v>
      </c>
      <c r="I19" s="172">
        <v>54169.528985685698</v>
      </c>
      <c r="J19" s="172">
        <v>637879.86442632799</v>
      </c>
      <c r="K19" s="166"/>
      <c r="L19" s="166" t="s">
        <v>181</v>
      </c>
      <c r="M19" s="13">
        <f t="shared" si="1"/>
        <v>22729.943401846598</v>
      </c>
      <c r="N19" s="13">
        <f t="shared" si="2"/>
        <v>1880.8027986773504</v>
      </c>
      <c r="O19" s="18">
        <f t="shared" si="0"/>
        <v>24344.383159323042</v>
      </c>
      <c r="P19" s="19">
        <f t="shared" si="0"/>
        <v>2014.3905846421405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1.5886005998064799E-9</v>
      </c>
      <c r="F20" s="172">
        <v>131809.19108303601</v>
      </c>
      <c r="G20" s="172">
        <v>11014.5418716614</v>
      </c>
      <c r="H20" s="172">
        <v>2222426.1375343199</v>
      </c>
      <c r="I20" s="172">
        <v>86599.406146235095</v>
      </c>
      <c r="J20" s="172">
        <v>1024314.9351818</v>
      </c>
      <c r="K20" s="166"/>
      <c r="L20" s="166" t="s">
        <v>179</v>
      </c>
      <c r="M20" s="113">
        <f t="shared" si="1"/>
        <v>19308.788359928018</v>
      </c>
      <c r="N20" s="113">
        <f t="shared" si="2"/>
        <v>1590.7850429442096</v>
      </c>
      <c r="O20" s="18">
        <f t="shared" ref="O20:O25" si="3">+M20*$O$55</f>
        <v>20680.233728086463</v>
      </c>
      <c r="P20" s="19">
        <f t="shared" ref="P20:P25" si="4">+N20*$O$55</f>
        <v>1703.7737369116287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1.60870100470233E-9</v>
      </c>
      <c r="F21" s="172">
        <v>148443.747616343</v>
      </c>
      <c r="G21" s="172">
        <v>12387.662044529299</v>
      </c>
      <c r="H21" s="172">
        <v>2503823.5829871199</v>
      </c>
      <c r="I21" s="172">
        <v>124141.49594533</v>
      </c>
      <c r="J21" s="172">
        <v>1473094.55509341</v>
      </c>
      <c r="K21" s="166"/>
      <c r="L21" s="166" t="s">
        <v>39</v>
      </c>
      <c r="M21" s="113">
        <f t="shared" si="1"/>
        <v>16634.556533306983</v>
      </c>
      <c r="N21" s="113">
        <f t="shared" si="2"/>
        <v>1373.1201728678989</v>
      </c>
      <c r="O21" s="18">
        <f t="shared" si="3"/>
        <v>17816.0592295776</v>
      </c>
      <c r="P21" s="19">
        <f t="shared" si="4"/>
        <v>1470.6487834622731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1.9614674131266899E-9</v>
      </c>
      <c r="F22" s="172">
        <v>163323.21127255401</v>
      </c>
      <c r="G22" s="172">
        <v>13627.3881344857</v>
      </c>
      <c r="H22" s="172">
        <v>2755451.65341157</v>
      </c>
      <c r="I22" s="172">
        <v>165940.44605042</v>
      </c>
      <c r="J22" s="172">
        <v>1973955.13716881</v>
      </c>
      <c r="K22" s="166"/>
      <c r="L22" s="166" t="s">
        <v>26</v>
      </c>
      <c r="M22" s="113">
        <f t="shared" si="1"/>
        <v>14879.46365621101</v>
      </c>
      <c r="N22" s="113">
        <f t="shared" si="2"/>
        <v>1239.7260899564008</v>
      </c>
      <c r="O22" s="18">
        <f t="shared" si="3"/>
        <v>15936.307365490167</v>
      </c>
      <c r="P22" s="19">
        <f t="shared" si="4"/>
        <v>1327.7801186278418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2.0891810980122502E-9</v>
      </c>
      <c r="F23" s="172">
        <v>176099.945176234</v>
      </c>
      <c r="G23" s="172">
        <v>14694.5777720202</v>
      </c>
      <c r="H23" s="172">
        <v>2971329.83494697</v>
      </c>
      <c r="I23" s="172">
        <v>211459.646965514</v>
      </c>
      <c r="J23" s="172">
        <v>2520060.7792882598</v>
      </c>
      <c r="K23" s="166"/>
      <c r="L23" s="166" t="s">
        <v>25</v>
      </c>
      <c r="M23" s="113">
        <f t="shared" si="1"/>
        <v>12776.733903679997</v>
      </c>
      <c r="N23" s="113">
        <f t="shared" si="2"/>
        <v>1067.1896375345004</v>
      </c>
      <c r="O23" s="18">
        <f t="shared" si="3"/>
        <v>13684.227020584212</v>
      </c>
      <c r="P23" s="19">
        <f t="shared" si="4"/>
        <v>1142.9889190875992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2.3218451958373099E-9</v>
      </c>
      <c r="F24" s="172">
        <v>185972.844865666</v>
      </c>
      <c r="G24" s="172">
        <v>15508.177391689</v>
      </c>
      <c r="H24" s="172">
        <v>3137806.7943973402</v>
      </c>
      <c r="I24" s="172">
        <v>260207.63729411599</v>
      </c>
      <c r="J24" s="172">
        <v>3105042.9100346598</v>
      </c>
      <c r="K24" s="166"/>
      <c r="L24" s="166" t="s">
        <v>24</v>
      </c>
      <c r="M24" s="113">
        <f t="shared" si="1"/>
        <v>9872.8996894320007</v>
      </c>
      <c r="N24" s="113">
        <f t="shared" si="2"/>
        <v>813.59961966879928</v>
      </c>
      <c r="O24" s="18">
        <f t="shared" si="3"/>
        <v>10574.142164980838</v>
      </c>
      <c r="P24" s="19">
        <f t="shared" si="4"/>
        <v>871.38716227017301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2.7322309024705801E-9</v>
      </c>
      <c r="F25" s="172">
        <v>191494.53109167001</v>
      </c>
      <c r="G25" s="172">
        <v>15933.1631132441</v>
      </c>
      <c r="H25" s="172">
        <v>3230135.7405587798</v>
      </c>
      <c r="I25" s="172">
        <v>311581.64304816001</v>
      </c>
      <c r="J25" s="172">
        <v>3721472.51597333</v>
      </c>
      <c r="K25" s="166"/>
      <c r="L25" s="166" t="s">
        <v>22</v>
      </c>
      <c r="M25" s="113">
        <f t="shared" si="1"/>
        <v>5521.686226004007</v>
      </c>
      <c r="N25" s="113">
        <f t="shared" si="2"/>
        <v>424.9857215551001</v>
      </c>
      <c r="O25" s="30">
        <f t="shared" si="3"/>
        <v>5913.8750499694333</v>
      </c>
      <c r="P25" s="24">
        <f t="shared" si="4"/>
        <v>455.17118366155773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4.9661224377248204E-10</v>
      </c>
      <c r="F34" s="172">
        <v>232.90994566882199</v>
      </c>
      <c r="G34" s="172">
        <v>909.26702941628196</v>
      </c>
      <c r="H34" s="172">
        <v>23297.705806554699</v>
      </c>
      <c r="I34" s="172">
        <v>4.8289347949759E-10</v>
      </c>
      <c r="J34" s="172">
        <v>1.2619482502696401E-8</v>
      </c>
      <c r="L34" s="113" t="s">
        <v>189</v>
      </c>
      <c r="M34" s="13">
        <f>+F34</f>
        <v>232.90994566882199</v>
      </c>
      <c r="N34" s="13">
        <f>+G34</f>
        <v>909.26702941628196</v>
      </c>
      <c r="O34" s="18">
        <f>+M34*$O$56</f>
        <v>266.61111872450482</v>
      </c>
      <c r="P34" s="19">
        <f>+N34*$O$56</f>
        <v>1040.8344703179127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6.9207841471339096E-9</v>
      </c>
      <c r="F35" s="172">
        <v>2461.1693580258202</v>
      </c>
      <c r="G35" s="172">
        <v>29139.005743518301</v>
      </c>
      <c r="H35" s="172">
        <v>325341.51198519202</v>
      </c>
      <c r="I35" s="172">
        <v>2727.8010883430602</v>
      </c>
      <c r="J35" s="172">
        <v>698.72983699274005</v>
      </c>
      <c r="L35" s="113" t="s">
        <v>187</v>
      </c>
      <c r="M35" s="13">
        <f>+F35-F34</f>
        <v>2228.2594123569984</v>
      </c>
      <c r="N35" s="13">
        <f>+G35-G34</f>
        <v>28229.738714102019</v>
      </c>
      <c r="O35" s="18">
        <f t="shared" ref="O35:P44" si="5">+M35*$O$56</f>
        <v>2550.6799764645352</v>
      </c>
      <c r="P35" s="19">
        <f t="shared" si="5"/>
        <v>32314.473296769585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1.02557270329903E-8</v>
      </c>
      <c r="F36" s="172">
        <v>5199.1952920971398</v>
      </c>
      <c r="G36" s="172">
        <v>59729.9496473693</v>
      </c>
      <c r="H36" s="172">
        <v>654849.60915931803</v>
      </c>
      <c r="I36" s="172">
        <v>104624.54511101299</v>
      </c>
      <c r="J36" s="172">
        <v>8734.3842156924602</v>
      </c>
      <c r="L36" s="113" t="s">
        <v>185</v>
      </c>
      <c r="M36" s="13">
        <f t="shared" ref="M36:M44" si="6">+F36-F35</f>
        <v>2738.0259340713196</v>
      </c>
      <c r="N36" s="13">
        <f t="shared" ref="N36:N44" si="7">+G36-G35</f>
        <v>30590.943903850999</v>
      </c>
      <c r="O36" s="18">
        <f t="shared" si="5"/>
        <v>3134.207752628316</v>
      </c>
      <c r="P36" s="19">
        <f t="shared" si="5"/>
        <v>35017.335793127771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1.2458670242541201E-8</v>
      </c>
      <c r="F37" s="172">
        <v>7492.3700139287002</v>
      </c>
      <c r="G37" s="172">
        <v>84937.677047229794</v>
      </c>
      <c r="H37" s="172">
        <v>928735.78488441801</v>
      </c>
      <c r="I37" s="172">
        <v>312574.93236451101</v>
      </c>
      <c r="J37" s="172">
        <v>26843.7541403256</v>
      </c>
      <c r="L37" s="113" t="s">
        <v>183</v>
      </c>
      <c r="M37" s="13">
        <f t="shared" si="6"/>
        <v>2293.1747218315604</v>
      </c>
      <c r="N37" s="13">
        <f t="shared" si="7"/>
        <v>25207.727399860494</v>
      </c>
      <c r="O37" s="18">
        <f t="shared" si="5"/>
        <v>2624.9882814691214</v>
      </c>
      <c r="P37" s="19">
        <f t="shared" si="5"/>
        <v>28855.18857204734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1.50070406435012E-8</v>
      </c>
      <c r="F38" s="172">
        <v>9402.5993142070092</v>
      </c>
      <c r="G38" s="172">
        <v>105845.167216911</v>
      </c>
      <c r="H38" s="172">
        <v>1157236.5799865499</v>
      </c>
      <c r="I38" s="172">
        <v>606084.71979668504</v>
      </c>
      <c r="J38" s="172">
        <v>52866.8734059423</v>
      </c>
      <c r="L38" s="113" t="s">
        <v>181</v>
      </c>
      <c r="M38" s="13">
        <f t="shared" si="6"/>
        <v>1910.229300278309</v>
      </c>
      <c r="N38" s="13">
        <f t="shared" si="7"/>
        <v>20907.490169681201</v>
      </c>
      <c r="O38" s="18">
        <f t="shared" si="5"/>
        <v>2186.6321307364542</v>
      </c>
      <c r="P38" s="19">
        <f t="shared" si="5"/>
        <v>23932.723559114489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1.6672064986415401E-8</v>
      </c>
      <c r="F39" s="172">
        <v>11017.5674160787</v>
      </c>
      <c r="G39" s="172">
        <v>123487.807325477</v>
      </c>
      <c r="H39" s="172">
        <v>1350815.92994142</v>
      </c>
      <c r="I39" s="172">
        <v>968538.57105666399</v>
      </c>
      <c r="J39" s="172">
        <v>85280.148215133493</v>
      </c>
      <c r="L39" s="113" t="s">
        <v>179</v>
      </c>
      <c r="M39" s="113">
        <f t="shared" si="6"/>
        <v>1614.968101871691</v>
      </c>
      <c r="N39" s="113">
        <f t="shared" si="7"/>
        <v>17642.640108566004</v>
      </c>
      <c r="O39" s="18">
        <f t="shared" si="5"/>
        <v>1848.6477728891539</v>
      </c>
      <c r="P39" s="19">
        <f t="shared" si="5"/>
        <v>20195.462255127972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1.5768420294249598E-8</v>
      </c>
      <c r="F40" s="172">
        <v>12404.3440941305</v>
      </c>
      <c r="G40" s="172">
        <v>138733.82514773001</v>
      </c>
      <c r="H40" s="172">
        <v>1518293.6895759001</v>
      </c>
      <c r="I40" s="172">
        <v>1387210.15773467</v>
      </c>
      <c r="J40" s="172">
        <v>122905.241190364</v>
      </c>
      <c r="L40" s="13" t="s">
        <v>39</v>
      </c>
      <c r="M40" s="113">
        <f t="shared" si="6"/>
        <v>1386.7766780517995</v>
      </c>
      <c r="N40" s="113">
        <f t="shared" si="7"/>
        <v>15246.017822253008</v>
      </c>
      <c r="O40" s="18">
        <f t="shared" si="5"/>
        <v>1587.4379279713853</v>
      </c>
      <c r="P40" s="19">
        <f t="shared" si="5"/>
        <v>17452.057944594391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1.61585259282209E-8</v>
      </c>
      <c r="F41" s="172">
        <v>13644.444570806199</v>
      </c>
      <c r="G41" s="172">
        <v>152546.319806677</v>
      </c>
      <c r="H41" s="172">
        <v>1669263.21818648</v>
      </c>
      <c r="I41" s="172">
        <v>1852683.95392954</v>
      </c>
      <c r="J41" s="172">
        <v>164859.33376686301</v>
      </c>
      <c r="L41" s="13" t="s">
        <v>26</v>
      </c>
      <c r="M41" s="113">
        <f t="shared" si="6"/>
        <v>1240.1004766756996</v>
      </c>
      <c r="N41" s="113">
        <f t="shared" si="7"/>
        <v>13812.494658946991</v>
      </c>
      <c r="O41" s="18">
        <f t="shared" si="5"/>
        <v>1419.5382445686532</v>
      </c>
      <c r="P41" s="19">
        <f t="shared" si="5"/>
        <v>15811.109494801894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1.6043350391732002E-8</v>
      </c>
      <c r="F42" s="172">
        <v>14703.844411222</v>
      </c>
      <c r="G42" s="172">
        <v>164571.79830891499</v>
      </c>
      <c r="H42" s="172">
        <v>1799805.25076959</v>
      </c>
      <c r="I42" s="172">
        <v>2359165.7447938998</v>
      </c>
      <c r="J42" s="172">
        <v>210568.62036323801</v>
      </c>
      <c r="L42" s="13" t="s">
        <v>25</v>
      </c>
      <c r="M42" s="113">
        <f t="shared" si="6"/>
        <v>1059.399840415801</v>
      </c>
      <c r="N42" s="113">
        <f t="shared" si="7"/>
        <v>12025.478502237995</v>
      </c>
      <c r="O42" s="18">
        <f t="shared" si="5"/>
        <v>1212.6909214578375</v>
      </c>
      <c r="P42" s="19">
        <f t="shared" si="5"/>
        <v>13765.518975466988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1.5281805583593599E-8</v>
      </c>
      <c r="F43" s="172">
        <v>15509.4657925676</v>
      </c>
      <c r="G43" s="172">
        <v>173953.896485573</v>
      </c>
      <c r="H43" s="172">
        <v>1901166.24250203</v>
      </c>
      <c r="I43" s="172">
        <v>2901560.1261710902</v>
      </c>
      <c r="J43" s="172">
        <v>259502.22342512701</v>
      </c>
      <c r="L43" s="13" t="s">
        <v>24</v>
      </c>
      <c r="M43" s="113">
        <f t="shared" si="6"/>
        <v>805.62138134559973</v>
      </c>
      <c r="N43" s="113">
        <f t="shared" si="7"/>
        <v>9382.098176658008</v>
      </c>
      <c r="O43" s="18">
        <f t="shared" si="5"/>
        <v>922.19169573093654</v>
      </c>
      <c r="P43" s="19">
        <f t="shared" si="5"/>
        <v>10739.651686745334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1.4840300963592799E-8</v>
      </c>
      <c r="F44" s="172">
        <v>15933.537553292899</v>
      </c>
      <c r="G44" s="172">
        <v>179170.527691986</v>
      </c>
      <c r="H44" s="172">
        <v>1957850.5094354399</v>
      </c>
      <c r="I44" s="172">
        <v>3473660.6850751801</v>
      </c>
      <c r="J44" s="172">
        <v>311031.55045182601</v>
      </c>
      <c r="L44" s="13" t="s">
        <v>22</v>
      </c>
      <c r="M44" s="113">
        <f t="shared" si="6"/>
        <v>424.0717607252991</v>
      </c>
      <c r="N44" s="113">
        <f t="shared" si="7"/>
        <v>5216.6312064130034</v>
      </c>
      <c r="O44" s="30">
        <f t="shared" si="5"/>
        <v>485.43331295610432</v>
      </c>
      <c r="P44" s="24">
        <f t="shared" si="5"/>
        <v>5971.4576718529206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196454.02320338311</v>
      </c>
      <c r="O51" s="14" t="str">
        <f>+K10</f>
        <v>USAR TA</v>
      </c>
      <c r="P51" s="107">
        <f>+IF(O51="USAR TA",(I10),N51)</f>
        <v>205095.81371996662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186513.90118620571</v>
      </c>
      <c r="O52" s="14" t="str">
        <f>+K11</f>
        <v>USAR TA</v>
      </c>
      <c r="P52" s="107">
        <f>+IF(O52="USAR TB",(N52),I11)</f>
        <v>205095.81371996662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191494.53109167001</v>
      </c>
      <c r="N55" s="16" t="str">
        <f>+IF(M55&lt;P51,"ESCALAR",N51)</f>
        <v>ESCALAR</v>
      </c>
      <c r="O55" s="14">
        <f>+IF(N55="ESCALAR",(P51/M55))</f>
        <v>1.0710270029684845</v>
      </c>
      <c r="P55" s="19">
        <f>+M55*O55</f>
        <v>205095.81371996659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179170.527691986</v>
      </c>
      <c r="N56" s="112" t="str">
        <f>+IF(M56&lt;P52,"ESCALAR",M56)</f>
        <v>ESCALAR</v>
      </c>
      <c r="O56" s="23">
        <f>+IF(N56="ESCALAR",(P52/M56))</f>
        <v>1.1446961526649575</v>
      </c>
      <c r="P56" s="24">
        <f>+M56*O56</f>
        <v>205095.81371996659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1.5549604708115801</v>
      </c>
      <c r="E62" s="172">
        <v>6.8556800641769201E-3</v>
      </c>
      <c r="F62" s="172">
        <v>0.79417222913205898</v>
      </c>
      <c r="G62" s="172">
        <v>0</v>
      </c>
      <c r="H62" s="172">
        <v>6.8556800641769201E-3</v>
      </c>
      <c r="I62" s="172">
        <v>0.79417222913205898</v>
      </c>
      <c r="J62" s="172">
        <v>0</v>
      </c>
      <c r="K62" s="172">
        <v>0.19437898730179901</v>
      </c>
      <c r="L62" s="172">
        <v>1.7086876496169099E-3</v>
      </c>
      <c r="M62" s="172">
        <v>8.87399123710245E-3</v>
      </c>
      <c r="N62" s="172">
        <v>0.19437898730179901</v>
      </c>
      <c r="O62" s="172">
        <v>1.7086876496169099E-3</v>
      </c>
      <c r="P62" s="172">
        <v>8.87399123710245E-3</v>
      </c>
    </row>
    <row r="63" spans="2:16" x14ac:dyDescent="0.3">
      <c r="B63" s="172" t="s">
        <v>238</v>
      </c>
      <c r="C63" s="172">
        <v>2</v>
      </c>
      <c r="D63" s="172">
        <v>1.43845000272307</v>
      </c>
      <c r="E63" s="172">
        <v>0.78254401432621201</v>
      </c>
      <c r="F63" s="172">
        <v>9.5079172080727997E-3</v>
      </c>
      <c r="G63" s="172">
        <v>0</v>
      </c>
      <c r="H63" s="172">
        <v>0.78939969439038804</v>
      </c>
      <c r="I63" s="172">
        <v>0.80368014634013196</v>
      </c>
      <c r="J63" s="172">
        <v>0</v>
      </c>
      <c r="K63" s="172">
        <v>2.35377729589753E-3</v>
      </c>
      <c r="L63" s="172">
        <v>0.18833822954439899</v>
      </c>
      <c r="M63" s="172">
        <v>2.0402813535991399E-2</v>
      </c>
      <c r="N63" s="172">
        <v>0.19673276459769701</v>
      </c>
      <c r="O63" s="172">
        <v>0.19004691719401601</v>
      </c>
      <c r="P63" s="172">
        <v>2.9276804773093901E-2</v>
      </c>
    </row>
    <row r="64" spans="2:16" x14ac:dyDescent="0.3">
      <c r="B64" s="172" t="s">
        <v>238</v>
      </c>
      <c r="C64" s="172">
        <v>3</v>
      </c>
      <c r="D64" s="172">
        <v>1.26686608508549</v>
      </c>
      <c r="E64" s="172">
        <v>2.26203347821902E-2</v>
      </c>
      <c r="F64" s="172">
        <v>5.78412032288062E-3</v>
      </c>
      <c r="G64" s="172">
        <v>0</v>
      </c>
      <c r="H64" s="172">
        <v>0.81202002917257898</v>
      </c>
      <c r="I64" s="172">
        <v>0.80946426666301297</v>
      </c>
      <c r="J64" s="172">
        <v>0</v>
      </c>
      <c r="K64" s="172">
        <v>2.4480845257183002E-3</v>
      </c>
      <c r="L64" s="172">
        <v>6.7781959232255098E-3</v>
      </c>
      <c r="M64" s="172">
        <v>0.77694875549312103</v>
      </c>
      <c r="N64" s="172">
        <v>0.19918084912341499</v>
      </c>
      <c r="O64" s="172">
        <v>0.19682511311724099</v>
      </c>
      <c r="P64" s="172">
        <v>0.80622556026621495</v>
      </c>
    </row>
    <row r="65" spans="2:16" x14ac:dyDescent="0.3">
      <c r="B65" s="172" t="s">
        <v>238</v>
      </c>
      <c r="C65" s="172">
        <v>4</v>
      </c>
      <c r="D65" s="172">
        <v>0.51648678887157995</v>
      </c>
      <c r="E65" s="172">
        <v>9.4557031209164405E-4</v>
      </c>
      <c r="F65" s="172">
        <v>0.106469473287734</v>
      </c>
      <c r="G65" s="172">
        <v>0</v>
      </c>
      <c r="H65" s="172">
        <v>0.81296559948466995</v>
      </c>
      <c r="I65" s="172">
        <v>0.91593373995074701</v>
      </c>
      <c r="J65" s="172">
        <v>0</v>
      </c>
      <c r="K65" s="172">
        <v>0.55507635445799597</v>
      </c>
      <c r="L65" s="172">
        <v>4.4503117340619798E-3</v>
      </c>
      <c r="M65" s="172">
        <v>2.0722638196088001E-3</v>
      </c>
      <c r="N65" s="172">
        <v>0.75425720358141102</v>
      </c>
      <c r="O65" s="172">
        <v>0.20127542485130301</v>
      </c>
      <c r="P65" s="172">
        <v>0.80829782408582396</v>
      </c>
    </row>
    <row r="66" spans="2:16" x14ac:dyDescent="0.3">
      <c r="B66" s="172" t="s">
        <v>238</v>
      </c>
      <c r="C66" s="172">
        <v>5</v>
      </c>
      <c r="D66" s="172">
        <v>0.47937990122360602</v>
      </c>
      <c r="E66" s="172">
        <v>0.106047833282036</v>
      </c>
      <c r="F66" s="172">
        <v>1.4453631096533099E-3</v>
      </c>
      <c r="G66" s="172">
        <v>0</v>
      </c>
      <c r="H66" s="172">
        <v>0.91901343276670699</v>
      </c>
      <c r="I66" s="172">
        <v>0.91737910306040005</v>
      </c>
      <c r="J66" s="172">
        <v>0</v>
      </c>
      <c r="K66" s="172">
        <v>7.8572602668574403E-3</v>
      </c>
      <c r="L66" s="172">
        <v>0.55508168428024796</v>
      </c>
      <c r="M66" s="172">
        <v>3.6518699840623501E-3</v>
      </c>
      <c r="N66" s="172">
        <v>0.76211446384826897</v>
      </c>
      <c r="O66" s="172">
        <v>0.75635710913155096</v>
      </c>
      <c r="P66" s="172">
        <v>0.81194969406988604</v>
      </c>
    </row>
    <row r="67" spans="2:16" x14ac:dyDescent="0.3">
      <c r="B67" s="172" t="s">
        <v>238</v>
      </c>
      <c r="C67" s="172">
        <v>6</v>
      </c>
      <c r="D67" s="172">
        <v>0.43201131603793802</v>
      </c>
      <c r="E67" s="172">
        <v>4.5117286909273002E-3</v>
      </c>
      <c r="F67" s="172">
        <v>2.1325630994156099E-3</v>
      </c>
      <c r="G67" s="172">
        <v>0</v>
      </c>
      <c r="H67" s="172">
        <v>0.92352516145763397</v>
      </c>
      <c r="I67" s="172">
        <v>0.91951166615981605</v>
      </c>
      <c r="J67" s="172">
        <v>0</v>
      </c>
      <c r="K67" s="172">
        <v>9.4495960727654996E-3</v>
      </c>
      <c r="L67" s="172">
        <v>2.2261715434894701E-2</v>
      </c>
      <c r="M67" s="172">
        <v>0.113483217438008</v>
      </c>
      <c r="N67" s="172">
        <v>0.77156405992103405</v>
      </c>
      <c r="O67" s="172">
        <v>0.77861882456644604</v>
      </c>
      <c r="P67" s="172">
        <v>0.92543291150789397</v>
      </c>
    </row>
    <row r="68" spans="2:16" x14ac:dyDescent="0.3">
      <c r="B68" s="172" t="s">
        <v>238</v>
      </c>
      <c r="C68" s="172">
        <v>7</v>
      </c>
      <c r="D68" s="172">
        <v>0.29148326066258401</v>
      </c>
      <c r="E68" s="172">
        <v>2.1854253854877099E-4</v>
      </c>
      <c r="F68" s="172">
        <v>3.4931325573400902E-2</v>
      </c>
      <c r="G68" s="172">
        <v>0</v>
      </c>
      <c r="H68" s="172">
        <v>0.923743703996183</v>
      </c>
      <c r="I68" s="172">
        <v>0.95444299173321701</v>
      </c>
      <c r="J68" s="172">
        <v>0</v>
      </c>
      <c r="K68" s="172">
        <v>6.7282903280332595E-2</v>
      </c>
      <c r="L68" s="172">
        <v>4.5756466924480398E-4</v>
      </c>
      <c r="M68" s="172">
        <v>9.5462578280043002E-4</v>
      </c>
      <c r="N68" s="172">
        <v>0.83884696320136698</v>
      </c>
      <c r="O68" s="172">
        <v>0.779076389235691</v>
      </c>
      <c r="P68" s="172">
        <v>0.92638753729069401</v>
      </c>
    </row>
    <row r="69" spans="2:16" x14ac:dyDescent="0.3">
      <c r="B69" s="172" t="s">
        <v>238</v>
      </c>
      <c r="C69" s="172">
        <v>8</v>
      </c>
      <c r="D69" s="172">
        <v>0.27157394794393203</v>
      </c>
      <c r="E69" s="172">
        <v>3.3630145551232601E-2</v>
      </c>
      <c r="F69" s="172">
        <v>3.9684556763890599E-4</v>
      </c>
      <c r="G69" s="172">
        <v>0</v>
      </c>
      <c r="H69" s="172">
        <v>0.957373849547415</v>
      </c>
      <c r="I69" s="172">
        <v>0.95483983730085598</v>
      </c>
      <c r="J69" s="172">
        <v>0</v>
      </c>
      <c r="K69" s="172">
        <v>7.5334825067495804E-4</v>
      </c>
      <c r="L69" s="172">
        <v>6.67605442693045E-2</v>
      </c>
      <c r="M69" s="172">
        <v>1.09317384541935E-3</v>
      </c>
      <c r="N69" s="172">
        <v>0.83960031145204195</v>
      </c>
      <c r="O69" s="172">
        <v>0.845836933504995</v>
      </c>
      <c r="P69" s="172">
        <v>0.92748071113611397</v>
      </c>
    </row>
    <row r="70" spans="2:16" x14ac:dyDescent="0.3">
      <c r="B70" s="172" t="s">
        <v>238</v>
      </c>
      <c r="C70" s="172">
        <v>9</v>
      </c>
      <c r="D70" s="172">
        <v>0.245154544012637</v>
      </c>
      <c r="E70" s="172">
        <v>1.2703235464189399E-3</v>
      </c>
      <c r="F70" s="172">
        <v>8.7044526790814897E-4</v>
      </c>
      <c r="G70" s="172">
        <v>0</v>
      </c>
      <c r="H70" s="172">
        <v>0.95864417309383398</v>
      </c>
      <c r="I70" s="172">
        <v>0.955710282568764</v>
      </c>
      <c r="J70" s="172">
        <v>0</v>
      </c>
      <c r="K70" s="172">
        <v>1.8447089250639801E-3</v>
      </c>
      <c r="L70" s="172">
        <v>2.5459103412958099E-3</v>
      </c>
      <c r="M70" s="172">
        <v>3.2338978128144499E-2</v>
      </c>
      <c r="N70" s="172">
        <v>0.841445020377106</v>
      </c>
      <c r="O70" s="172">
        <v>0.84838284384629103</v>
      </c>
      <c r="P70" s="172">
        <v>0.95981968926425798</v>
      </c>
    </row>
    <row r="71" spans="2:16" x14ac:dyDescent="0.3">
      <c r="B71" s="172" t="s">
        <v>238</v>
      </c>
      <c r="C71" s="172">
        <v>10</v>
      </c>
      <c r="D71" s="172">
        <v>0.19661328192271199</v>
      </c>
      <c r="E71" s="172">
        <v>9.2441989286853898E-5</v>
      </c>
      <c r="F71" s="172">
        <v>1.9074673698254999E-2</v>
      </c>
      <c r="G71" s="172">
        <v>0</v>
      </c>
      <c r="H71" s="172">
        <v>0.95873661508312102</v>
      </c>
      <c r="I71" s="172">
        <v>0.974784956267019</v>
      </c>
      <c r="J71" s="172">
        <v>0</v>
      </c>
      <c r="K71" s="172">
        <v>8.0773619221762599E-2</v>
      </c>
      <c r="L71" s="172">
        <v>3.6191433054229299E-4</v>
      </c>
      <c r="M71" s="172">
        <v>5.6639163089159598E-4</v>
      </c>
      <c r="N71" s="172">
        <v>0.92221863959886796</v>
      </c>
      <c r="O71" s="172">
        <v>0.84874475817683304</v>
      </c>
      <c r="P71" s="172">
        <v>0.96038608089514999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1046.8833880392101</v>
      </c>
      <c r="E6" s="172">
        <v>8.2500506349001399E-4</v>
      </c>
      <c r="F6" s="172">
        <v>1268941.7730487499</v>
      </c>
      <c r="G6" s="172">
        <v>332.184610413212</v>
      </c>
      <c r="H6" s="172">
        <v>9.8304888130257406E-5</v>
      </c>
      <c r="I6" s="172">
        <v>3379126.0712596099</v>
      </c>
    </row>
    <row r="7" spans="2:9" hidden="1" x14ac:dyDescent="0.3">
      <c r="B7" s="172" t="s">
        <v>187</v>
      </c>
      <c r="C7" s="172" t="s">
        <v>79</v>
      </c>
      <c r="D7" s="172">
        <v>32408.5297533226</v>
      </c>
      <c r="E7" s="172">
        <v>1.13248565261944E-3</v>
      </c>
      <c r="F7" s="172">
        <v>28617165.8584475</v>
      </c>
      <c r="G7" s="172">
        <v>2774.5522262968102</v>
      </c>
      <c r="H7" s="172">
        <v>1.10585603455884E-4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67120.442090680197</v>
      </c>
      <c r="E8" s="172">
        <v>1.6737705734558501E-3</v>
      </c>
      <c r="F8" s="172">
        <v>40101339.5474483</v>
      </c>
      <c r="G8" s="172">
        <v>5660.8277883046703</v>
      </c>
      <c r="H8" s="172">
        <v>1.6542138528649299E-4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96146.585989403306</v>
      </c>
      <c r="E9" s="172">
        <v>2.2053320288861499E-3</v>
      </c>
      <c r="F9" s="172">
        <v>43597328.987220101</v>
      </c>
      <c r="G9" s="172">
        <v>8078.7074509931499</v>
      </c>
      <c r="H9" s="172">
        <v>2.2053572917384999E-4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120490.96914831</v>
      </c>
      <c r="E10" s="172">
        <v>2.6866917032555499E-3</v>
      </c>
      <c r="F10" s="172">
        <v>44847337.341425098</v>
      </c>
      <c r="G10" s="172">
        <v>10093.098036637601</v>
      </c>
      <c r="H10" s="172">
        <v>2.8201114260129197E-4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141171.20287755001</v>
      </c>
      <c r="E11" s="172">
        <v>3.0618894699003898E-3</v>
      </c>
      <c r="F11" s="172">
        <v>46105910.832288198</v>
      </c>
      <c r="G11" s="172">
        <v>11796.871774232301</v>
      </c>
      <c r="H11" s="172">
        <v>3.2251321375339001E-4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158987.26210595499</v>
      </c>
      <c r="E12" s="172">
        <v>3.21313754023758E-3</v>
      </c>
      <c r="F12" s="172">
        <v>49480378.637697302</v>
      </c>
      <c r="G12" s="172">
        <v>13267.5205577244</v>
      </c>
      <c r="H12" s="172">
        <v>3.45077313272854E-4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174923.56947342301</v>
      </c>
      <c r="E13" s="172">
        <v>3.32159673596682E-3</v>
      </c>
      <c r="F13" s="172">
        <v>52662494.389918096</v>
      </c>
      <c r="G13" s="172">
        <v>14595.3006773907</v>
      </c>
      <c r="H13" s="172">
        <v>3.6059811637942802E-4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188607.79649342899</v>
      </c>
      <c r="E14" s="172">
        <v>3.4695651170703699E-3</v>
      </c>
      <c r="F14" s="172">
        <v>54360644.671423897</v>
      </c>
      <c r="G14" s="172">
        <v>15738.289597057999</v>
      </c>
      <c r="H14" s="172">
        <v>3.8685727280698398E-4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199181.93865347101</v>
      </c>
      <c r="E15" s="172">
        <v>3.32180526011465E-3</v>
      </c>
      <c r="F15" s="172">
        <v>59961955.339488</v>
      </c>
      <c r="G15" s="172">
        <v>16609.676759558199</v>
      </c>
      <c r="H15" s="172">
        <v>3.79842854852516E-4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205095.813702616</v>
      </c>
      <c r="E16" s="172">
        <v>2.9314928320347002E-3</v>
      </c>
      <c r="F16" s="172">
        <v>69962925.189983398</v>
      </c>
      <c r="G16" s="172">
        <v>17064.8479433635</v>
      </c>
      <c r="H16" s="172">
        <v>3.0457688465106001E-4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1046.8833880488901</v>
      </c>
      <c r="E17" s="172">
        <v>9.7546137943701301E-4</v>
      </c>
      <c r="F17" s="172">
        <v>1073218.6943711699</v>
      </c>
      <c r="G17" s="172">
        <v>332.18461040496902</v>
      </c>
      <c r="H17" s="172">
        <v>2.96578478288504E-4</v>
      </c>
      <c r="I17" s="172">
        <v>1120056.3585124</v>
      </c>
    </row>
    <row r="18" spans="2:9" hidden="1" x14ac:dyDescent="0.3">
      <c r="B18" s="172" t="s">
        <v>187</v>
      </c>
      <c r="C18" s="172" t="s">
        <v>80</v>
      </c>
      <c r="D18" s="172">
        <v>32408.529753731</v>
      </c>
      <c r="E18" s="172">
        <v>1.2020649863534599E-3</v>
      </c>
      <c r="F18" s="172">
        <v>26960713.540159199</v>
      </c>
      <c r="G18" s="172">
        <v>2774.5522263876001</v>
      </c>
      <c r="H18" s="172">
        <v>2.16077851198205E-4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67120.442091338598</v>
      </c>
      <c r="E19" s="172">
        <v>1.8007050235645901E-3</v>
      </c>
      <c r="F19" s="172">
        <v>37274534.814408503</v>
      </c>
      <c r="G19" s="172">
        <v>5660.8277881332597</v>
      </c>
      <c r="H19" s="172">
        <v>2.7761366336435901E-4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96146.585990237698</v>
      </c>
      <c r="E20" s="172">
        <v>2.3305605730361599E-3</v>
      </c>
      <c r="F20" s="172">
        <v>41254703.740646303</v>
      </c>
      <c r="G20" s="172">
        <v>8078.7074505964501</v>
      </c>
      <c r="H20" s="172">
        <v>3.2259266993771199E-4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120490.969149342</v>
      </c>
      <c r="E21" s="172">
        <v>2.7638156172921E-3</v>
      </c>
      <c r="F21" s="172">
        <v>43595878.2472599</v>
      </c>
      <c r="G21" s="172">
        <v>10093.098036019999</v>
      </c>
      <c r="H21" s="172">
        <v>3.6058529356348501E-4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141171.20287868101</v>
      </c>
      <c r="E22" s="172">
        <v>3.1098731776909101E-3</v>
      </c>
      <c r="F22" s="172">
        <v>45394520.873517103</v>
      </c>
      <c r="G22" s="172">
        <v>11796.871773538</v>
      </c>
      <c r="H22" s="172">
        <v>3.7591072293680799E-4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158987.26210721</v>
      </c>
      <c r="E23" s="172">
        <v>3.1757512654403798E-3</v>
      </c>
      <c r="F23" s="172">
        <v>50062882.391755201</v>
      </c>
      <c r="G23" s="172">
        <v>13267.5205568821</v>
      </c>
      <c r="H23" s="172">
        <v>3.8868653083591902E-4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174923.56947464499</v>
      </c>
      <c r="E24" s="172">
        <v>3.31183012526712E-3</v>
      </c>
      <c r="F24" s="172">
        <v>52817796.462472796</v>
      </c>
      <c r="G24" s="172">
        <v>14595.3006763922</v>
      </c>
      <c r="H24" s="172">
        <v>3.96588392702412E-4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188607.796494604</v>
      </c>
      <c r="E25" s="172">
        <v>3.4330506685342601E-3</v>
      </c>
      <c r="F25" s="172">
        <v>54938832.748172201</v>
      </c>
      <c r="G25" s="172">
        <v>15738.2895959786</v>
      </c>
      <c r="H25" s="172">
        <v>4.0151568817458797E-4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199181.93865468499</v>
      </c>
      <c r="E26" s="172">
        <v>3.4317792508264302E-3</v>
      </c>
      <c r="F26" s="172">
        <v>58040428.622184403</v>
      </c>
      <c r="G26" s="172">
        <v>16609.676758450099</v>
      </c>
      <c r="H26" s="172">
        <v>3.8736759260278402E-4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205095.813703861</v>
      </c>
      <c r="E27" s="172">
        <v>2.8850750046745602E-3</v>
      </c>
      <c r="F27" s="172">
        <v>71088555.192344606</v>
      </c>
      <c r="G27" s="172">
        <v>17064.847942234101</v>
      </c>
      <c r="H27" s="172">
        <v>3.2629829264857501E-4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266.61111872759199</v>
      </c>
      <c r="E28" s="172">
        <v>3.2203663602150499E-4</v>
      </c>
      <c r="F28" s="172">
        <v>827890.64629835496</v>
      </c>
      <c r="G28" s="172">
        <v>1040.83446993095</v>
      </c>
      <c r="H28" s="172">
        <v>1.2904666986357401E-3</v>
      </c>
      <c r="I28" s="172">
        <v>806556.62872300099</v>
      </c>
    </row>
    <row r="29" spans="2:9" hidden="1" x14ac:dyDescent="0.3">
      <c r="B29" s="172" t="s">
        <v>187</v>
      </c>
      <c r="C29" s="172" t="s">
        <v>81</v>
      </c>
      <c r="D29" s="172">
        <v>2817.2910940030602</v>
      </c>
      <c r="E29" s="172">
        <v>2.42525528799017E-4</v>
      </c>
      <c r="F29" s="172">
        <v>0</v>
      </c>
      <c r="G29" s="172">
        <v>33355.3077840798</v>
      </c>
      <c r="H29" s="172">
        <v>1.43616355563041E-3</v>
      </c>
      <c r="I29" s="172">
        <v>23225284.9289428</v>
      </c>
    </row>
    <row r="30" spans="2:9" hidden="1" x14ac:dyDescent="0.3">
      <c r="B30" s="172" t="s">
        <v>185</v>
      </c>
      <c r="C30" s="172" t="s">
        <v>81</v>
      </c>
      <c r="D30" s="172">
        <v>5951.4988464569997</v>
      </c>
      <c r="E30" s="172">
        <v>2.7675211564950702E-4</v>
      </c>
      <c r="F30" s="172">
        <v>0</v>
      </c>
      <c r="G30" s="172">
        <v>68372.643587172599</v>
      </c>
      <c r="H30" s="172">
        <v>2.1572032678593301E-3</v>
      </c>
      <c r="I30" s="172">
        <v>31695039.872168001</v>
      </c>
    </row>
    <row r="31" spans="2:9" hidden="1" x14ac:dyDescent="0.3">
      <c r="B31" s="172" t="s">
        <v>183</v>
      </c>
      <c r="C31" s="172" t="s">
        <v>81</v>
      </c>
      <c r="D31" s="172">
        <v>8576.4871269977903</v>
      </c>
      <c r="E31" s="172">
        <v>2.9953572636184201E-4</v>
      </c>
      <c r="F31" s="172">
        <v>0</v>
      </c>
      <c r="G31" s="172">
        <v>97227.832167085595</v>
      </c>
      <c r="H31" s="172">
        <v>2.7908904580456599E-3</v>
      </c>
      <c r="I31" s="172">
        <v>34837566.586246498</v>
      </c>
    </row>
    <row r="32" spans="2:9" hidden="1" x14ac:dyDescent="0.3">
      <c r="B32" s="172" t="s">
        <v>181</v>
      </c>
      <c r="C32" s="172" t="s">
        <v>81</v>
      </c>
      <c r="D32" s="172">
        <v>10763.1192576749</v>
      </c>
      <c r="E32" s="172">
        <v>3.3808434878244699E-4</v>
      </c>
      <c r="F32" s="172">
        <v>0</v>
      </c>
      <c r="G32" s="172">
        <v>121160.555735676</v>
      </c>
      <c r="H32" s="172">
        <v>3.3167084960050099E-3</v>
      </c>
      <c r="I32" s="172">
        <v>36530360.109009899</v>
      </c>
    </row>
    <row r="33" spans="2:9" hidden="1" x14ac:dyDescent="0.3">
      <c r="B33" s="172" t="s">
        <v>179</v>
      </c>
      <c r="C33" s="172" t="s">
        <v>81</v>
      </c>
      <c r="D33" s="172">
        <v>12611.767030328199</v>
      </c>
      <c r="E33" s="172">
        <v>3.72044643182774E-4</v>
      </c>
      <c r="F33" s="172">
        <v>0</v>
      </c>
      <c r="G33" s="172">
        <v>141356.01800464999</v>
      </c>
      <c r="H33" s="172">
        <v>3.6799817262086702E-3</v>
      </c>
      <c r="I33" s="172">
        <v>38412152.157691203</v>
      </c>
    </row>
    <row r="34" spans="2:9" hidden="1" x14ac:dyDescent="0.3">
      <c r="B34" s="172" t="s">
        <v>39</v>
      </c>
      <c r="C34" s="172" t="s">
        <v>81</v>
      </c>
      <c r="D34" s="172">
        <v>14199.204957967801</v>
      </c>
      <c r="E34" s="172">
        <v>3.5314839091294E-4</v>
      </c>
      <c r="F34" s="172">
        <v>0</v>
      </c>
      <c r="G34" s="172">
        <v>158808.07595162699</v>
      </c>
      <c r="H34" s="172">
        <v>3.8441324438808402E-3</v>
      </c>
      <c r="I34" s="172">
        <v>41311811.772880003</v>
      </c>
    </row>
    <row r="35" spans="2:9" hidden="1" x14ac:dyDescent="0.3">
      <c r="B35" s="172" t="s">
        <v>26</v>
      </c>
      <c r="C35" s="172" t="s">
        <v>81</v>
      </c>
      <c r="D35" s="172">
        <v>15618.743202461401</v>
      </c>
      <c r="E35" s="172">
        <v>3.30313436365231E-4</v>
      </c>
      <c r="F35" s="172">
        <v>0</v>
      </c>
      <c r="G35" s="172">
        <v>174619.18545033</v>
      </c>
      <c r="H35" s="172">
        <v>3.9888211671134299E-3</v>
      </c>
      <c r="I35" s="172">
        <v>43777140.697610103</v>
      </c>
    </row>
    <row r="36" spans="2:9" hidden="1" x14ac:dyDescent="0.3">
      <c r="B36" s="172" t="s">
        <v>25</v>
      </c>
      <c r="C36" s="172" t="s">
        <v>81</v>
      </c>
      <c r="D36" s="172">
        <v>16831.434123278799</v>
      </c>
      <c r="E36" s="172">
        <v>3.1577064809055702E-4</v>
      </c>
      <c r="F36" s="172">
        <v>0</v>
      </c>
      <c r="G36" s="172">
        <v>188384.70443890299</v>
      </c>
      <c r="H36" s="172">
        <v>4.1285529593248198E-3</v>
      </c>
      <c r="I36" s="172">
        <v>45629717.311343797</v>
      </c>
    </row>
    <row r="37" spans="2:9" hidden="1" x14ac:dyDescent="0.3">
      <c r="B37" s="172" t="s">
        <v>24</v>
      </c>
      <c r="C37" s="172" t="s">
        <v>81</v>
      </c>
      <c r="D37" s="172">
        <v>17753.6258188926</v>
      </c>
      <c r="E37" s="172">
        <v>3.0676068731522502E-4</v>
      </c>
      <c r="F37" s="172">
        <v>0</v>
      </c>
      <c r="G37" s="172">
        <v>199124.35613205601</v>
      </c>
      <c r="H37" s="172">
        <v>3.9830470260820297E-3</v>
      </c>
      <c r="I37" s="172">
        <v>49992971.4181474</v>
      </c>
    </row>
    <row r="38" spans="2:9" hidden="1" x14ac:dyDescent="0.3">
      <c r="B38" s="172" t="s">
        <v>22</v>
      </c>
      <c r="C38" s="172" t="s">
        <v>81</v>
      </c>
      <c r="D38" s="172">
        <v>18239.059131783</v>
      </c>
      <c r="E38" s="172">
        <v>3.0903949425082299E-4</v>
      </c>
      <c r="F38" s="172">
        <v>0</v>
      </c>
      <c r="G38" s="172">
        <v>205095.813805621</v>
      </c>
      <c r="H38" s="172">
        <v>3.2646161727204201E-3</v>
      </c>
      <c r="I38" s="172">
        <v>62823867.479255199</v>
      </c>
    </row>
    <row r="39" spans="2:9" x14ac:dyDescent="0.3">
      <c r="B39" s="172" t="s">
        <v>189</v>
      </c>
      <c r="C39" s="172" t="s">
        <v>82</v>
      </c>
      <c r="D39" s="172">
        <v>266.61111871904097</v>
      </c>
      <c r="E39" s="172">
        <v>1.8699410888546101E-4</v>
      </c>
      <c r="F39" s="172">
        <v>1425772.8241179399</v>
      </c>
      <c r="G39" s="172">
        <v>1040.83446993749</v>
      </c>
      <c r="H39" s="172">
        <v>1.1126317231208399E-3</v>
      </c>
      <c r="I39" s="172">
        <v>935470.78364621697</v>
      </c>
    </row>
    <row r="40" spans="2:9" x14ac:dyDescent="0.3">
      <c r="B40" s="172" t="s">
        <v>187</v>
      </c>
      <c r="C40" s="172" t="s">
        <v>82</v>
      </c>
      <c r="D40" s="172">
        <v>2817.2910936512399</v>
      </c>
      <c r="E40" s="172">
        <v>1.2341877547275399E-4</v>
      </c>
      <c r="F40" s="172">
        <v>0</v>
      </c>
      <c r="G40" s="172">
        <v>33355.307783994402</v>
      </c>
      <c r="H40" s="172">
        <v>1.3714214185671001E-3</v>
      </c>
      <c r="I40" s="172">
        <v>24321705.445467498</v>
      </c>
    </row>
    <row r="41" spans="2:9" x14ac:dyDescent="0.3">
      <c r="B41" s="172" t="s">
        <v>185</v>
      </c>
      <c r="C41" s="172" t="s">
        <v>82</v>
      </c>
      <c r="D41" s="172">
        <v>5951.4988458749804</v>
      </c>
      <c r="E41" s="172">
        <v>1.7291804218403601E-4</v>
      </c>
      <c r="F41" s="172">
        <v>0</v>
      </c>
      <c r="G41" s="172">
        <v>68372.643587327097</v>
      </c>
      <c r="H41" s="172">
        <v>2.0447617876360601E-3</v>
      </c>
      <c r="I41" s="172">
        <v>33437950.572409801</v>
      </c>
    </row>
    <row r="42" spans="2:9" x14ac:dyDescent="0.3">
      <c r="B42" s="172" t="s">
        <v>183</v>
      </c>
      <c r="C42" s="172" t="s">
        <v>82</v>
      </c>
      <c r="D42" s="172">
        <v>8576.4871262710603</v>
      </c>
      <c r="E42" s="172">
        <v>2.33382207998252E-4</v>
      </c>
      <c r="F42" s="172">
        <v>0</v>
      </c>
      <c r="G42" s="172">
        <v>97227.832167434302</v>
      </c>
      <c r="H42" s="172">
        <v>2.6029645068789799E-3</v>
      </c>
      <c r="I42" s="172">
        <v>37352730.669390798</v>
      </c>
    </row>
    <row r="43" spans="2:9" x14ac:dyDescent="0.3">
      <c r="B43" s="172" t="s">
        <v>181</v>
      </c>
      <c r="C43" s="172" t="s">
        <v>82</v>
      </c>
      <c r="D43" s="172">
        <v>10763.119256767801</v>
      </c>
      <c r="E43" s="172">
        <v>2.8490201956488201E-4</v>
      </c>
      <c r="F43" s="172">
        <v>0</v>
      </c>
      <c r="G43" s="172">
        <v>121160.55573621301</v>
      </c>
      <c r="H43" s="172">
        <v>3.1146627662127801E-3</v>
      </c>
      <c r="I43" s="172">
        <v>38900055.906705901</v>
      </c>
    </row>
    <row r="44" spans="2:9" x14ac:dyDescent="0.3">
      <c r="B44" s="172" t="s">
        <v>179</v>
      </c>
      <c r="C44" s="172" t="s">
        <v>82</v>
      </c>
      <c r="D44" s="172">
        <v>12611.7670293394</v>
      </c>
      <c r="E44" s="172">
        <v>3.3168822673654101E-4</v>
      </c>
      <c r="F44" s="172">
        <v>0</v>
      </c>
      <c r="G44" s="172">
        <v>141356.01800526</v>
      </c>
      <c r="H44" s="172">
        <v>3.54730534971747E-3</v>
      </c>
      <c r="I44" s="172">
        <v>39848844.142080501</v>
      </c>
    </row>
    <row r="45" spans="2:9" x14ac:dyDescent="0.3">
      <c r="B45" s="172" t="s">
        <v>39</v>
      </c>
      <c r="C45" s="172" t="s">
        <v>82</v>
      </c>
      <c r="D45" s="172">
        <v>14199.204956866401</v>
      </c>
      <c r="E45" s="172">
        <v>3.4645923785608701E-4</v>
      </c>
      <c r="F45" s="172">
        <v>0</v>
      </c>
      <c r="G45" s="172">
        <v>158808.07595236</v>
      </c>
      <c r="H45" s="172">
        <v>3.7546941621579202E-3</v>
      </c>
      <c r="I45" s="172">
        <v>42295875.268064097</v>
      </c>
    </row>
    <row r="46" spans="2:9" x14ac:dyDescent="0.3">
      <c r="B46" s="172" t="s">
        <v>26</v>
      </c>
      <c r="C46" s="172" t="s">
        <v>82</v>
      </c>
      <c r="D46" s="172">
        <v>15618.743201396401</v>
      </c>
      <c r="E46" s="172">
        <v>3.5077118816793099E-4</v>
      </c>
      <c r="F46" s="172">
        <v>0</v>
      </c>
      <c r="G46" s="172">
        <v>174619.18545120399</v>
      </c>
      <c r="H46" s="172">
        <v>3.8809564542591599E-3</v>
      </c>
      <c r="I46" s="172">
        <v>44993853.3217934</v>
      </c>
    </row>
    <row r="47" spans="2:9" x14ac:dyDescent="0.3">
      <c r="B47" s="172" t="s">
        <v>25</v>
      </c>
      <c r="C47" s="172" t="s">
        <v>82</v>
      </c>
      <c r="D47" s="172">
        <v>16831.434122250499</v>
      </c>
      <c r="E47" s="172">
        <v>3.8214218571583201E-4</v>
      </c>
      <c r="F47" s="172">
        <v>0</v>
      </c>
      <c r="G47" s="172">
        <v>188384.70443984499</v>
      </c>
      <c r="H47" s="172">
        <v>4.0491899063229203E-3</v>
      </c>
      <c r="I47" s="172">
        <v>46524047.722651199</v>
      </c>
    </row>
    <row r="48" spans="2:9" x14ac:dyDescent="0.3">
      <c r="B48" s="172" t="s">
        <v>24</v>
      </c>
      <c r="C48" s="172" t="s">
        <v>82</v>
      </c>
      <c r="D48" s="172">
        <v>17753.6258178311</v>
      </c>
      <c r="E48" s="172">
        <v>3.8995661178695899E-4</v>
      </c>
      <c r="F48" s="172">
        <v>0</v>
      </c>
      <c r="G48" s="172">
        <v>199124.35613302299</v>
      </c>
      <c r="H48" s="172">
        <v>3.7928537209932899E-3</v>
      </c>
      <c r="I48" s="172">
        <v>52499877.606899999</v>
      </c>
    </row>
    <row r="49" spans="2:9" x14ac:dyDescent="0.3">
      <c r="B49" s="172" t="s">
        <v>22</v>
      </c>
      <c r="C49" s="172" t="s">
        <v>82</v>
      </c>
      <c r="D49" s="172">
        <v>18239.0591306938</v>
      </c>
      <c r="E49" s="172">
        <v>3.2848547046137499E-4</v>
      </c>
      <c r="F49" s="172">
        <v>0</v>
      </c>
      <c r="G49" s="172">
        <v>205095.81380660599</v>
      </c>
      <c r="H49" s="172">
        <v>3.2049605665150699E-3</v>
      </c>
      <c r="I49" s="172">
        <v>63993240.961968496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-6.23458618065342E-10</v>
      </c>
      <c r="H6" s="172">
        <v>-1046.8833880382399</v>
      </c>
      <c r="I6" s="172">
        <v>-332.18461041322001</v>
      </c>
      <c r="J6" s="172">
        <v>-6183.8940663481899</v>
      </c>
      <c r="K6" s="172">
        <v>-1.7257661966141301E-9</v>
      </c>
      <c r="L6" s="172">
        <v>1.63299773703329E-8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-3.3242031349800501E-10</v>
      </c>
      <c r="H7" s="172">
        <v>-1046.8833880392101</v>
      </c>
      <c r="I7" s="172">
        <v>-332.184610413212</v>
      </c>
      <c r="J7" s="172">
        <v>-6183.8940663482599</v>
      </c>
      <c r="K7" s="172">
        <v>996.55383123860702</v>
      </c>
      <c r="L7" s="172">
        <v>-3140.6501641073801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-8.00810084911063E-10</v>
      </c>
      <c r="H8" s="172">
        <v>-1046.8833880478601</v>
      </c>
      <c r="I8" s="172">
        <v>-332.18461040497198</v>
      </c>
      <c r="J8" s="172">
        <v>-6436.55511610951</v>
      </c>
      <c r="K8" s="172">
        <v>-2.22189555643126E-9</v>
      </c>
      <c r="L8" s="172">
        <v>2.1398591343313499E-8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-2.7694113668985701E-10</v>
      </c>
      <c r="H9" s="172">
        <v>-1046.8833880488901</v>
      </c>
      <c r="I9" s="172">
        <v>-332.18461040496902</v>
      </c>
      <c r="J9" s="172">
        <v>-6436.5551161105795</v>
      </c>
      <c r="K9" s="172">
        <v>996.55383121401496</v>
      </c>
      <c r="L9" s="172">
        <v>-3140.65016413784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3.1377567211165998E-10</v>
      </c>
      <c r="H10" s="172">
        <v>-266.61111872739599</v>
      </c>
      <c r="I10" s="172">
        <v>-1040.8344699310301</v>
      </c>
      <c r="J10" s="172">
        <v>-26005.901189920402</v>
      </c>
      <c r="K10" s="172">
        <v>-1.7462298274040199E-10</v>
      </c>
      <c r="L10" s="172">
        <v>-7.3487171903252602E-9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3.1377567211165998E-10</v>
      </c>
      <c r="H11" s="172">
        <v>-266.61111872759199</v>
      </c>
      <c r="I11" s="172">
        <v>-1040.83446993095</v>
      </c>
      <c r="J11" s="172">
        <v>-26005.901189918099</v>
      </c>
      <c r="K11" s="172">
        <v>3122.5034097933899</v>
      </c>
      <c r="L11" s="172">
        <v>-799.83335618978197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4.2200554162263901E-10</v>
      </c>
      <c r="H12" s="172">
        <v>-266.61111871900403</v>
      </c>
      <c r="I12" s="172">
        <v>-1040.8344699383599</v>
      </c>
      <c r="J12" s="172">
        <v>-25592.128402612099</v>
      </c>
      <c r="K12" s="172">
        <v>-4.1382008930668199E-10</v>
      </c>
      <c r="L12" s="172">
        <v>-1.00662873592228E-8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3.92901711165905E-10</v>
      </c>
      <c r="H13" s="172">
        <v>-266.61111871904097</v>
      </c>
      <c r="I13" s="172">
        <v>-1040.83446993749</v>
      </c>
      <c r="J13" s="172">
        <v>-25592.128402588001</v>
      </c>
      <c r="K13" s="172">
        <v>3122.5034098148799</v>
      </c>
      <c r="L13" s="172">
        <v>-799.83335616629097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11865.5999999945</v>
      </c>
      <c r="H14" s="172">
        <v>2.1242385628284001E-9</v>
      </c>
      <c r="I14" s="172">
        <v>-8.3737461409327794E-11</v>
      </c>
      <c r="J14" s="172">
        <v>-1.07422692963155E-8</v>
      </c>
      <c r="K14" s="172">
        <v>23731.199999989101</v>
      </c>
      <c r="L14" s="172">
        <v>-302710.31999986101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17769.599999995899</v>
      </c>
      <c r="H15" s="172">
        <v>2.16755324800033E-9</v>
      </c>
      <c r="I15" s="172">
        <v>-8.8348883764410896E-11</v>
      </c>
      <c r="J15" s="172">
        <v>-1.0865051081054799E-8</v>
      </c>
      <c r="K15" s="172">
        <v>35539.199999991797</v>
      </c>
      <c r="L15" s="172">
        <v>-450022.31999989599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8.6401996668428196E-11</v>
      </c>
      <c r="H16" s="172">
        <v>-32408.529753323499</v>
      </c>
      <c r="I16" s="172">
        <v>-2774.5522262968402</v>
      </c>
      <c r="J16" s="172">
        <v>462790.97161484999</v>
      </c>
      <c r="K16" s="172">
        <v>996.55383124761101</v>
      </c>
      <c r="L16" s="172">
        <v>-3140.6501640511101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6.0026650317013302E-11</v>
      </c>
      <c r="H17" s="172">
        <v>-32408.5297533226</v>
      </c>
      <c r="I17" s="172">
        <v>-2774.5522262968102</v>
      </c>
      <c r="J17" s="172">
        <v>462790.97161484603</v>
      </c>
      <c r="K17" s="172">
        <v>10707.4866232858</v>
      </c>
      <c r="L17" s="172">
        <v>-116570.50430068201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2.2737367544323201E-10</v>
      </c>
      <c r="H18" s="172">
        <v>-32408.5297537322</v>
      </c>
      <c r="I18" s="172">
        <v>-2774.5522263877901</v>
      </c>
      <c r="J18" s="172">
        <v>370648.81299458898</v>
      </c>
      <c r="K18" s="172">
        <v>996.55383122039098</v>
      </c>
      <c r="L18" s="172">
        <v>-3140.65016409092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4.1200109990313597E-10</v>
      </c>
      <c r="H19" s="172">
        <v>-32408.529753731</v>
      </c>
      <c r="I19" s="172">
        <v>-2774.5522263876001</v>
      </c>
      <c r="J19" s="172">
        <v>370648.81299458502</v>
      </c>
      <c r="K19" s="172">
        <v>10707.486623578299</v>
      </c>
      <c r="L19" s="172">
        <v>-116570.504302156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8.0854078987613304E-9</v>
      </c>
      <c r="H20" s="172">
        <v>-2817.2910940031202</v>
      </c>
      <c r="I20" s="172">
        <v>-33355.307784081597</v>
      </c>
      <c r="J20" s="172">
        <v>-437692.05100190901</v>
      </c>
      <c r="K20" s="172">
        <v>3122.5034099373302</v>
      </c>
      <c r="L20" s="172">
        <v>-799.83335628468899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7.8562152339145508E-9</v>
      </c>
      <c r="H21" s="172">
        <v>-2817.2910940030602</v>
      </c>
      <c r="I21" s="172">
        <v>-33355.3077840798</v>
      </c>
      <c r="J21" s="172">
        <v>-437692.05100186798</v>
      </c>
      <c r="K21" s="172">
        <v>119866.080654221</v>
      </c>
      <c r="L21" s="172">
        <v>-10660.352185289001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7.9508026828989403E-9</v>
      </c>
      <c r="H22" s="172">
        <v>-2817.2910936512999</v>
      </c>
      <c r="I22" s="172">
        <v>-33355.3077839951</v>
      </c>
      <c r="J22" s="172">
        <v>-354024.53305120301</v>
      </c>
      <c r="K22" s="172">
        <v>3122.5034099619002</v>
      </c>
      <c r="L22" s="172">
        <v>-799.83335625068901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7.7016011346131596E-9</v>
      </c>
      <c r="H23" s="172">
        <v>-2817.2910936512399</v>
      </c>
      <c r="I23" s="172">
        <v>-33355.307783994402</v>
      </c>
      <c r="J23" s="172">
        <v>-354024.53305118502</v>
      </c>
      <c r="K23" s="172">
        <v>119866.08065394399</v>
      </c>
      <c r="L23" s="172">
        <v>-10660.352184024099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726223.55624961096</v>
      </c>
      <c r="H24" s="172">
        <v>-5.7125248531519901E-8</v>
      </c>
      <c r="I24" s="172">
        <v>2.8146303066023399E-8</v>
      </c>
      <c r="J24" s="172">
        <v>3.2816960811032901E-6</v>
      </c>
      <c r="K24" s="172">
        <v>10859931.8085868</v>
      </c>
      <c r="L24" s="172">
        <v>-8751641.0384480692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825148.55624961294</v>
      </c>
      <c r="H25" s="172">
        <v>-5.71383225178579E-8</v>
      </c>
      <c r="I25" s="172">
        <v>2.8149031550128701E-8</v>
      </c>
      <c r="J25" s="172">
        <v>3.28194892063038E-6</v>
      </c>
      <c r="K25" s="172">
        <v>12283803.8085867</v>
      </c>
      <c r="L25" s="172">
        <v>-10013623.963448299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1.7871570889838001E-9</v>
      </c>
      <c r="H26" s="172">
        <v>-67120.4420906749</v>
      </c>
      <c r="I26" s="172">
        <v>-5660.8277883046803</v>
      </c>
      <c r="J26" s="172">
        <v>985872.07591095602</v>
      </c>
      <c r="K26" s="172">
        <v>10707.4866233048</v>
      </c>
      <c r="L26" s="172">
        <v>-116570.504300695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2.61752575170249E-9</v>
      </c>
      <c r="H27" s="172">
        <v>-67120.442090680197</v>
      </c>
      <c r="I27" s="172">
        <v>-5660.8277883046703</v>
      </c>
      <c r="J27" s="172">
        <v>985872.07591096906</v>
      </c>
      <c r="K27" s="172">
        <v>30520.3838823728</v>
      </c>
      <c r="L27" s="172">
        <v>-351492.05161808903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1.80170900421217E-9</v>
      </c>
      <c r="H28" s="172">
        <v>-67120.442091332196</v>
      </c>
      <c r="I28" s="172">
        <v>-5660.8277881335798</v>
      </c>
      <c r="J28" s="172">
        <v>792541.12186283804</v>
      </c>
      <c r="K28" s="172">
        <v>10707.486623589901</v>
      </c>
      <c r="L28" s="172">
        <v>-116570.504302163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2.7330315788276502E-9</v>
      </c>
      <c r="H29" s="172">
        <v>-67120.442091338598</v>
      </c>
      <c r="I29" s="172">
        <v>-5660.8277881332597</v>
      </c>
      <c r="J29" s="172">
        <v>792541.12186286098</v>
      </c>
      <c r="K29" s="172">
        <v>30520.383882058901</v>
      </c>
      <c r="L29" s="172">
        <v>-351492.05162186199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1.21981429401785E-8</v>
      </c>
      <c r="H30" s="172">
        <v>-5951.4988464559501</v>
      </c>
      <c r="I30" s="172">
        <v>-68372.643587174505</v>
      </c>
      <c r="J30" s="172">
        <v>-871769.29346986499</v>
      </c>
      <c r="K30" s="172">
        <v>119866.080654252</v>
      </c>
      <c r="L30" s="172">
        <v>-10660.3521853538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1.20235199574381E-8</v>
      </c>
      <c r="H31" s="172">
        <v>-5951.4988464569997</v>
      </c>
      <c r="I31" s="172">
        <v>-68372.643587172599</v>
      </c>
      <c r="J31" s="172">
        <v>-871769.29346981901</v>
      </c>
      <c r="K31" s="172">
        <v>359170.333209362</v>
      </c>
      <c r="L31" s="172">
        <v>-31490.598147947101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1.2069904187228499E-8</v>
      </c>
      <c r="H32" s="172">
        <v>-5951.4988458748003</v>
      </c>
      <c r="I32" s="172">
        <v>-68372.643587329003</v>
      </c>
      <c r="J32" s="172">
        <v>-699050.556319859</v>
      </c>
      <c r="K32" s="172">
        <v>119866.08065397599</v>
      </c>
      <c r="L32" s="172">
        <v>-10660.3521840836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1.18097887025215E-8</v>
      </c>
      <c r="H33" s="172">
        <v>-5951.4988458749804</v>
      </c>
      <c r="I33" s="172">
        <v>-68372.643587327097</v>
      </c>
      <c r="J33" s="172">
        <v>-699050.55631981103</v>
      </c>
      <c r="K33" s="172">
        <v>359170.33320962702</v>
      </c>
      <c r="L33" s="172">
        <v>-31490.598144637999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1518797.51249946</v>
      </c>
      <c r="H34" s="172">
        <v>-8.4318685367179595E-8</v>
      </c>
      <c r="I34" s="172">
        <v>2.8625890990952E-8</v>
      </c>
      <c r="J34" s="172">
        <v>5.4250740504357998E-6</v>
      </c>
      <c r="K34" s="172">
        <v>22878718.917178001</v>
      </c>
      <c r="L34" s="172">
        <v>-18144985.1818996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1617722.51249946</v>
      </c>
      <c r="H35" s="172">
        <v>-8.4164582858647905E-8</v>
      </c>
      <c r="I35" s="172">
        <v>2.8596161882887801E-8</v>
      </c>
      <c r="J35" s="172">
        <v>5.4239890232565796E-6</v>
      </c>
      <c r="K35" s="172">
        <v>24302590.917177901</v>
      </c>
      <c r="L35" s="172">
        <v>-19406968.106899999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3.4615368349477599E-9</v>
      </c>
      <c r="H36" s="172">
        <v>-96146.585989400395</v>
      </c>
      <c r="I36" s="172">
        <v>-8078.7074509931699</v>
      </c>
      <c r="J36" s="172">
        <v>1423212.59072554</v>
      </c>
      <c r="K36" s="172">
        <v>30520.383882386999</v>
      </c>
      <c r="L36" s="172">
        <v>-351492.05161810602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3.83533915737644E-9</v>
      </c>
      <c r="H37" s="172">
        <v>-96146.585989403306</v>
      </c>
      <c r="I37" s="172">
        <v>-8078.7074509931499</v>
      </c>
      <c r="J37" s="172">
        <v>1423212.59072554</v>
      </c>
      <c r="K37" s="172">
        <v>58795.859960863498</v>
      </c>
      <c r="L37" s="172">
        <v>-688005.10258102498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3.5170160117559102E-9</v>
      </c>
      <c r="H38" s="172">
        <v>-96146.585990233594</v>
      </c>
      <c r="I38" s="172">
        <v>-8078.7074505956498</v>
      </c>
      <c r="J38" s="172">
        <v>1145279.7934213399</v>
      </c>
      <c r="K38" s="172">
        <v>30520.383882069698</v>
      </c>
      <c r="L38" s="172">
        <v>-351492.05162187997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4.0472514228895298E-9</v>
      </c>
      <c r="H39" s="172">
        <v>-96146.585990237698</v>
      </c>
      <c r="I39" s="172">
        <v>-8078.7074505964501</v>
      </c>
      <c r="J39" s="172">
        <v>1145279.7934213199</v>
      </c>
      <c r="K39" s="172">
        <v>58795.859959157096</v>
      </c>
      <c r="L39" s="172">
        <v>-688005.10258772003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1.5456407709279999E-8</v>
      </c>
      <c r="H40" s="172">
        <v>-8576.48712699715</v>
      </c>
      <c r="I40" s="172">
        <v>-97227.832167080705</v>
      </c>
      <c r="J40" s="172">
        <v>-1228773.68461053</v>
      </c>
      <c r="K40" s="172">
        <v>359170.33320938901</v>
      </c>
      <c r="L40" s="172">
        <v>-31490.598148002398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1.5616024029441201E-8</v>
      </c>
      <c r="H41" s="172">
        <v>-8576.4871269977903</v>
      </c>
      <c r="I41" s="172">
        <v>-97227.832167085595</v>
      </c>
      <c r="J41" s="172">
        <v>-1228773.68461066</v>
      </c>
      <c r="K41" s="172">
        <v>699467.74579418101</v>
      </c>
      <c r="L41" s="172">
        <v>-61508.303092499104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1.4831130101811099E-8</v>
      </c>
      <c r="H42" s="172">
        <v>-8576.4871262709894</v>
      </c>
      <c r="I42" s="172">
        <v>-97227.832167430795</v>
      </c>
      <c r="J42" s="172">
        <v>-982807.75282116001</v>
      </c>
      <c r="K42" s="172">
        <v>359170.33320965403</v>
      </c>
      <c r="L42" s="172">
        <v>-31490.598144687599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1.4849319995846599E-8</v>
      </c>
      <c r="H43" s="172">
        <v>-8576.4871262710603</v>
      </c>
      <c r="I43" s="172">
        <v>-97227.832167434302</v>
      </c>
      <c r="J43" s="172">
        <v>-982807.75282126199</v>
      </c>
      <c r="K43" s="172">
        <v>699467.74579566997</v>
      </c>
      <c r="L43" s="172">
        <v>-61508.303086637003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2311371.4687494002</v>
      </c>
      <c r="H44" s="172">
        <v>-9.2810751084471095E-8</v>
      </c>
      <c r="I44" s="172">
        <v>2.7420298920333199E-8</v>
      </c>
      <c r="J44" s="172">
        <v>6.8835033744107898E-6</v>
      </c>
      <c r="K44" s="172">
        <v>34897506.025771096</v>
      </c>
      <c r="L44" s="172">
        <v>-27538329.325352099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2410296.46874941</v>
      </c>
      <c r="H45" s="172">
        <v>-9.2719801614293802E-8</v>
      </c>
      <c r="I45" s="172">
        <v>2.74670242106367E-8</v>
      </c>
      <c r="J45" s="172">
        <v>6.8846484282403304E-6</v>
      </c>
      <c r="K45" s="172">
        <v>36321378.025770999</v>
      </c>
      <c r="L45" s="172">
        <v>-28800312.250352498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2.6320776669308502E-9</v>
      </c>
      <c r="H46" s="172">
        <v>-120490.96914830701</v>
      </c>
      <c r="I46" s="172">
        <v>-10093.098036637601</v>
      </c>
      <c r="J46" s="172">
        <v>1790199.35529411</v>
      </c>
      <c r="K46" s="172">
        <v>58795.8599608492</v>
      </c>
      <c r="L46" s="172">
        <v>-688005.10258101195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2.6029738364741202E-9</v>
      </c>
      <c r="H47" s="172">
        <v>-120490.96914831</v>
      </c>
      <c r="I47" s="172">
        <v>-10093.098036637601</v>
      </c>
      <c r="J47" s="172">
        <v>1790199.35529411</v>
      </c>
      <c r="K47" s="172">
        <v>94121.703089079194</v>
      </c>
      <c r="L47" s="172">
        <v>-1109723.49460009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3.56885720975697E-9</v>
      </c>
      <c r="H48" s="172">
        <v>-120490.969149339</v>
      </c>
      <c r="I48" s="172">
        <v>-10093.098036020199</v>
      </c>
      <c r="J48" s="172">
        <v>1441272.4044286499</v>
      </c>
      <c r="K48" s="172">
        <v>58795.859959146102</v>
      </c>
      <c r="L48" s="172">
        <v>-688005.102587717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3.5179255064576901E-9</v>
      </c>
      <c r="H49" s="172">
        <v>-120490.969149342</v>
      </c>
      <c r="I49" s="172">
        <v>-10093.098036019999</v>
      </c>
      <c r="J49" s="172">
        <v>1441272.4044286599</v>
      </c>
      <c r="K49" s="172">
        <v>94121.703085214904</v>
      </c>
      <c r="L49" s="172">
        <v>-1109723.49461041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1.83426891453564E-8</v>
      </c>
      <c r="H50" s="172">
        <v>-10763.1192576742</v>
      </c>
      <c r="I50" s="172">
        <v>-121160.555735677</v>
      </c>
      <c r="J50" s="172">
        <v>-1524722.75534225</v>
      </c>
      <c r="K50" s="172">
        <v>699467.74579420197</v>
      </c>
      <c r="L50" s="172">
        <v>-61508.303092551199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1.78042682819068E-8</v>
      </c>
      <c r="H51" s="172">
        <v>-10763.1192576749</v>
      </c>
      <c r="I51" s="172">
        <v>-121160.555735676</v>
      </c>
      <c r="J51" s="172">
        <v>-1524722.75534223</v>
      </c>
      <c r="K51" s="172">
        <v>1123529.6908690699</v>
      </c>
      <c r="L51" s="172">
        <v>-99179.220494397305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1.8166247173212498E-8</v>
      </c>
      <c r="H52" s="172">
        <v>-10763.119256767701</v>
      </c>
      <c r="I52" s="172">
        <v>-121160.55573621301</v>
      </c>
      <c r="J52" s="172">
        <v>-1218034.7706999199</v>
      </c>
      <c r="K52" s="172">
        <v>699467.74579569302</v>
      </c>
      <c r="L52" s="172">
        <v>-61508.303086697102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1.79552444024011E-8</v>
      </c>
      <c r="H53" s="172">
        <v>-10763.119256767801</v>
      </c>
      <c r="I53" s="172">
        <v>-121160.55573621301</v>
      </c>
      <c r="J53" s="172">
        <v>-1218034.7706999099</v>
      </c>
      <c r="K53" s="172">
        <v>1123529.6908724401</v>
      </c>
      <c r="L53" s="172">
        <v>-99179.2204853781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3103945.4249993698</v>
      </c>
      <c r="H54" s="172">
        <v>-9.57423367253796E-8</v>
      </c>
      <c r="I54" s="172">
        <v>2.7487999432196401E-8</v>
      </c>
      <c r="J54" s="172">
        <v>7.8415878306259401E-6</v>
      </c>
      <c r="K54" s="172">
        <v>46916293.134364396</v>
      </c>
      <c r="L54" s="172">
        <v>-36931673.468804799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3202870.4249993698</v>
      </c>
      <c r="H55" s="172">
        <v>-9.5665342314532595E-8</v>
      </c>
      <c r="I55" s="172">
        <v>2.7482883524498899E-8</v>
      </c>
      <c r="J55" s="172">
        <v>7.8412094808299992E-6</v>
      </c>
      <c r="K55" s="172">
        <v>48340165.134364299</v>
      </c>
      <c r="L55" s="172">
        <v>-38193656.393805198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2.3464963305741499E-9</v>
      </c>
      <c r="H56" s="172">
        <v>-141171.20287754701</v>
      </c>
      <c r="I56" s="172">
        <v>-11796.871774232301</v>
      </c>
      <c r="J56" s="172">
        <v>2102052.6065297201</v>
      </c>
      <c r="K56" s="172">
        <v>94121.703089066403</v>
      </c>
      <c r="L56" s="172">
        <v>-1109723.49460009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2.5602275854907901E-9</v>
      </c>
      <c r="H57" s="172">
        <v>-141171.20287755001</v>
      </c>
      <c r="I57" s="172">
        <v>-11796.871774232301</v>
      </c>
      <c r="J57" s="172">
        <v>2102052.6065297299</v>
      </c>
      <c r="K57" s="172">
        <v>135410.75429888</v>
      </c>
      <c r="L57" s="172">
        <v>-1603822.70467151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3.5870471037924298E-9</v>
      </c>
      <c r="H58" s="172">
        <v>-141171.202878677</v>
      </c>
      <c r="I58" s="172">
        <v>-11796.8717735382</v>
      </c>
      <c r="J58" s="172">
        <v>1692796.0802041001</v>
      </c>
      <c r="K58" s="172">
        <v>94121.703085203902</v>
      </c>
      <c r="L58" s="172">
        <v>-1109723.49461041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3.4669938031584E-9</v>
      </c>
      <c r="H59" s="172">
        <v>-141171.20287868101</v>
      </c>
      <c r="I59" s="172">
        <v>-11796.871773538</v>
      </c>
      <c r="J59" s="172">
        <v>1692796.0802041199</v>
      </c>
      <c r="K59" s="172">
        <v>135410.75429258501</v>
      </c>
      <c r="L59" s="172">
        <v>-1603822.70468578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2.1136656869202899E-8</v>
      </c>
      <c r="H60" s="172">
        <v>-12611.767030327601</v>
      </c>
      <c r="I60" s="172">
        <v>-141356.01800465101</v>
      </c>
      <c r="J60" s="172">
        <v>-1774400.9777508599</v>
      </c>
      <c r="K60" s="172">
        <v>1123529.6908690899</v>
      </c>
      <c r="L60" s="172">
        <v>-99179.220494456298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2.06564436666667E-8</v>
      </c>
      <c r="H61" s="172">
        <v>-12611.767030328199</v>
      </c>
      <c r="I61" s="172">
        <v>-141356.01800464999</v>
      </c>
      <c r="J61" s="172">
        <v>-1774400.9777508399</v>
      </c>
      <c r="K61" s="172">
        <v>1618275.75388537</v>
      </c>
      <c r="L61" s="172">
        <v>-143320.40510059099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2.02744558919221E-8</v>
      </c>
      <c r="H62" s="172">
        <v>-12611.7670293394</v>
      </c>
      <c r="I62" s="172">
        <v>-141356.01800526099</v>
      </c>
      <c r="J62" s="172">
        <v>-1416484.0526936001</v>
      </c>
      <c r="K62" s="172">
        <v>1123529.6908724599</v>
      </c>
      <c r="L62" s="172">
        <v>-99179.220485418497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2.00561771634966E-8</v>
      </c>
      <c r="H63" s="172">
        <v>-12611.7670293394</v>
      </c>
      <c r="I63" s="172">
        <v>-141356.01800526</v>
      </c>
      <c r="J63" s="172">
        <v>-1416484.05269358</v>
      </c>
      <c r="K63" s="172">
        <v>1618275.7538908699</v>
      </c>
      <c r="L63" s="172">
        <v>-143320.4050881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3896519.3812493701</v>
      </c>
      <c r="H64" s="172">
        <v>-9.98085738501686E-8</v>
      </c>
      <c r="I64" s="172">
        <v>3.6520930279948503E-8</v>
      </c>
      <c r="J64" s="172">
        <v>8.9431050582788902E-6</v>
      </c>
      <c r="K64" s="172">
        <v>58935080.242958598</v>
      </c>
      <c r="L64" s="172">
        <v>-46325017.612258002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3995444.3812493701</v>
      </c>
      <c r="H65" s="172">
        <v>-9.9750025128741995E-8</v>
      </c>
      <c r="I65" s="172">
        <v>3.6516098589345301E-8</v>
      </c>
      <c r="J65" s="172">
        <v>8.9428440332994796E-6</v>
      </c>
      <c r="K65" s="172">
        <v>60358952.242958397</v>
      </c>
      <c r="L65" s="172">
        <v>-47587000.537258297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2.49565346166492E-9</v>
      </c>
      <c r="H66" s="172">
        <v>-158987.262105954</v>
      </c>
      <c r="I66" s="172">
        <v>-13267.5205577244</v>
      </c>
      <c r="J66" s="172">
        <v>2370675.36200742</v>
      </c>
      <c r="K66" s="172">
        <v>135410.754298877</v>
      </c>
      <c r="L66" s="172">
        <v>-1603822.7046715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2.65481503447518E-9</v>
      </c>
      <c r="H67" s="172">
        <v>-158987.26210595499</v>
      </c>
      <c r="I67" s="172">
        <v>-13267.5205577244</v>
      </c>
      <c r="J67" s="172">
        <v>2370675.3620074298</v>
      </c>
      <c r="K67" s="172">
        <v>181847.076250913</v>
      </c>
      <c r="L67" s="172">
        <v>-2160278.12204235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3.9071892388164997E-9</v>
      </c>
      <c r="H68" s="172">
        <v>-158987.26210720799</v>
      </c>
      <c r="I68" s="172">
        <v>-13267.5205568821</v>
      </c>
      <c r="J68" s="172">
        <v>1909452.8319035601</v>
      </c>
      <c r="K68" s="172">
        <v>135410.754292586</v>
      </c>
      <c r="L68" s="172">
        <v>-1603822.70468578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4.32191882282495E-9</v>
      </c>
      <c r="H69" s="172">
        <v>-158987.26210721</v>
      </c>
      <c r="I69" s="172">
        <v>-13267.5205568821</v>
      </c>
      <c r="J69" s="172">
        <v>1909452.8319035701</v>
      </c>
      <c r="K69" s="172">
        <v>181847.07624167501</v>
      </c>
      <c r="L69" s="172">
        <v>-2160278.1220610202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2.01471266336739E-8</v>
      </c>
      <c r="H70" s="172">
        <v>-14199.2049579676</v>
      </c>
      <c r="I70" s="172">
        <v>-158808.07595162699</v>
      </c>
      <c r="J70" s="172">
        <v>-1990325.8390626099</v>
      </c>
      <c r="K70" s="172">
        <v>1618275.75388536</v>
      </c>
      <c r="L70" s="172">
        <v>-143320.405100595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2.0219886209815701E-8</v>
      </c>
      <c r="H71" s="172">
        <v>-14199.204957967801</v>
      </c>
      <c r="I71" s="172">
        <v>-158808.07595162699</v>
      </c>
      <c r="J71" s="172">
        <v>-1990325.8390625999</v>
      </c>
      <c r="K71" s="172">
        <v>2174104.01971605</v>
      </c>
      <c r="L71" s="172">
        <v>-193017.62245348399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1.8786522559821599E-8</v>
      </c>
      <c r="H72" s="172">
        <v>-14199.204956866301</v>
      </c>
      <c r="I72" s="172">
        <v>-158808.07595236</v>
      </c>
      <c r="J72" s="172">
        <v>-1588107.2797842601</v>
      </c>
      <c r="K72" s="172">
        <v>1618275.7538908501</v>
      </c>
      <c r="L72" s="172">
        <v>-143320.405088097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1.88229023478925E-8</v>
      </c>
      <c r="H73" s="172">
        <v>-14199.204956866401</v>
      </c>
      <c r="I73" s="172">
        <v>-158808.07595236</v>
      </c>
      <c r="J73" s="172">
        <v>-1588107.2797842501</v>
      </c>
      <c r="K73" s="172">
        <v>2174104.0197241101</v>
      </c>
      <c r="L73" s="172">
        <v>-193017.62243713101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4689093.3374993103</v>
      </c>
      <c r="H74" s="172">
        <v>-1.09312452423183E-7</v>
      </c>
      <c r="I74" s="172">
        <v>4.1436578612774597E-8</v>
      </c>
      <c r="J74" s="172">
        <v>9.9290264188311994E-6</v>
      </c>
      <c r="K74" s="172">
        <v>70953867.351551905</v>
      </c>
      <c r="L74" s="172">
        <v>-55718361.755710602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4788018.3374993103</v>
      </c>
      <c r="H75" s="172">
        <v>-1.0928724236691801E-7</v>
      </c>
      <c r="I75" s="172">
        <v>4.1434986997046501E-8</v>
      </c>
      <c r="J75" s="172">
        <v>9.9288945420994406E-6</v>
      </c>
      <c r="K75" s="172">
        <v>72377739.351551697</v>
      </c>
      <c r="L75" s="172">
        <v>-56980344.680711001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2.94949131784961E-9</v>
      </c>
      <c r="H76" s="172">
        <v>-174923.56947342199</v>
      </c>
      <c r="I76" s="172">
        <v>-14595.3006773907</v>
      </c>
      <c r="J76" s="172">
        <v>2610507.4532546098</v>
      </c>
      <c r="K76" s="172">
        <v>181847.076250905</v>
      </c>
      <c r="L76" s="172">
        <v>-2160278.12204237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2.9190232453402099E-9</v>
      </c>
      <c r="H77" s="172">
        <v>-174923.56947342301</v>
      </c>
      <c r="I77" s="172">
        <v>-14595.3006773907</v>
      </c>
      <c r="J77" s="172">
        <v>2610507.4532546098</v>
      </c>
      <c r="K77" s="172">
        <v>232930.62862177301</v>
      </c>
      <c r="L77" s="172">
        <v>-2772510.61519934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4.4383341446518898E-9</v>
      </c>
      <c r="H78" s="172">
        <v>-174923.569474644</v>
      </c>
      <c r="I78" s="172">
        <v>-14595.3006763919</v>
      </c>
      <c r="J78" s="172">
        <v>2102836.53376971</v>
      </c>
      <c r="K78" s="172">
        <v>181847.076241665</v>
      </c>
      <c r="L78" s="172">
        <v>-2160278.12206103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4.3764885049313299E-9</v>
      </c>
      <c r="H79" s="172">
        <v>-174923.56947464499</v>
      </c>
      <c r="I79" s="172">
        <v>-14595.3006763922</v>
      </c>
      <c r="J79" s="172">
        <v>2102836.5337697002</v>
      </c>
      <c r="K79" s="172">
        <v>232930.62860903799</v>
      </c>
      <c r="L79" s="172">
        <v>-2772510.6152222902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2.11948645301163E-8</v>
      </c>
      <c r="H80" s="172">
        <v>-15618.743202461201</v>
      </c>
      <c r="I80" s="172">
        <v>-174619.18545032799</v>
      </c>
      <c r="J80" s="172">
        <v>-2185815.0923770601</v>
      </c>
      <c r="K80" s="172">
        <v>2174104.0197160402</v>
      </c>
      <c r="L80" s="172">
        <v>-193017.622453524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2.1093001123517801E-8</v>
      </c>
      <c r="H81" s="172">
        <v>-15618.743202461401</v>
      </c>
      <c r="I81" s="172">
        <v>-174619.18545033</v>
      </c>
      <c r="J81" s="172">
        <v>-2185815.0923771001</v>
      </c>
      <c r="K81" s="172">
        <v>2785271.16879219</v>
      </c>
      <c r="L81" s="172">
        <v>-247683.22366213499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1.9714207155629999E-8</v>
      </c>
      <c r="H82" s="172">
        <v>-15618.743201396401</v>
      </c>
      <c r="I82" s="172">
        <v>-174619.18545120201</v>
      </c>
      <c r="J82" s="172">
        <v>-1743401.6942596301</v>
      </c>
      <c r="K82" s="172">
        <v>2174104.0197240999</v>
      </c>
      <c r="L82" s="172">
        <v>-193017.62243717001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1.95250322576612E-8</v>
      </c>
      <c r="H83" s="172">
        <v>-15618.743201396401</v>
      </c>
      <c r="I83" s="172">
        <v>-174619.18545120399</v>
      </c>
      <c r="J83" s="172">
        <v>-1743401.6942596801</v>
      </c>
      <c r="K83" s="172">
        <v>2785271.16880331</v>
      </c>
      <c r="L83" s="172">
        <v>-247683.22364205201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5496082.4137492897</v>
      </c>
      <c r="H84" s="172">
        <v>-1.29720206132333E-7</v>
      </c>
      <c r="I84" s="172">
        <v>5.1010147217311903E-8</v>
      </c>
      <c r="J84" s="172">
        <v>1.04028304122039E-5</v>
      </c>
      <c r="K84" s="172">
        <v>83179216.700145394</v>
      </c>
      <c r="L84" s="172">
        <v>-65284274.598263703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5595007.4137492897</v>
      </c>
      <c r="H85" s="172">
        <v>-1.2971217699941901E-7</v>
      </c>
      <c r="I85" s="172">
        <v>5.1022368552367003E-8</v>
      </c>
      <c r="J85" s="172">
        <v>1.04031314549502E-5</v>
      </c>
      <c r="K85" s="172">
        <v>84603088.7001452</v>
      </c>
      <c r="L85" s="172">
        <v>-66546257.523264199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2.56704879575409E-9</v>
      </c>
      <c r="H86" s="172">
        <v>-188607.79649342899</v>
      </c>
      <c r="I86" s="172">
        <v>-15738.289597057999</v>
      </c>
      <c r="J86" s="172">
        <v>2816407.7064762702</v>
      </c>
      <c r="K86" s="172">
        <v>232930.62862177199</v>
      </c>
      <c r="L86" s="172">
        <v>-2772510.6151993601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2.6234374672640098E-9</v>
      </c>
      <c r="H87" s="172">
        <v>-188607.79649342899</v>
      </c>
      <c r="I87" s="172">
        <v>-15738.289597057999</v>
      </c>
      <c r="J87" s="172">
        <v>2816407.7064762702</v>
      </c>
      <c r="K87" s="172">
        <v>288014.642211475</v>
      </c>
      <c r="L87" s="172">
        <v>-3432637.9029263598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4.6420609578490299E-9</v>
      </c>
      <c r="H88" s="172">
        <v>-188607.79649460301</v>
      </c>
      <c r="I88" s="172">
        <v>-15738.2895959787</v>
      </c>
      <c r="J88" s="172">
        <v>2268860.41556782</v>
      </c>
      <c r="K88" s="172">
        <v>232930.62860904299</v>
      </c>
      <c r="L88" s="172">
        <v>-2772510.6152222999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4.6420609578490299E-9</v>
      </c>
      <c r="H89" s="172">
        <v>-188607.796494604</v>
      </c>
      <c r="I89" s="172">
        <v>-15738.2895959786</v>
      </c>
      <c r="J89" s="172">
        <v>2268860.41556782</v>
      </c>
      <c r="K89" s="172">
        <v>288014.64219496801</v>
      </c>
      <c r="L89" s="172">
        <v>-3432637.9029534198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2.12312443181872E-8</v>
      </c>
      <c r="H90" s="172">
        <v>-16831.434123278599</v>
      </c>
      <c r="I90" s="172">
        <v>-188384.70443890401</v>
      </c>
      <c r="J90" s="172">
        <v>-2356388.3028915501</v>
      </c>
      <c r="K90" s="172">
        <v>2785271.1687921602</v>
      </c>
      <c r="L90" s="172">
        <v>-247683.22366216301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2.09256540983915E-8</v>
      </c>
      <c r="H91" s="172">
        <v>-16831.434123278799</v>
      </c>
      <c r="I91" s="172">
        <v>-188384.70443890299</v>
      </c>
      <c r="J91" s="172">
        <v>-2356388.3028915301</v>
      </c>
      <c r="K91" s="172">
        <v>3444617.6343283202</v>
      </c>
      <c r="L91" s="172">
        <v>-306593.24309363001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1.9455910660326501E-8</v>
      </c>
      <c r="H92" s="172">
        <v>-16831.434122250601</v>
      </c>
      <c r="I92" s="172">
        <v>-188384.70443984601</v>
      </c>
      <c r="J92" s="172">
        <v>-1878907.2900509799</v>
      </c>
      <c r="K92" s="172">
        <v>2785271.1688032802</v>
      </c>
      <c r="L92" s="172">
        <v>-247683.22364208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1.90775608643889E-8</v>
      </c>
      <c r="H93" s="172">
        <v>-16831.434122250499</v>
      </c>
      <c r="I93" s="172">
        <v>-188384.70443984499</v>
      </c>
      <c r="J93" s="172">
        <v>-1878907.2900509599</v>
      </c>
      <c r="K93" s="172">
        <v>3444617.6343427398</v>
      </c>
      <c r="L93" s="172">
        <v>-306593.243069947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6303071.4899992403</v>
      </c>
      <c r="H94" s="172">
        <v>-1.3111383623254401E-7</v>
      </c>
      <c r="I94" s="172">
        <v>6.3444076658925002E-8</v>
      </c>
      <c r="J94" s="172">
        <v>1.0727281733125E-5</v>
      </c>
      <c r="K94" s="172">
        <v>95404566.048738807</v>
      </c>
      <c r="L94" s="172">
        <v>-74850187.4408167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6401996.4899992403</v>
      </c>
      <c r="H95" s="172">
        <v>-1.3110535235227901E-7</v>
      </c>
      <c r="I95" s="172">
        <v>6.3441916609008304E-8</v>
      </c>
      <c r="J95" s="172">
        <v>1.07272126115276E-5</v>
      </c>
      <c r="K95" s="172">
        <v>96828438.048738599</v>
      </c>
      <c r="L95" s="172">
        <v>-76112170.365817204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3.5031462175538801E-9</v>
      </c>
      <c r="H96" s="172">
        <v>-199181.93865346999</v>
      </c>
      <c r="I96" s="172">
        <v>-16609.676759558199</v>
      </c>
      <c r="J96" s="172">
        <v>2975675.4036968802</v>
      </c>
      <c r="K96" s="172">
        <v>288014.64221147401</v>
      </c>
      <c r="L96" s="172">
        <v>-3432637.9029263998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3.7521203921642204E-9</v>
      </c>
      <c r="H97" s="172">
        <v>-199181.93865347101</v>
      </c>
      <c r="I97" s="172">
        <v>-16609.676759558199</v>
      </c>
      <c r="J97" s="172">
        <v>2975675.4036968802</v>
      </c>
      <c r="K97" s="172">
        <v>346148.510869928</v>
      </c>
      <c r="L97" s="172">
        <v>-4129774.68821355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6.1736500356346402E-9</v>
      </c>
      <c r="H98" s="172">
        <v>-199181.938654684</v>
      </c>
      <c r="I98" s="172">
        <v>-16609.676758450001</v>
      </c>
      <c r="J98" s="172">
        <v>2397281.2337141102</v>
      </c>
      <c r="K98" s="172">
        <v>288014.64219497598</v>
      </c>
      <c r="L98" s="172">
        <v>-3432637.9029534501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6.4010237110778698E-9</v>
      </c>
      <c r="H99" s="172">
        <v>-199181.93865468499</v>
      </c>
      <c r="I99" s="172">
        <v>-16609.676758450099</v>
      </c>
      <c r="J99" s="172">
        <v>2397281.2337141102</v>
      </c>
      <c r="K99" s="172">
        <v>346148.51084955101</v>
      </c>
      <c r="L99" s="172">
        <v>-4129774.6882448499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2.1085725165903601E-8</v>
      </c>
      <c r="H100" s="172">
        <v>-17753.625818892499</v>
      </c>
      <c r="I100" s="172">
        <v>-199124.35613205601</v>
      </c>
      <c r="J100" s="172">
        <v>-2489854.6761031798</v>
      </c>
      <c r="K100" s="172">
        <v>3444617.6343283001</v>
      </c>
      <c r="L100" s="172">
        <v>-306593.243093653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2.0801962818950401E-8</v>
      </c>
      <c r="H101" s="172">
        <v>-17753.6258188926</v>
      </c>
      <c r="I101" s="172">
        <v>-199124.35613205601</v>
      </c>
      <c r="J101" s="172">
        <v>-2489854.6761031901</v>
      </c>
      <c r="K101" s="172">
        <v>4141552.8807905</v>
      </c>
      <c r="L101" s="172">
        <v>-368730.933459769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1.8881110008806E-8</v>
      </c>
      <c r="H102" s="172">
        <v>-17753.6258178311</v>
      </c>
      <c r="I102" s="172">
        <v>-199124.35613302299</v>
      </c>
      <c r="J102" s="172">
        <v>-1984939.05107648</v>
      </c>
      <c r="K102" s="172">
        <v>3444617.63434271</v>
      </c>
      <c r="L102" s="172">
        <v>-306593.24306996702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1.86264514923096E-8</v>
      </c>
      <c r="H103" s="172">
        <v>-17753.6258178311</v>
      </c>
      <c r="I103" s="172">
        <v>-199124.35613302299</v>
      </c>
      <c r="J103" s="172">
        <v>-1984939.05107649</v>
      </c>
      <c r="K103" s="172">
        <v>4141552.8808082901</v>
      </c>
      <c r="L103" s="172">
        <v>-368730.93343236798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7110060.5662492402</v>
      </c>
      <c r="H104" s="172">
        <v>-1.3033030654696599E-7</v>
      </c>
      <c r="I104" s="172">
        <v>6.7960854721604793E-8</v>
      </c>
      <c r="J104" s="172">
        <v>1.08641406768584E-5</v>
      </c>
      <c r="K104" s="172">
        <v>107629915.397332</v>
      </c>
      <c r="L104" s="172">
        <v>-84416100.283370197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7208985.5662492504</v>
      </c>
      <c r="H105" s="172">
        <v>-1.30327350689186E-7</v>
      </c>
      <c r="I105" s="172">
        <v>6.7961650529468898E-8</v>
      </c>
      <c r="J105" s="172">
        <v>1.0864172509172901E-5</v>
      </c>
      <c r="K105" s="172">
        <v>109053787.397332</v>
      </c>
      <c r="L105" s="172">
        <v>-85678083.2083707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4.2764440877363102E-9</v>
      </c>
      <c r="H106" s="172">
        <v>-205095.813702616</v>
      </c>
      <c r="I106" s="172">
        <v>-17064.8479433635</v>
      </c>
      <c r="J106" s="172">
        <v>3065006.2338239201</v>
      </c>
      <c r="K106" s="172">
        <v>346148.510869933</v>
      </c>
      <c r="L106" s="172">
        <v>-4129774.68821357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4.3180108377782703E-9</v>
      </c>
      <c r="H107" s="172">
        <v>-205095.813702616</v>
      </c>
      <c r="I107" s="172">
        <v>-17064.8479433635</v>
      </c>
      <c r="J107" s="172">
        <v>3065006.2338239201</v>
      </c>
      <c r="K107" s="172">
        <v>414407.90264338697</v>
      </c>
      <c r="L107" s="172">
        <v>-4950157.9430240402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7.00674718245864E-9</v>
      </c>
      <c r="H108" s="172">
        <v>-205095.813703861</v>
      </c>
      <c r="I108" s="172">
        <v>-17064.847942234101</v>
      </c>
      <c r="J108" s="172">
        <v>2469269.21602559</v>
      </c>
      <c r="K108" s="172">
        <v>346148.51084955502</v>
      </c>
      <c r="L108" s="172">
        <v>-4129774.6882448802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7.0449459599330996E-9</v>
      </c>
      <c r="H109" s="172">
        <v>-205095.813703861</v>
      </c>
      <c r="I109" s="172">
        <v>-17064.847942234101</v>
      </c>
      <c r="J109" s="172">
        <v>2469269.21602559</v>
      </c>
      <c r="K109" s="172">
        <v>414407.90261849202</v>
      </c>
      <c r="L109" s="172">
        <v>-4950157.9430603199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2.04454408958554E-8</v>
      </c>
      <c r="H110" s="172">
        <v>-18239.059131783</v>
      </c>
      <c r="I110" s="172">
        <v>-205095.813805621</v>
      </c>
      <c r="J110" s="172">
        <v>-2564743.2955684098</v>
      </c>
      <c r="K110" s="172">
        <v>4141552.8807904702</v>
      </c>
      <c r="L110" s="172">
        <v>-368730.93345977803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2.0350853446870999E-8</v>
      </c>
      <c r="H111" s="172">
        <v>-18239.059131783</v>
      </c>
      <c r="I111" s="172">
        <v>-205095.813805621</v>
      </c>
      <c r="J111" s="172">
        <v>-2564743.2955684098</v>
      </c>
      <c r="K111" s="172">
        <v>4961936.13601295</v>
      </c>
      <c r="L111" s="172">
        <v>-441687.16998690797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1.808803062886E-8</v>
      </c>
      <c r="H112" s="172">
        <v>-18239.0591306938</v>
      </c>
      <c r="I112" s="172">
        <v>-205095.81380660599</v>
      </c>
      <c r="J112" s="172">
        <v>-2044487.4175525</v>
      </c>
      <c r="K112" s="172">
        <v>4141552.8808082701</v>
      </c>
      <c r="L112" s="172">
        <v>-368730.93343237601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1.8015271052718199E-8</v>
      </c>
      <c r="H113" s="172">
        <v>-18239.0591306938</v>
      </c>
      <c r="I113" s="172">
        <v>-205095.81380660599</v>
      </c>
      <c r="J113" s="172">
        <v>-2044487.4175525</v>
      </c>
      <c r="K113" s="172">
        <v>4961936.1360346898</v>
      </c>
      <c r="L113" s="172">
        <v>-441687.169955149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8139124.6424992401</v>
      </c>
      <c r="H114" s="172">
        <v>-1.3165004020265801E-7</v>
      </c>
      <c r="I114" s="172">
        <v>6.9869244612163999E-8</v>
      </c>
      <c r="J114" s="172">
        <v>1.0940176252916E-5</v>
      </c>
      <c r="K114" s="172">
        <v>123297427.24592599</v>
      </c>
      <c r="L114" s="172">
        <v>-96535875.625923693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8251645.6424992401</v>
      </c>
      <c r="H115" s="172">
        <v>-1.31654815049842E-7</v>
      </c>
      <c r="I115" s="172">
        <v>6.9868093532932094E-8</v>
      </c>
      <c r="J115" s="172">
        <v>1.0940165338979601E-5</v>
      </c>
      <c r="K115" s="172">
        <v>124923403.24592599</v>
      </c>
      <c r="L115" s="172">
        <v>-97963998.550924197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13" workbookViewId="0">
      <selection activeCell="B447" sqref="B447:G457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2.55208310966226E-2</v>
      </c>
      <c r="F6" s="172">
        <v>2.50957581929423E-2</v>
      </c>
      <c r="G6" s="172">
        <v>1.0169380379111199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3.0275763392258601E-2</v>
      </c>
      <c r="F7" s="172">
        <v>2.7058280066117001E-2</v>
      </c>
      <c r="G7" s="172">
        <v>1.11890938072485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2.9192628641609399E-2</v>
      </c>
      <c r="F8" s="172">
        <v>2.60308186286742E-2</v>
      </c>
      <c r="G8" s="172">
        <v>1.1214641021489899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2.7413508190332399E-2</v>
      </c>
      <c r="F9" s="172">
        <v>2.43964010546628E-2</v>
      </c>
      <c r="G9" s="172">
        <v>1.1236701728631799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2.4973798016861299E-2</v>
      </c>
      <c r="F10" s="172">
        <v>2.2191069025776701E-2</v>
      </c>
      <c r="G10" s="172">
        <v>1.1253986001238701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2.1975406629836498E-2</v>
      </c>
      <c r="F11" s="172">
        <v>1.95043773225211E-2</v>
      </c>
      <c r="G11" s="172">
        <v>1.12669101230226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1.8540931941677101E-2</v>
      </c>
      <c r="F12" s="172">
        <v>1.6442487852620698E-2</v>
      </c>
      <c r="G12" s="172">
        <v>1.1276232713604799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1.4912553458806399E-2</v>
      </c>
      <c r="F13" s="172">
        <v>1.3214386140992599E-2</v>
      </c>
      <c r="G13" s="172">
        <v>1.1285089825357699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1.11726764007531E-2</v>
      </c>
      <c r="F14" s="172">
        <v>9.8927894050258001E-3</v>
      </c>
      <c r="G14" s="172">
        <v>1.1293757446284101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7.2543713227092299E-3</v>
      </c>
      <c r="F15" s="172">
        <v>6.4232242879554398E-3</v>
      </c>
      <c r="G15" s="172">
        <v>1.12939716838354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3.3030702556098102E-3</v>
      </c>
      <c r="F16" s="172">
        <v>2.9314928320347002E-3</v>
      </c>
      <c r="G16" s="172">
        <v>1.1267536524444399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3.0989399728215301E-2</v>
      </c>
      <c r="F17" s="172">
        <v>3.0543442421815999E-2</v>
      </c>
      <c r="G17" s="172">
        <v>1.0146007545659199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6.6360876950472001E-3</v>
      </c>
      <c r="F18" s="172">
        <v>6.0786410620480803E-3</v>
      </c>
      <c r="G18" s="172">
        <v>1.0917057986002101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2.99898768549457E-2</v>
      </c>
      <c r="F19" s="172">
        <v>2.6630213341346999E-2</v>
      </c>
      <c r="G19" s="172">
        <v>1.1261598422263599</v>
      </c>
    </row>
    <row r="20" spans="2:7" hidden="1" x14ac:dyDescent="0.3">
      <c r="B20" s="172" t="s">
        <v>187</v>
      </c>
      <c r="C20" s="172" t="s">
        <v>80</v>
      </c>
      <c r="D20" s="172" t="s">
        <v>221</v>
      </c>
      <c r="E20" s="172">
        <v>6.3239437956303301E-3</v>
      </c>
      <c r="F20" s="172">
        <v>3.2894090091540899E-3</v>
      </c>
      <c r="G20" s="172">
        <v>1.9225167128902001</v>
      </c>
    </row>
    <row r="21" spans="2:7" hidden="1" x14ac:dyDescent="0.3">
      <c r="B21" s="172" t="s">
        <v>185</v>
      </c>
      <c r="C21" s="172" t="s">
        <v>80</v>
      </c>
      <c r="D21" s="172" t="s">
        <v>218</v>
      </c>
      <c r="E21" s="172">
        <v>2.8775109559845701E-2</v>
      </c>
      <c r="F21" s="172">
        <v>2.56141971553333E-2</v>
      </c>
      <c r="G21" s="172">
        <v>1.1234047034675201</v>
      </c>
    </row>
    <row r="22" spans="2:7" hidden="1" x14ac:dyDescent="0.3">
      <c r="B22" s="172" t="s">
        <v>185</v>
      </c>
      <c r="C22" s="172" t="s">
        <v>80</v>
      </c>
      <c r="D22" s="172" t="s">
        <v>221</v>
      </c>
      <c r="E22" s="172">
        <v>5.9820174400761596E-3</v>
      </c>
      <c r="F22" s="172">
        <v>3.1269997843875398E-3</v>
      </c>
      <c r="G22" s="172">
        <v>1.9130213791325299</v>
      </c>
    </row>
    <row r="23" spans="2:7" hidden="1" x14ac:dyDescent="0.3">
      <c r="B23" s="172" t="s">
        <v>183</v>
      </c>
      <c r="C23" s="172" t="s">
        <v>80</v>
      </c>
      <c r="D23" s="172" t="s">
        <v>218</v>
      </c>
      <c r="E23" s="172">
        <v>2.68944040647628E-2</v>
      </c>
      <c r="F23" s="172">
        <v>2.4001502029464401E-2</v>
      </c>
      <c r="G23" s="172">
        <v>1.12053004148436</v>
      </c>
    </row>
    <row r="24" spans="2:7" hidden="1" x14ac:dyDescent="0.3">
      <c r="B24" s="172" t="s">
        <v>183</v>
      </c>
      <c r="C24" s="172" t="s">
        <v>80</v>
      </c>
      <c r="D24" s="172" t="s">
        <v>221</v>
      </c>
      <c r="E24" s="172">
        <v>5.5114345607017697E-3</v>
      </c>
      <c r="F24" s="172">
        <v>2.8984907868838598E-3</v>
      </c>
      <c r="G24" s="172">
        <v>1.9014842433317001</v>
      </c>
    </row>
    <row r="25" spans="2:7" hidden="1" x14ac:dyDescent="0.3">
      <c r="B25" s="172" t="s">
        <v>181</v>
      </c>
      <c r="C25" s="172" t="s">
        <v>80</v>
      </c>
      <c r="D25" s="172" t="s">
        <v>218</v>
      </c>
      <c r="E25" s="172">
        <v>2.4396097212262401E-2</v>
      </c>
      <c r="F25" s="172">
        <v>2.18283859613316E-2</v>
      </c>
      <c r="G25" s="172">
        <v>1.1176317504866999</v>
      </c>
    </row>
    <row r="26" spans="2:7" hidden="1" x14ac:dyDescent="0.3">
      <c r="B26" s="172" t="s">
        <v>181</v>
      </c>
      <c r="C26" s="172" t="s">
        <v>80</v>
      </c>
      <c r="D26" s="172" t="s">
        <v>221</v>
      </c>
      <c r="E26" s="172">
        <v>4.9291477188499796E-3</v>
      </c>
      <c r="F26" s="172">
        <v>2.6099246534930999E-3</v>
      </c>
      <c r="G26" s="172">
        <v>1.8886168657217199</v>
      </c>
    </row>
    <row r="27" spans="2:7" hidden="1" x14ac:dyDescent="0.3">
      <c r="B27" s="172" t="s">
        <v>179</v>
      </c>
      <c r="C27" s="172" t="s">
        <v>80</v>
      </c>
      <c r="D27" s="172" t="s">
        <v>218</v>
      </c>
      <c r="E27" s="172">
        <v>2.1379948055385001E-2</v>
      </c>
      <c r="F27" s="172">
        <v>1.9182977317045199E-2</v>
      </c>
      <c r="G27" s="172">
        <v>1.11452709879335</v>
      </c>
    </row>
    <row r="28" spans="2:7" hidden="1" x14ac:dyDescent="0.3">
      <c r="B28" s="172" t="s">
        <v>179</v>
      </c>
      <c r="C28" s="172" t="s">
        <v>80</v>
      </c>
      <c r="D28" s="172" t="s">
        <v>221</v>
      </c>
      <c r="E28" s="172">
        <v>4.25567455330602E-3</v>
      </c>
      <c r="F28" s="172">
        <v>2.2713138864184899E-3</v>
      </c>
      <c r="G28" s="172">
        <v>1.8736620150799801</v>
      </c>
    </row>
    <row r="29" spans="2:7" hidden="1" x14ac:dyDescent="0.3">
      <c r="B29" s="172" t="s">
        <v>39</v>
      </c>
      <c r="C29" s="172" t="s">
        <v>80</v>
      </c>
      <c r="D29" s="172" t="s">
        <v>218</v>
      </c>
      <c r="E29" s="172">
        <v>1.79651466010123E-2</v>
      </c>
      <c r="F29" s="172">
        <v>1.6169422267326101E-2</v>
      </c>
      <c r="G29" s="172">
        <v>1.1110568024013401</v>
      </c>
    </row>
    <row r="30" spans="2:7" hidden="1" x14ac:dyDescent="0.3">
      <c r="B30" s="172" t="s">
        <v>39</v>
      </c>
      <c r="C30" s="172" t="s">
        <v>80</v>
      </c>
      <c r="D30" s="172" t="s">
        <v>221</v>
      </c>
      <c r="E30" s="172">
        <v>3.5164048746068001E-3</v>
      </c>
      <c r="F30" s="172">
        <v>1.8944603151483E-3</v>
      </c>
      <c r="G30" s="172">
        <v>1.8561512460774501</v>
      </c>
    </row>
    <row r="31" spans="2:7" hidden="1" x14ac:dyDescent="0.3">
      <c r="B31" s="172" t="s">
        <v>26</v>
      </c>
      <c r="C31" s="172" t="s">
        <v>80</v>
      </c>
      <c r="D31" s="172" t="s">
        <v>218</v>
      </c>
      <c r="E31" s="172">
        <v>1.44096749452508E-2</v>
      </c>
      <c r="F31" s="172">
        <v>1.29936710018857E-2</v>
      </c>
      <c r="G31" s="172">
        <v>1.1089764350012801</v>
      </c>
    </row>
    <row r="32" spans="2:7" hidden="1" x14ac:dyDescent="0.3">
      <c r="B32" s="172" t="s">
        <v>26</v>
      </c>
      <c r="C32" s="172" t="s">
        <v>80</v>
      </c>
      <c r="D32" s="172" t="s">
        <v>221</v>
      </c>
      <c r="E32" s="172">
        <v>2.7816828267846899E-3</v>
      </c>
      <c r="F32" s="172">
        <v>1.50271152310011E-3</v>
      </c>
      <c r="G32" s="172">
        <v>1.8511090013111999</v>
      </c>
    </row>
    <row r="33" spans="2:7" hidden="1" x14ac:dyDescent="0.3">
      <c r="B33" s="172" t="s">
        <v>25</v>
      </c>
      <c r="C33" s="172" t="s">
        <v>80</v>
      </c>
      <c r="D33" s="172" t="s">
        <v>218</v>
      </c>
      <c r="E33" s="172">
        <v>1.07947501099329E-2</v>
      </c>
      <c r="F33" s="172">
        <v>9.7273986694961304E-3</v>
      </c>
      <c r="G33" s="172">
        <v>1.109726297513</v>
      </c>
    </row>
    <row r="34" spans="2:7" hidden="1" x14ac:dyDescent="0.3">
      <c r="B34" s="172" t="s">
        <v>25</v>
      </c>
      <c r="C34" s="172" t="s">
        <v>80</v>
      </c>
      <c r="D34" s="172" t="s">
        <v>221</v>
      </c>
      <c r="E34" s="172">
        <v>2.07018663019355E-3</v>
      </c>
      <c r="F34" s="172">
        <v>1.1061272646377899E-3</v>
      </c>
      <c r="G34" s="172">
        <v>1.87156279062648</v>
      </c>
    </row>
    <row r="35" spans="2:7" hidden="1" x14ac:dyDescent="0.3">
      <c r="B35" s="172" t="s">
        <v>24</v>
      </c>
      <c r="C35" s="172" t="s">
        <v>80</v>
      </c>
      <c r="D35" s="172" t="s">
        <v>218</v>
      </c>
      <c r="E35" s="172">
        <v>7.0335551833197599E-3</v>
      </c>
      <c r="F35" s="172">
        <v>6.31685425550098E-3</v>
      </c>
      <c r="G35" s="172">
        <v>1.1134585188813899</v>
      </c>
    </row>
    <row r="36" spans="2:7" hidden="1" x14ac:dyDescent="0.3">
      <c r="B36" s="172" t="s">
        <v>24</v>
      </c>
      <c r="C36" s="172" t="s">
        <v>80</v>
      </c>
      <c r="D36" s="172" t="s">
        <v>221</v>
      </c>
      <c r="E36" s="172">
        <v>1.35051500392154E-3</v>
      </c>
      <c r="F36" s="172">
        <v>7.0317223040780499E-4</v>
      </c>
      <c r="G36" s="172">
        <v>1.92060343898721</v>
      </c>
    </row>
    <row r="37" spans="2:7" hidden="1" x14ac:dyDescent="0.3">
      <c r="B37" s="172" t="s">
        <v>22</v>
      </c>
      <c r="C37" s="172" t="s">
        <v>80</v>
      </c>
      <c r="D37" s="172" t="s">
        <v>218</v>
      </c>
      <c r="E37" s="172">
        <v>3.24633382867834E-3</v>
      </c>
      <c r="F37" s="172">
        <v>2.8850750046745602E-3</v>
      </c>
      <c r="G37" s="172">
        <v>1.1252164409654699</v>
      </c>
    </row>
    <row r="38" spans="2:7" hidden="1" x14ac:dyDescent="0.3">
      <c r="B38" s="172" t="s">
        <v>22</v>
      </c>
      <c r="C38" s="172" t="s">
        <v>80</v>
      </c>
      <c r="D38" s="172" t="s">
        <v>221</v>
      </c>
      <c r="E38" s="172">
        <v>6.3923646187444402E-4</v>
      </c>
      <c r="F38" s="172">
        <v>3.1293816922586901E-4</v>
      </c>
      <c r="G38" s="172">
        <v>2.0426925339780602</v>
      </c>
    </row>
    <row r="39" spans="2:7" hidden="1" x14ac:dyDescent="0.3">
      <c r="B39" s="172" t="s">
        <v>189</v>
      </c>
      <c r="C39" s="172" t="s">
        <v>81</v>
      </c>
      <c r="D39" s="172" t="s">
        <v>218</v>
      </c>
      <c r="E39" s="172">
        <v>6.1520108800028599E-3</v>
      </c>
      <c r="F39" s="172">
        <v>5.66731301922903E-3</v>
      </c>
      <c r="G39" s="172">
        <v>1.08552516141764</v>
      </c>
    </row>
    <row r="40" spans="2:7" hidden="1" x14ac:dyDescent="0.3">
      <c r="B40" s="172" t="s">
        <v>189</v>
      </c>
      <c r="C40" s="172" t="s">
        <v>81</v>
      </c>
      <c r="D40" s="172" t="s">
        <v>221</v>
      </c>
      <c r="E40" s="172">
        <v>3.6078781423462401E-2</v>
      </c>
      <c r="F40" s="172">
        <v>3.5472909097495099E-2</v>
      </c>
      <c r="G40" s="172">
        <v>1.0170798601350099</v>
      </c>
    </row>
    <row r="41" spans="2:7" hidden="1" x14ac:dyDescent="0.3">
      <c r="B41" s="172" t="s">
        <v>187</v>
      </c>
      <c r="C41" s="172" t="s">
        <v>81</v>
      </c>
      <c r="D41" s="172" t="s">
        <v>221</v>
      </c>
      <c r="E41" s="172">
        <v>3.4705412039057103E-2</v>
      </c>
      <c r="F41" s="172">
        <v>3.1776782053949501E-2</v>
      </c>
      <c r="G41" s="172">
        <v>1.0921625726650199</v>
      </c>
    </row>
    <row r="42" spans="2:7" hidden="1" x14ac:dyDescent="0.3">
      <c r="B42" s="172" t="s">
        <v>185</v>
      </c>
      <c r="C42" s="172" t="s">
        <v>81</v>
      </c>
      <c r="D42" s="172" t="s">
        <v>221</v>
      </c>
      <c r="E42" s="172">
        <v>3.3239284073960498E-2</v>
      </c>
      <c r="F42" s="172">
        <v>3.0553045623833801E-2</v>
      </c>
      <c r="G42" s="172">
        <v>1.08792048043915</v>
      </c>
    </row>
    <row r="43" spans="2:7" hidden="1" x14ac:dyDescent="0.3">
      <c r="B43" s="172" t="s">
        <v>183</v>
      </c>
      <c r="C43" s="172" t="s">
        <v>81</v>
      </c>
      <c r="D43" s="172" t="s">
        <v>221</v>
      </c>
      <c r="E43" s="172">
        <v>3.1016216583954901E-2</v>
      </c>
      <c r="F43" s="172">
        <v>2.86129214032853E-2</v>
      </c>
      <c r="G43" s="172">
        <v>1.08399335205225</v>
      </c>
    </row>
    <row r="44" spans="2:7" hidden="1" x14ac:dyDescent="0.3">
      <c r="B44" s="172" t="s">
        <v>181</v>
      </c>
      <c r="C44" s="172" t="s">
        <v>81</v>
      </c>
      <c r="D44" s="172" t="s">
        <v>221</v>
      </c>
      <c r="E44" s="172">
        <v>2.80985488132382E-2</v>
      </c>
      <c r="F44" s="172">
        <v>2.6002051165738699E-2</v>
      </c>
      <c r="G44" s="172">
        <v>1.0806281640681501</v>
      </c>
    </row>
    <row r="45" spans="2:7" hidden="1" x14ac:dyDescent="0.3">
      <c r="B45" s="172" t="s">
        <v>179</v>
      </c>
      <c r="C45" s="172" t="s">
        <v>81</v>
      </c>
      <c r="D45" s="172" t="s">
        <v>221</v>
      </c>
      <c r="E45" s="172">
        <v>2.46024271376654E-2</v>
      </c>
      <c r="F45" s="172">
        <v>2.2828089443006499E-2</v>
      </c>
      <c r="G45" s="172">
        <v>1.07772607072917</v>
      </c>
    </row>
    <row r="46" spans="2:7" hidden="1" x14ac:dyDescent="0.3">
      <c r="B46" s="172" t="s">
        <v>39</v>
      </c>
      <c r="C46" s="172" t="s">
        <v>81</v>
      </c>
      <c r="D46" s="172" t="s">
        <v>221</v>
      </c>
      <c r="E46" s="172">
        <v>2.06629428656365E-2</v>
      </c>
      <c r="F46" s="172">
        <v>1.9218103279691999E-2</v>
      </c>
      <c r="G46" s="172">
        <v>1.07518117500551</v>
      </c>
    </row>
    <row r="47" spans="2:7" hidden="1" x14ac:dyDescent="0.3">
      <c r="B47" s="172" t="s">
        <v>26</v>
      </c>
      <c r="C47" s="172" t="s">
        <v>81</v>
      </c>
      <c r="D47" s="172" t="s">
        <v>221</v>
      </c>
      <c r="E47" s="172">
        <v>1.6529707625938601E-2</v>
      </c>
      <c r="F47" s="172">
        <v>1.54012889982521E-2</v>
      </c>
      <c r="G47" s="172">
        <v>1.07326780426071</v>
      </c>
    </row>
    <row r="48" spans="2:7" hidden="1" x14ac:dyDescent="0.3">
      <c r="B48" s="172" t="s">
        <v>25</v>
      </c>
      <c r="C48" s="172" t="s">
        <v>81</v>
      </c>
      <c r="D48" s="172" t="s">
        <v>221</v>
      </c>
      <c r="E48" s="172">
        <v>1.2292990663042701E-2</v>
      </c>
      <c r="F48" s="172">
        <v>1.1460532874339501E-2</v>
      </c>
      <c r="G48" s="172">
        <v>1.0726369181809301</v>
      </c>
    </row>
    <row r="49" spans="2:7" hidden="1" x14ac:dyDescent="0.3">
      <c r="B49" s="172" t="s">
        <v>24</v>
      </c>
      <c r="C49" s="172" t="s">
        <v>81</v>
      </c>
      <c r="D49" s="172" t="s">
        <v>221</v>
      </c>
      <c r="E49" s="172">
        <v>7.9044863744936293E-3</v>
      </c>
      <c r="F49" s="172">
        <v>7.3532748432138502E-3</v>
      </c>
      <c r="G49" s="172">
        <v>1.0749613666064</v>
      </c>
    </row>
    <row r="50" spans="2:7" hidden="1" x14ac:dyDescent="0.3">
      <c r="B50" s="172" t="s">
        <v>22</v>
      </c>
      <c r="C50" s="172" t="s">
        <v>81</v>
      </c>
      <c r="D50" s="172" t="s">
        <v>221</v>
      </c>
      <c r="E50" s="172">
        <v>3.5459378608382599E-3</v>
      </c>
      <c r="F50" s="172">
        <v>3.2646161727204201E-3</v>
      </c>
      <c r="G50" s="172">
        <v>1.0861729750861999</v>
      </c>
    </row>
    <row r="51" spans="2:7" hidden="1" x14ac:dyDescent="0.3">
      <c r="B51" s="172" t="s">
        <v>189</v>
      </c>
      <c r="C51" s="172" t="s">
        <v>82</v>
      </c>
      <c r="D51" s="172" t="s">
        <v>221</v>
      </c>
      <c r="E51" s="172">
        <v>3.0809852828867799E-2</v>
      </c>
      <c r="F51" s="172">
        <v>3.0454384057850701E-2</v>
      </c>
      <c r="G51" s="172">
        <v>1.0116721707568199</v>
      </c>
    </row>
    <row r="52" spans="2:7" hidden="1" x14ac:dyDescent="0.3">
      <c r="B52" s="172" t="s">
        <v>187</v>
      </c>
      <c r="C52" s="172" t="s">
        <v>82</v>
      </c>
      <c r="D52" s="172" t="s">
        <v>221</v>
      </c>
      <c r="E52" s="172">
        <v>3.3477224884085499E-2</v>
      </c>
      <c r="F52" s="172">
        <v>3.1199038547507899E-2</v>
      </c>
      <c r="G52" s="172">
        <v>1.07302104303979</v>
      </c>
    </row>
    <row r="53" spans="2:7" hidden="1" x14ac:dyDescent="0.3">
      <c r="B53" s="172" t="s">
        <v>185</v>
      </c>
      <c r="C53" s="172" t="s">
        <v>82</v>
      </c>
      <c r="D53" s="172" t="s">
        <v>221</v>
      </c>
      <c r="E53" s="172">
        <v>3.23290623008744E-2</v>
      </c>
      <c r="F53" s="172">
        <v>3.0014093985858799E-2</v>
      </c>
      <c r="G53" s="172">
        <v>1.0771293751564299</v>
      </c>
    </row>
    <row r="54" spans="2:7" hidden="1" x14ac:dyDescent="0.3">
      <c r="B54" s="172" t="s">
        <v>183</v>
      </c>
      <c r="C54" s="172" t="s">
        <v>82</v>
      </c>
      <c r="D54" s="172" t="s">
        <v>221</v>
      </c>
      <c r="E54" s="172">
        <v>3.03893396440723E-2</v>
      </c>
      <c r="F54" s="172">
        <v>2.81229746252879E-2</v>
      </c>
      <c r="G54" s="172">
        <v>1.08058767072052</v>
      </c>
    </row>
    <row r="55" spans="2:7" hidden="1" x14ac:dyDescent="0.3">
      <c r="B55" s="172" t="s">
        <v>181</v>
      </c>
      <c r="C55" s="172" t="s">
        <v>82</v>
      </c>
      <c r="D55" s="172" t="s">
        <v>221</v>
      </c>
      <c r="E55" s="172">
        <v>2.7694695594007598E-2</v>
      </c>
      <c r="F55" s="172">
        <v>2.5568154055552E-2</v>
      </c>
      <c r="G55" s="172">
        <v>1.08317149270281</v>
      </c>
    </row>
    <row r="56" spans="2:7" hidden="1" x14ac:dyDescent="0.3">
      <c r="B56" s="172" t="s">
        <v>179</v>
      </c>
      <c r="C56" s="172" t="s">
        <v>82</v>
      </c>
      <c r="D56" s="172" t="s">
        <v>221</v>
      </c>
      <c r="E56" s="172">
        <v>2.43624441926719E-2</v>
      </c>
      <c r="F56" s="172">
        <v>2.24554515473133E-2</v>
      </c>
      <c r="G56" s="172">
        <v>1.0849233711172801</v>
      </c>
    </row>
    <row r="57" spans="2:7" hidden="1" x14ac:dyDescent="0.3">
      <c r="B57" s="172" t="s">
        <v>39</v>
      </c>
      <c r="C57" s="172" t="s">
        <v>82</v>
      </c>
      <c r="D57" s="172" t="s">
        <v>221</v>
      </c>
      <c r="E57" s="172">
        <v>2.0535460920660099E-2</v>
      </c>
      <c r="F57" s="172">
        <v>1.89106658185174E-2</v>
      </c>
      <c r="G57" s="172">
        <v>1.08591950795046</v>
      </c>
    </row>
    <row r="58" spans="2:7" hidden="1" x14ac:dyDescent="0.3">
      <c r="B58" s="172" t="s">
        <v>26</v>
      </c>
      <c r="C58" s="172" t="s">
        <v>82</v>
      </c>
      <c r="D58" s="172" t="s">
        <v>221</v>
      </c>
      <c r="E58" s="172">
        <v>1.6484836596264301E-2</v>
      </c>
      <c r="F58" s="172">
        <v>1.51586376938572E-2</v>
      </c>
      <c r="G58" s="172">
        <v>1.0874880005176599</v>
      </c>
    </row>
    <row r="59" spans="2:7" hidden="1" x14ac:dyDescent="0.3">
      <c r="B59" s="172" t="s">
        <v>25</v>
      </c>
      <c r="C59" s="172" t="s">
        <v>82</v>
      </c>
      <c r="D59" s="172" t="s">
        <v>221</v>
      </c>
      <c r="E59" s="172">
        <v>1.2298473915473399E-2</v>
      </c>
      <c r="F59" s="172">
        <v>1.1280432647044199E-2</v>
      </c>
      <c r="G59" s="172">
        <v>1.09024842399958</v>
      </c>
    </row>
    <row r="60" spans="2:7" hidden="1" x14ac:dyDescent="0.3">
      <c r="B60" s="172" t="s">
        <v>24</v>
      </c>
      <c r="C60" s="172" t="s">
        <v>82</v>
      </c>
      <c r="D60" s="172" t="s">
        <v>221</v>
      </c>
      <c r="E60" s="172">
        <v>7.9037795746437298E-3</v>
      </c>
      <c r="F60" s="172">
        <v>7.2343553932844298E-3</v>
      </c>
      <c r="G60" s="172">
        <v>1.0925340469146301</v>
      </c>
    </row>
    <row r="61" spans="2:7" hidden="1" x14ac:dyDescent="0.3">
      <c r="B61" s="172" t="s">
        <v>22</v>
      </c>
      <c r="C61" s="172" t="s">
        <v>82</v>
      </c>
      <c r="D61" s="172" t="s">
        <v>221</v>
      </c>
      <c r="E61" s="172">
        <v>3.5016571204801801E-3</v>
      </c>
      <c r="F61" s="172">
        <v>3.2049605665150699E-3</v>
      </c>
      <c r="G61" s="172">
        <v>1.09257416676665</v>
      </c>
    </row>
    <row r="62" spans="2:7" hidden="1" x14ac:dyDescent="0.3">
      <c r="B62" s="172" t="s">
        <v>189</v>
      </c>
      <c r="C62" s="172" t="s">
        <v>246</v>
      </c>
      <c r="D62" s="172" t="s">
        <v>218</v>
      </c>
      <c r="E62" s="172">
        <v>1.4424974498218901E-3</v>
      </c>
      <c r="F62" s="172">
        <v>1.3698405461322199E-3</v>
      </c>
      <c r="G62" s="172">
        <v>1.0530404096263699</v>
      </c>
    </row>
    <row r="63" spans="2:7" hidden="1" x14ac:dyDescent="0.3">
      <c r="B63" s="172" t="s">
        <v>189</v>
      </c>
      <c r="C63" s="172" t="s">
        <v>246</v>
      </c>
      <c r="D63" s="172" t="s">
        <v>221</v>
      </c>
      <c r="E63" s="172">
        <v>5.2082616818922096E-4</v>
      </c>
      <c r="F63" s="172">
        <v>4.3000503857714101E-4</v>
      </c>
      <c r="G63" s="172">
        <v>1.2112094544580201</v>
      </c>
    </row>
    <row r="64" spans="2:7" hidden="1" x14ac:dyDescent="0.3">
      <c r="B64" s="172" t="s">
        <v>187</v>
      </c>
      <c r="C64" s="172" t="s">
        <v>246</v>
      </c>
      <c r="D64" s="172" t="s">
        <v>218</v>
      </c>
      <c r="E64" s="172">
        <v>9.6414625356250295E-4</v>
      </c>
      <c r="F64" s="172">
        <v>4.8962792866513196E-4</v>
      </c>
      <c r="G64" s="172">
        <v>1.9691406415296699</v>
      </c>
    </row>
    <row r="65" spans="2:7" hidden="1" x14ac:dyDescent="0.3">
      <c r="B65" s="172" t="s">
        <v>187</v>
      </c>
      <c r="C65" s="172" t="s">
        <v>246</v>
      </c>
      <c r="D65" s="172" t="s">
        <v>221</v>
      </c>
      <c r="E65" s="172">
        <v>5.3997847574339703E-4</v>
      </c>
      <c r="F65" s="172">
        <v>1.113812790619E-4</v>
      </c>
      <c r="G65" s="172">
        <v>4.8480182692398799</v>
      </c>
    </row>
    <row r="66" spans="2:7" hidden="1" x14ac:dyDescent="0.3">
      <c r="B66" s="172" t="s">
        <v>185</v>
      </c>
      <c r="C66" s="172" t="s">
        <v>246</v>
      </c>
      <c r="D66" s="172" t="s">
        <v>218</v>
      </c>
      <c r="E66" s="172">
        <v>8.2012357328116101E-4</v>
      </c>
      <c r="F66" s="172">
        <v>4.1771986285604902E-4</v>
      </c>
      <c r="G66" s="172">
        <v>1.9633339139627799</v>
      </c>
    </row>
    <row r="67" spans="2:7" hidden="1" x14ac:dyDescent="0.3">
      <c r="B67" s="172" t="s">
        <v>185</v>
      </c>
      <c r="C67" s="172" t="s">
        <v>246</v>
      </c>
      <c r="D67" s="172" t="s">
        <v>221</v>
      </c>
      <c r="E67" s="172">
        <v>4.5577188607249603E-4</v>
      </c>
      <c r="F67" s="172">
        <v>9.2310470204652994E-5</v>
      </c>
      <c r="G67" s="172">
        <v>4.93738018084023</v>
      </c>
    </row>
    <row r="68" spans="2:7" hidden="1" x14ac:dyDescent="0.3">
      <c r="B68" s="172" t="s">
        <v>183</v>
      </c>
      <c r="C68" s="172" t="s">
        <v>246</v>
      </c>
      <c r="D68" s="172" t="s">
        <v>218</v>
      </c>
      <c r="E68" s="172">
        <v>6.7571008235074205E-4</v>
      </c>
      <c r="F68" s="172">
        <v>3.43191743109959E-4</v>
      </c>
      <c r="G68" s="172">
        <v>1.9688995901461599</v>
      </c>
    </row>
    <row r="69" spans="2:7" hidden="1" x14ac:dyDescent="0.3">
      <c r="B69" s="172" t="s">
        <v>183</v>
      </c>
      <c r="C69" s="172" t="s">
        <v>246</v>
      </c>
      <c r="D69" s="172" t="s">
        <v>221</v>
      </c>
      <c r="E69" s="172">
        <v>3.79518200659247E-4</v>
      </c>
      <c r="F69" s="172">
        <v>7.91790555385398E-5</v>
      </c>
      <c r="G69" s="172">
        <v>4.7931640264958704</v>
      </c>
    </row>
    <row r="70" spans="2:7" hidden="1" x14ac:dyDescent="0.3">
      <c r="B70" s="172" t="s">
        <v>181</v>
      </c>
      <c r="C70" s="172" t="s">
        <v>246</v>
      </c>
      <c r="D70" s="172" t="s">
        <v>218</v>
      </c>
      <c r="E70" s="172">
        <v>5.3631696043807803E-4</v>
      </c>
      <c r="F70" s="172">
        <v>2.70915035026846E-4</v>
      </c>
      <c r="G70" s="172">
        <v>1.9796500418846501</v>
      </c>
    </row>
    <row r="71" spans="2:7" hidden="1" x14ac:dyDescent="0.3">
      <c r="B71" s="172" t="s">
        <v>181</v>
      </c>
      <c r="C71" s="172" t="s">
        <v>246</v>
      </c>
      <c r="D71" s="172" t="s">
        <v>221</v>
      </c>
      <c r="E71" s="172">
        <v>3.0735254947589799E-4</v>
      </c>
      <c r="F71" s="172">
        <v>6.7634681362527499E-5</v>
      </c>
      <c r="G71" s="172">
        <v>4.5443039470898396</v>
      </c>
    </row>
    <row r="72" spans="2:7" hidden="1" x14ac:dyDescent="0.3">
      <c r="B72" s="172" t="s">
        <v>179</v>
      </c>
      <c r="C72" s="172" t="s">
        <v>246</v>
      </c>
      <c r="D72" s="172" t="s">
        <v>218</v>
      </c>
      <c r="E72" s="172">
        <v>4.0588468278271802E-4</v>
      </c>
      <c r="F72" s="172">
        <v>2.0305502410926699E-4</v>
      </c>
      <c r="G72" s="172">
        <v>1.9988901262758501</v>
      </c>
    </row>
    <row r="73" spans="2:7" hidden="1" x14ac:dyDescent="0.3">
      <c r="B73" s="172" t="s">
        <v>179</v>
      </c>
      <c r="C73" s="172" t="s">
        <v>246</v>
      </c>
      <c r="D73" s="172" t="s">
        <v>221</v>
      </c>
      <c r="E73" s="172">
        <v>2.4039793940180699E-4</v>
      </c>
      <c r="F73" s="172">
        <v>5.7196957374173298E-5</v>
      </c>
      <c r="G73" s="172">
        <v>4.2029847467088501</v>
      </c>
    </row>
    <row r="74" spans="2:7" hidden="1" x14ac:dyDescent="0.3">
      <c r="B74" s="172" t="s">
        <v>39</v>
      </c>
      <c r="C74" s="172" t="s">
        <v>246</v>
      </c>
      <c r="D74" s="172" t="s">
        <v>218</v>
      </c>
      <c r="E74" s="172">
        <v>2.8786519839905299E-4</v>
      </c>
      <c r="F74" s="172">
        <v>1.4159872490882101E-4</v>
      </c>
      <c r="G74" s="172">
        <v>2.0329646229824299</v>
      </c>
    </row>
    <row r="75" spans="2:7" hidden="1" x14ac:dyDescent="0.3">
      <c r="B75" s="172" t="s">
        <v>39</v>
      </c>
      <c r="C75" s="172" t="s">
        <v>246</v>
      </c>
      <c r="D75" s="172" t="s">
        <v>221</v>
      </c>
      <c r="E75" s="172">
        <v>1.7946952372998101E-4</v>
      </c>
      <c r="F75" s="172">
        <v>4.7357870254932001E-5</v>
      </c>
      <c r="G75" s="172">
        <v>3.7896451585317998</v>
      </c>
    </row>
    <row r="76" spans="2:7" hidden="1" x14ac:dyDescent="0.3">
      <c r="B76" s="172" t="s">
        <v>26</v>
      </c>
      <c r="C76" s="172" t="s">
        <v>246</v>
      </c>
      <c r="D76" s="172" t="s">
        <v>218</v>
      </c>
      <c r="E76" s="172">
        <v>1.8735951747486499E-4</v>
      </c>
      <c r="F76" s="172">
        <v>8.9813330687461506E-5</v>
      </c>
      <c r="G76" s="172">
        <v>2.0860992019865199</v>
      </c>
    </row>
    <row r="77" spans="2:7" hidden="1" x14ac:dyDescent="0.3">
      <c r="B77" s="172" t="s">
        <v>26</v>
      </c>
      <c r="C77" s="172" t="s">
        <v>246</v>
      </c>
      <c r="D77" s="172" t="s">
        <v>221</v>
      </c>
      <c r="E77" s="172">
        <v>1.2471919501785001E-4</v>
      </c>
      <c r="F77" s="172">
        <v>3.6612961790517699E-5</v>
      </c>
      <c r="G77" s="172">
        <v>3.4064219041178698</v>
      </c>
    </row>
    <row r="78" spans="2:7" hidden="1" x14ac:dyDescent="0.3">
      <c r="B78" s="172" t="s">
        <v>25</v>
      </c>
      <c r="C78" s="172" t="s">
        <v>246</v>
      </c>
      <c r="D78" s="172" t="s">
        <v>218</v>
      </c>
      <c r="E78" s="172">
        <v>1.07242480037407E-4</v>
      </c>
      <c r="F78" s="172">
        <v>4.93892916008662E-5</v>
      </c>
      <c r="G78" s="172">
        <v>2.1713710920187701</v>
      </c>
    </row>
    <row r="79" spans="2:7" hidden="1" x14ac:dyDescent="0.3">
      <c r="B79" s="172" t="s">
        <v>25</v>
      </c>
      <c r="C79" s="172" t="s">
        <v>246</v>
      </c>
      <c r="D79" s="172" t="s">
        <v>221</v>
      </c>
      <c r="E79" s="172">
        <v>7.7409038413078996E-5</v>
      </c>
      <c r="F79" s="172">
        <v>2.5154545631687801E-5</v>
      </c>
      <c r="G79" s="172">
        <v>3.07733797089799</v>
      </c>
    </row>
    <row r="80" spans="2:7" hidden="1" x14ac:dyDescent="0.3">
      <c r="B80" s="172" t="s">
        <v>24</v>
      </c>
      <c r="C80" s="172" t="s">
        <v>246</v>
      </c>
      <c r="D80" s="172" t="s">
        <v>218</v>
      </c>
      <c r="E80" s="172">
        <v>4.8631334446086401E-5</v>
      </c>
      <c r="F80" s="172">
        <v>2.0586000057911299E-5</v>
      </c>
      <c r="G80" s="172">
        <v>2.3623498644360001</v>
      </c>
    </row>
    <row r="81" spans="2:7" hidden="1" x14ac:dyDescent="0.3">
      <c r="B81" s="172" t="s">
        <v>24</v>
      </c>
      <c r="C81" s="172" t="s">
        <v>246</v>
      </c>
      <c r="D81" s="172" t="s">
        <v>221</v>
      </c>
      <c r="E81" s="172">
        <v>4.01707449477668E-5</v>
      </c>
      <c r="F81" s="172">
        <v>1.4839475177802299E-5</v>
      </c>
      <c r="G81" s="172">
        <v>2.7070192487572999</v>
      </c>
    </row>
    <row r="82" spans="2:7" hidden="1" x14ac:dyDescent="0.3">
      <c r="B82" s="172" t="s">
        <v>22</v>
      </c>
      <c r="C82" s="172" t="s">
        <v>246</v>
      </c>
      <c r="D82" s="172" t="s">
        <v>218</v>
      </c>
      <c r="E82" s="172">
        <v>1.3360630153965E-5</v>
      </c>
      <c r="F82" s="172">
        <v>4.9696880147625304E-6</v>
      </c>
      <c r="G82" s="172">
        <v>2.68842432649233</v>
      </c>
    </row>
    <row r="83" spans="2:7" hidden="1" x14ac:dyDescent="0.3">
      <c r="B83" s="172" t="s">
        <v>22</v>
      </c>
      <c r="C83" s="172" t="s">
        <v>246</v>
      </c>
      <c r="D83" s="172" t="s">
        <v>221</v>
      </c>
      <c r="E83" s="172">
        <v>1.29179760263049E-5</v>
      </c>
      <c r="F83" s="172">
        <v>5.3390605457349601E-6</v>
      </c>
      <c r="G83" s="172">
        <v>2.4195222952892399</v>
      </c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2.55208310966226E-2</v>
      </c>
      <c r="F138" s="172">
        <v>2.50957581929423E-2</v>
      </c>
      <c r="G138" s="172">
        <v>1.0169380379111199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3.0275763392258601E-2</v>
      </c>
      <c r="F139" s="172">
        <v>2.7058280066117001E-2</v>
      </c>
      <c r="G139" s="172">
        <v>1.11890938072485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2.9192628641609399E-2</v>
      </c>
      <c r="F140" s="172">
        <v>2.60308186286742E-2</v>
      </c>
      <c r="G140" s="172">
        <v>1.1214641021489899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2.7413508190332399E-2</v>
      </c>
      <c r="F141" s="172">
        <v>2.43964010546628E-2</v>
      </c>
      <c r="G141" s="172">
        <v>1.1236701728631799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2.4973798016861299E-2</v>
      </c>
      <c r="F142" s="172">
        <v>2.2191069025776701E-2</v>
      </c>
      <c r="G142" s="172">
        <v>1.1253986001238701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2.1975406629836498E-2</v>
      </c>
      <c r="F143" s="172">
        <v>1.95043773225211E-2</v>
      </c>
      <c r="G143" s="172">
        <v>1.12669101230226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1.8540931941677101E-2</v>
      </c>
      <c r="F144" s="172">
        <v>1.6442487852620698E-2</v>
      </c>
      <c r="G144" s="172">
        <v>1.1276232713604799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1.4912553458806399E-2</v>
      </c>
      <c r="F145" s="172">
        <v>1.3214386140992599E-2</v>
      </c>
      <c r="G145" s="172">
        <v>1.1285089825357699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1.11726764007531E-2</v>
      </c>
      <c r="F146" s="172">
        <v>9.8927894050258001E-3</v>
      </c>
      <c r="G146" s="172">
        <v>1.1293757446284101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7.2543713227092299E-3</v>
      </c>
      <c r="F147" s="172">
        <v>6.4232242879554398E-3</v>
      </c>
      <c r="G147" s="172">
        <v>1.12939716838354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3.3030702556098102E-3</v>
      </c>
      <c r="F148" s="172">
        <v>2.9314928320347002E-3</v>
      </c>
      <c r="G148" s="172">
        <v>1.1267536524444399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3.0989399728215301E-2</v>
      </c>
      <c r="F149" s="172">
        <v>3.0543442421815999E-2</v>
      </c>
      <c r="G149" s="172">
        <v>1.0146007545659199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6.6360876950472001E-3</v>
      </c>
      <c r="F150" s="172">
        <v>6.0786410620480803E-3</v>
      </c>
      <c r="G150" s="172">
        <v>1.0917057986002101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2.99898768549457E-2</v>
      </c>
      <c r="F151" s="172">
        <v>2.6630213341346999E-2</v>
      </c>
      <c r="G151" s="172">
        <v>1.1261598422263599</v>
      </c>
    </row>
    <row r="152" spans="2:7" hidden="1" x14ac:dyDescent="0.3">
      <c r="B152" s="172" t="s">
        <v>187</v>
      </c>
      <c r="C152" s="172" t="s">
        <v>80</v>
      </c>
      <c r="D152" s="172" t="s">
        <v>221</v>
      </c>
      <c r="E152" s="172">
        <v>6.3239437956303301E-3</v>
      </c>
      <c r="F152" s="172">
        <v>3.2894090091540899E-3</v>
      </c>
      <c r="G152" s="172">
        <v>1.9225167128902001</v>
      </c>
    </row>
    <row r="153" spans="2:7" x14ac:dyDescent="0.3">
      <c r="B153" s="172" t="s">
        <v>185</v>
      </c>
      <c r="C153" s="172" t="s">
        <v>80</v>
      </c>
      <c r="D153" s="172" t="s">
        <v>218</v>
      </c>
      <c r="E153" s="172">
        <v>2.8775109559845701E-2</v>
      </c>
      <c r="F153" s="172">
        <v>2.56141971553333E-2</v>
      </c>
      <c r="G153" s="172">
        <v>1.1234047034675201</v>
      </c>
    </row>
    <row r="154" spans="2:7" hidden="1" x14ac:dyDescent="0.3">
      <c r="B154" s="172" t="s">
        <v>185</v>
      </c>
      <c r="C154" s="172" t="s">
        <v>80</v>
      </c>
      <c r="D154" s="172" t="s">
        <v>221</v>
      </c>
      <c r="E154" s="172">
        <v>5.9820174400761596E-3</v>
      </c>
      <c r="F154" s="172">
        <v>3.1269997843875398E-3</v>
      </c>
      <c r="G154" s="172">
        <v>1.9130213791325299</v>
      </c>
    </row>
    <row r="155" spans="2:7" x14ac:dyDescent="0.3">
      <c r="B155" s="172" t="s">
        <v>183</v>
      </c>
      <c r="C155" s="172" t="s">
        <v>80</v>
      </c>
      <c r="D155" s="172" t="s">
        <v>218</v>
      </c>
      <c r="E155" s="172">
        <v>2.68944040647628E-2</v>
      </c>
      <c r="F155" s="172">
        <v>2.4001502029464401E-2</v>
      </c>
      <c r="G155" s="172">
        <v>1.12053004148436</v>
      </c>
    </row>
    <row r="156" spans="2:7" hidden="1" x14ac:dyDescent="0.3">
      <c r="B156" s="172" t="s">
        <v>183</v>
      </c>
      <c r="C156" s="172" t="s">
        <v>80</v>
      </c>
      <c r="D156" s="172" t="s">
        <v>221</v>
      </c>
      <c r="E156" s="172">
        <v>5.5114345607017697E-3</v>
      </c>
      <c r="F156" s="172">
        <v>2.8984907868838598E-3</v>
      </c>
      <c r="G156" s="172">
        <v>1.9014842433317001</v>
      </c>
    </row>
    <row r="157" spans="2:7" x14ac:dyDescent="0.3">
      <c r="B157" s="172" t="s">
        <v>181</v>
      </c>
      <c r="C157" s="172" t="s">
        <v>80</v>
      </c>
      <c r="D157" s="172" t="s">
        <v>218</v>
      </c>
      <c r="E157" s="172">
        <v>2.4396097212262401E-2</v>
      </c>
      <c r="F157" s="172">
        <v>2.18283859613316E-2</v>
      </c>
      <c r="G157" s="172">
        <v>1.1176317504866999</v>
      </c>
    </row>
    <row r="158" spans="2:7" hidden="1" x14ac:dyDescent="0.3">
      <c r="B158" s="172" t="s">
        <v>181</v>
      </c>
      <c r="C158" s="172" t="s">
        <v>80</v>
      </c>
      <c r="D158" s="172" t="s">
        <v>221</v>
      </c>
      <c r="E158" s="172">
        <v>4.9291477188499796E-3</v>
      </c>
      <c r="F158" s="172">
        <v>2.6099246534930999E-3</v>
      </c>
      <c r="G158" s="172">
        <v>1.8886168657217199</v>
      </c>
    </row>
    <row r="159" spans="2:7" x14ac:dyDescent="0.3">
      <c r="B159" s="172" t="s">
        <v>179</v>
      </c>
      <c r="C159" s="172" t="s">
        <v>80</v>
      </c>
      <c r="D159" s="172" t="s">
        <v>218</v>
      </c>
      <c r="E159" s="172">
        <v>2.1379948055385001E-2</v>
      </c>
      <c r="F159" s="172">
        <v>1.9182977317045199E-2</v>
      </c>
      <c r="G159" s="172">
        <v>1.11452709879335</v>
      </c>
    </row>
    <row r="160" spans="2:7" hidden="1" x14ac:dyDescent="0.3">
      <c r="B160" s="172" t="s">
        <v>179</v>
      </c>
      <c r="C160" s="172" t="s">
        <v>80</v>
      </c>
      <c r="D160" s="172" t="s">
        <v>221</v>
      </c>
      <c r="E160" s="172">
        <v>4.25567455330602E-3</v>
      </c>
      <c r="F160" s="172">
        <v>2.2713138864184899E-3</v>
      </c>
      <c r="G160" s="172">
        <v>1.8736620150799801</v>
      </c>
    </row>
    <row r="161" spans="2:7" x14ac:dyDescent="0.3">
      <c r="B161" s="172" t="s">
        <v>39</v>
      </c>
      <c r="C161" s="172" t="s">
        <v>80</v>
      </c>
      <c r="D161" s="172" t="s">
        <v>218</v>
      </c>
      <c r="E161" s="172">
        <v>1.79651466010123E-2</v>
      </c>
      <c r="F161" s="172">
        <v>1.6169422267326101E-2</v>
      </c>
      <c r="G161" s="172">
        <v>1.1110568024013401</v>
      </c>
    </row>
    <row r="162" spans="2:7" hidden="1" x14ac:dyDescent="0.3">
      <c r="B162" s="172" t="s">
        <v>39</v>
      </c>
      <c r="C162" s="172" t="s">
        <v>80</v>
      </c>
      <c r="D162" s="172" t="s">
        <v>221</v>
      </c>
      <c r="E162" s="172">
        <v>3.5164048746068001E-3</v>
      </c>
      <c r="F162" s="172">
        <v>1.8944603151483E-3</v>
      </c>
      <c r="G162" s="172">
        <v>1.8561512460774501</v>
      </c>
    </row>
    <row r="163" spans="2:7" x14ac:dyDescent="0.3">
      <c r="B163" s="172" t="s">
        <v>26</v>
      </c>
      <c r="C163" s="172" t="s">
        <v>80</v>
      </c>
      <c r="D163" s="172" t="s">
        <v>218</v>
      </c>
      <c r="E163" s="172">
        <v>1.44096749452508E-2</v>
      </c>
      <c r="F163" s="172">
        <v>1.29936710018857E-2</v>
      </c>
      <c r="G163" s="172">
        <v>1.1089764350012801</v>
      </c>
    </row>
    <row r="164" spans="2:7" hidden="1" x14ac:dyDescent="0.3">
      <c r="B164" s="172" t="s">
        <v>26</v>
      </c>
      <c r="C164" s="172" t="s">
        <v>80</v>
      </c>
      <c r="D164" s="172" t="s">
        <v>221</v>
      </c>
      <c r="E164" s="172">
        <v>2.7816828267846899E-3</v>
      </c>
      <c r="F164" s="172">
        <v>1.50271152310011E-3</v>
      </c>
      <c r="G164" s="172">
        <v>1.8511090013111999</v>
      </c>
    </row>
    <row r="165" spans="2:7" x14ac:dyDescent="0.3">
      <c r="B165" s="172" t="s">
        <v>25</v>
      </c>
      <c r="C165" s="172" t="s">
        <v>80</v>
      </c>
      <c r="D165" s="172" t="s">
        <v>218</v>
      </c>
      <c r="E165" s="172">
        <v>1.07947501099329E-2</v>
      </c>
      <c r="F165" s="172">
        <v>9.7273986694961304E-3</v>
      </c>
      <c r="G165" s="172">
        <v>1.109726297513</v>
      </c>
    </row>
    <row r="166" spans="2:7" hidden="1" x14ac:dyDescent="0.3">
      <c r="B166" s="172" t="s">
        <v>25</v>
      </c>
      <c r="C166" s="172" t="s">
        <v>80</v>
      </c>
      <c r="D166" s="172" t="s">
        <v>221</v>
      </c>
      <c r="E166" s="172">
        <v>2.07018663019355E-3</v>
      </c>
      <c r="F166" s="172">
        <v>1.1061272646377899E-3</v>
      </c>
      <c r="G166" s="172">
        <v>1.87156279062648</v>
      </c>
    </row>
    <row r="167" spans="2:7" x14ac:dyDescent="0.3">
      <c r="B167" s="172" t="s">
        <v>24</v>
      </c>
      <c r="C167" s="172" t="s">
        <v>80</v>
      </c>
      <c r="D167" s="172" t="s">
        <v>218</v>
      </c>
      <c r="E167" s="172">
        <v>7.0335551833197599E-3</v>
      </c>
      <c r="F167" s="172">
        <v>6.31685425550098E-3</v>
      </c>
      <c r="G167" s="172">
        <v>1.1134585188813899</v>
      </c>
    </row>
    <row r="168" spans="2:7" hidden="1" x14ac:dyDescent="0.3">
      <c r="B168" s="172" t="s">
        <v>24</v>
      </c>
      <c r="C168" s="172" t="s">
        <v>80</v>
      </c>
      <c r="D168" s="172" t="s">
        <v>221</v>
      </c>
      <c r="E168" s="172">
        <v>1.35051500392154E-3</v>
      </c>
      <c r="F168" s="172">
        <v>7.0317223040780499E-4</v>
      </c>
      <c r="G168" s="172">
        <v>1.92060343898721</v>
      </c>
    </row>
    <row r="169" spans="2:7" x14ac:dyDescent="0.3">
      <c r="B169" s="172" t="s">
        <v>22</v>
      </c>
      <c r="C169" s="172" t="s">
        <v>80</v>
      </c>
      <c r="D169" s="172" t="s">
        <v>218</v>
      </c>
      <c r="E169" s="172">
        <v>3.24633382867834E-3</v>
      </c>
      <c r="F169" s="172">
        <v>2.8850750046745602E-3</v>
      </c>
      <c r="G169" s="172">
        <v>1.1252164409654699</v>
      </c>
    </row>
    <row r="170" spans="2:7" hidden="1" x14ac:dyDescent="0.3">
      <c r="B170" s="172" t="s">
        <v>22</v>
      </c>
      <c r="C170" s="172" t="s">
        <v>80</v>
      </c>
      <c r="D170" s="172" t="s">
        <v>221</v>
      </c>
      <c r="E170" s="172">
        <v>6.3923646187444402E-4</v>
      </c>
      <c r="F170" s="172">
        <v>3.1293816922586901E-4</v>
      </c>
      <c r="G170" s="172">
        <v>2.0426925339780602</v>
      </c>
    </row>
    <row r="171" spans="2:7" hidden="1" x14ac:dyDescent="0.3">
      <c r="B171" s="172" t="s">
        <v>189</v>
      </c>
      <c r="C171" s="172" t="s">
        <v>81</v>
      </c>
      <c r="D171" s="172" t="s">
        <v>218</v>
      </c>
      <c r="E171" s="172">
        <v>6.1520108800028599E-3</v>
      </c>
      <c r="F171" s="172">
        <v>5.66731301922903E-3</v>
      </c>
      <c r="G171" s="172">
        <v>1.08552516141764</v>
      </c>
    </row>
    <row r="172" spans="2:7" hidden="1" x14ac:dyDescent="0.3">
      <c r="B172" s="172" t="s">
        <v>189</v>
      </c>
      <c r="C172" s="172" t="s">
        <v>81</v>
      </c>
      <c r="D172" s="172" t="s">
        <v>221</v>
      </c>
      <c r="E172" s="172">
        <v>3.6078781423462401E-2</v>
      </c>
      <c r="F172" s="172">
        <v>3.5472909097495099E-2</v>
      </c>
      <c r="G172" s="172">
        <v>1.0170798601350099</v>
      </c>
    </row>
    <row r="173" spans="2:7" hidden="1" x14ac:dyDescent="0.3">
      <c r="B173" s="172" t="s">
        <v>187</v>
      </c>
      <c r="C173" s="172" t="s">
        <v>81</v>
      </c>
      <c r="D173" s="172" t="s">
        <v>221</v>
      </c>
      <c r="E173" s="172">
        <v>3.4705412039057103E-2</v>
      </c>
      <c r="F173" s="172">
        <v>3.1776782053949501E-2</v>
      </c>
      <c r="G173" s="172">
        <v>1.0921625726650199</v>
      </c>
    </row>
    <row r="174" spans="2:7" hidden="1" x14ac:dyDescent="0.3">
      <c r="B174" s="172" t="s">
        <v>185</v>
      </c>
      <c r="C174" s="172" t="s">
        <v>81</v>
      </c>
      <c r="D174" s="172" t="s">
        <v>221</v>
      </c>
      <c r="E174" s="172">
        <v>3.3239284073960498E-2</v>
      </c>
      <c r="F174" s="172">
        <v>3.0553045623833801E-2</v>
      </c>
      <c r="G174" s="172">
        <v>1.08792048043915</v>
      </c>
    </row>
    <row r="175" spans="2:7" hidden="1" x14ac:dyDescent="0.3">
      <c r="B175" s="172" t="s">
        <v>183</v>
      </c>
      <c r="C175" s="172" t="s">
        <v>81</v>
      </c>
      <c r="D175" s="172" t="s">
        <v>221</v>
      </c>
      <c r="E175" s="172">
        <v>3.1016216583954901E-2</v>
      </c>
      <c r="F175" s="172">
        <v>2.86129214032853E-2</v>
      </c>
      <c r="G175" s="172">
        <v>1.08399335205225</v>
      </c>
    </row>
    <row r="176" spans="2:7" hidden="1" x14ac:dyDescent="0.3">
      <c r="B176" s="172" t="s">
        <v>181</v>
      </c>
      <c r="C176" s="172" t="s">
        <v>81</v>
      </c>
      <c r="D176" s="172" t="s">
        <v>221</v>
      </c>
      <c r="E176" s="172">
        <v>2.80985488132382E-2</v>
      </c>
      <c r="F176" s="172">
        <v>2.6002051165738699E-2</v>
      </c>
      <c r="G176" s="172">
        <v>1.0806281640681501</v>
      </c>
    </row>
    <row r="177" spans="2:7" hidden="1" x14ac:dyDescent="0.3">
      <c r="B177" s="172" t="s">
        <v>179</v>
      </c>
      <c r="C177" s="172" t="s">
        <v>81</v>
      </c>
      <c r="D177" s="172" t="s">
        <v>221</v>
      </c>
      <c r="E177" s="172">
        <v>2.46024271376654E-2</v>
      </c>
      <c r="F177" s="172">
        <v>2.2828089443006499E-2</v>
      </c>
      <c r="G177" s="172">
        <v>1.07772607072917</v>
      </c>
    </row>
    <row r="178" spans="2:7" hidden="1" x14ac:dyDescent="0.3">
      <c r="B178" s="172" t="s">
        <v>39</v>
      </c>
      <c r="C178" s="172" t="s">
        <v>81</v>
      </c>
      <c r="D178" s="172" t="s">
        <v>221</v>
      </c>
      <c r="E178" s="172">
        <v>2.06629428656365E-2</v>
      </c>
      <c r="F178" s="172">
        <v>1.9218103279691999E-2</v>
      </c>
      <c r="G178" s="172">
        <v>1.07518117500551</v>
      </c>
    </row>
    <row r="179" spans="2:7" hidden="1" x14ac:dyDescent="0.3">
      <c r="B179" s="172" t="s">
        <v>26</v>
      </c>
      <c r="C179" s="172" t="s">
        <v>81</v>
      </c>
      <c r="D179" s="172" t="s">
        <v>221</v>
      </c>
      <c r="E179" s="172">
        <v>1.6529707625938601E-2</v>
      </c>
      <c r="F179" s="172">
        <v>1.54012889982521E-2</v>
      </c>
      <c r="G179" s="172">
        <v>1.07326780426071</v>
      </c>
    </row>
    <row r="180" spans="2:7" hidden="1" x14ac:dyDescent="0.3">
      <c r="B180" s="172" t="s">
        <v>25</v>
      </c>
      <c r="C180" s="172" t="s">
        <v>81</v>
      </c>
      <c r="D180" s="172" t="s">
        <v>221</v>
      </c>
      <c r="E180" s="172">
        <v>1.2292990663042701E-2</v>
      </c>
      <c r="F180" s="172">
        <v>1.1460532874339501E-2</v>
      </c>
      <c r="G180" s="172">
        <v>1.0726369181809301</v>
      </c>
    </row>
    <row r="181" spans="2:7" hidden="1" x14ac:dyDescent="0.3">
      <c r="B181" s="172" t="s">
        <v>24</v>
      </c>
      <c r="C181" s="172" t="s">
        <v>81</v>
      </c>
      <c r="D181" s="172" t="s">
        <v>221</v>
      </c>
      <c r="E181" s="172">
        <v>7.9044863744936293E-3</v>
      </c>
      <c r="F181" s="172">
        <v>7.3532748432138502E-3</v>
      </c>
      <c r="G181" s="172">
        <v>1.0749613666064</v>
      </c>
    </row>
    <row r="182" spans="2:7" hidden="1" x14ac:dyDescent="0.3">
      <c r="B182" s="172" t="s">
        <v>22</v>
      </c>
      <c r="C182" s="172" t="s">
        <v>81</v>
      </c>
      <c r="D182" s="172" t="s">
        <v>221</v>
      </c>
      <c r="E182" s="172">
        <v>3.5459378608382599E-3</v>
      </c>
      <c r="F182" s="172">
        <v>3.2646161727204201E-3</v>
      </c>
      <c r="G182" s="172">
        <v>1.0861729750861999</v>
      </c>
    </row>
    <row r="183" spans="2:7" hidden="1" x14ac:dyDescent="0.3">
      <c r="B183" s="172" t="s">
        <v>189</v>
      </c>
      <c r="C183" s="172" t="s">
        <v>82</v>
      </c>
      <c r="D183" s="172" t="s">
        <v>221</v>
      </c>
      <c r="E183" s="172">
        <v>3.0809852828867799E-2</v>
      </c>
      <c r="F183" s="172">
        <v>3.0454384057850701E-2</v>
      </c>
      <c r="G183" s="172">
        <v>1.0116721707568199</v>
      </c>
    </row>
    <row r="184" spans="2:7" hidden="1" x14ac:dyDescent="0.3">
      <c r="B184" s="172" t="s">
        <v>187</v>
      </c>
      <c r="C184" s="172" t="s">
        <v>82</v>
      </c>
      <c r="D184" s="172" t="s">
        <v>221</v>
      </c>
      <c r="E184" s="172">
        <v>3.3477224884085499E-2</v>
      </c>
      <c r="F184" s="172">
        <v>3.1199038547507899E-2</v>
      </c>
      <c r="G184" s="172">
        <v>1.07302104303979</v>
      </c>
    </row>
    <row r="185" spans="2:7" hidden="1" x14ac:dyDescent="0.3">
      <c r="B185" s="172" t="s">
        <v>185</v>
      </c>
      <c r="C185" s="172" t="s">
        <v>82</v>
      </c>
      <c r="D185" s="172" t="s">
        <v>221</v>
      </c>
      <c r="E185" s="172">
        <v>3.23290623008744E-2</v>
      </c>
      <c r="F185" s="172">
        <v>3.0014093985858799E-2</v>
      </c>
      <c r="G185" s="172">
        <v>1.0771293751564299</v>
      </c>
    </row>
    <row r="186" spans="2:7" hidden="1" x14ac:dyDescent="0.3">
      <c r="B186" s="172" t="s">
        <v>183</v>
      </c>
      <c r="C186" s="172" t="s">
        <v>82</v>
      </c>
      <c r="D186" s="172" t="s">
        <v>221</v>
      </c>
      <c r="E186" s="172">
        <v>3.03893396440723E-2</v>
      </c>
      <c r="F186" s="172">
        <v>2.81229746252879E-2</v>
      </c>
      <c r="G186" s="172">
        <v>1.08058767072052</v>
      </c>
    </row>
    <row r="187" spans="2:7" hidden="1" x14ac:dyDescent="0.3">
      <c r="B187" s="172" t="s">
        <v>181</v>
      </c>
      <c r="C187" s="172" t="s">
        <v>82</v>
      </c>
      <c r="D187" s="172" t="s">
        <v>221</v>
      </c>
      <c r="E187" s="172">
        <v>2.7694695594007598E-2</v>
      </c>
      <c r="F187" s="172">
        <v>2.5568154055552E-2</v>
      </c>
      <c r="G187" s="172">
        <v>1.08317149270281</v>
      </c>
    </row>
    <row r="188" spans="2:7" hidden="1" x14ac:dyDescent="0.3">
      <c r="B188" s="172" t="s">
        <v>179</v>
      </c>
      <c r="C188" s="172" t="s">
        <v>82</v>
      </c>
      <c r="D188" s="172" t="s">
        <v>221</v>
      </c>
      <c r="E188" s="172">
        <v>2.43624441926719E-2</v>
      </c>
      <c r="F188" s="172">
        <v>2.24554515473133E-2</v>
      </c>
      <c r="G188" s="172">
        <v>1.0849233711172801</v>
      </c>
    </row>
    <row r="189" spans="2:7" hidden="1" x14ac:dyDescent="0.3">
      <c r="B189" s="172" t="s">
        <v>39</v>
      </c>
      <c r="C189" s="172" t="s">
        <v>82</v>
      </c>
      <c r="D189" s="172" t="s">
        <v>221</v>
      </c>
      <c r="E189" s="172">
        <v>2.0535460920660099E-2</v>
      </c>
      <c r="F189" s="172">
        <v>1.89106658185174E-2</v>
      </c>
      <c r="G189" s="172">
        <v>1.08591950795046</v>
      </c>
    </row>
    <row r="190" spans="2:7" hidden="1" x14ac:dyDescent="0.3">
      <c r="B190" s="172" t="s">
        <v>26</v>
      </c>
      <c r="C190" s="172" t="s">
        <v>82</v>
      </c>
      <c r="D190" s="172" t="s">
        <v>221</v>
      </c>
      <c r="E190" s="172">
        <v>1.6484836596264301E-2</v>
      </c>
      <c r="F190" s="172">
        <v>1.51586376938572E-2</v>
      </c>
      <c r="G190" s="172">
        <v>1.0874880005176599</v>
      </c>
    </row>
    <row r="191" spans="2:7" hidden="1" x14ac:dyDescent="0.3">
      <c r="B191" s="172" t="s">
        <v>25</v>
      </c>
      <c r="C191" s="172" t="s">
        <v>82</v>
      </c>
      <c r="D191" s="172" t="s">
        <v>221</v>
      </c>
      <c r="E191" s="172">
        <v>1.2298473915473399E-2</v>
      </c>
      <c r="F191" s="172">
        <v>1.1280432647044199E-2</v>
      </c>
      <c r="G191" s="172">
        <v>1.09024842399958</v>
      </c>
    </row>
    <row r="192" spans="2:7" hidden="1" x14ac:dyDescent="0.3">
      <c r="B192" s="172" t="s">
        <v>24</v>
      </c>
      <c r="C192" s="172" t="s">
        <v>82</v>
      </c>
      <c r="D192" s="172" t="s">
        <v>221</v>
      </c>
      <c r="E192" s="172">
        <v>7.9037795746437298E-3</v>
      </c>
      <c r="F192" s="172">
        <v>7.2343553932844298E-3</v>
      </c>
      <c r="G192" s="172">
        <v>1.0925340469146301</v>
      </c>
    </row>
    <row r="193" spans="2:7" hidden="1" x14ac:dyDescent="0.3">
      <c r="B193" s="172" t="s">
        <v>22</v>
      </c>
      <c r="C193" s="172" t="s">
        <v>82</v>
      </c>
      <c r="D193" s="172" t="s">
        <v>221</v>
      </c>
      <c r="E193" s="172">
        <v>3.5016571204801801E-3</v>
      </c>
      <c r="F193" s="172">
        <v>3.2049605665150699E-3</v>
      </c>
      <c r="G193" s="172">
        <v>1.09257416676665</v>
      </c>
    </row>
    <row r="194" spans="2:7" hidden="1" x14ac:dyDescent="0.3">
      <c r="B194" s="172" t="s">
        <v>189</v>
      </c>
      <c r="C194" s="172" t="s">
        <v>246</v>
      </c>
      <c r="D194" s="172" t="s">
        <v>218</v>
      </c>
      <c r="E194" s="172">
        <v>1.4424974498218901E-3</v>
      </c>
      <c r="F194" s="172">
        <v>1.3698405461322199E-3</v>
      </c>
      <c r="G194" s="172">
        <v>1.0530404096263699</v>
      </c>
    </row>
    <row r="195" spans="2:7" hidden="1" x14ac:dyDescent="0.3">
      <c r="B195" s="172" t="s">
        <v>189</v>
      </c>
      <c r="C195" s="172" t="s">
        <v>246</v>
      </c>
      <c r="D195" s="172" t="s">
        <v>221</v>
      </c>
      <c r="E195" s="172">
        <v>5.2082616818922096E-4</v>
      </c>
      <c r="F195" s="172">
        <v>4.3000503857714101E-4</v>
      </c>
      <c r="G195" s="172">
        <v>1.2112094544580201</v>
      </c>
    </row>
    <row r="196" spans="2:7" hidden="1" x14ac:dyDescent="0.3">
      <c r="B196" s="172" t="s">
        <v>187</v>
      </c>
      <c r="C196" s="172" t="s">
        <v>246</v>
      </c>
      <c r="D196" s="172" t="s">
        <v>218</v>
      </c>
      <c r="E196" s="172">
        <v>9.6414625356250295E-4</v>
      </c>
      <c r="F196" s="172">
        <v>4.8962792866513196E-4</v>
      </c>
      <c r="G196" s="172">
        <v>1.9691406415296699</v>
      </c>
    </row>
    <row r="197" spans="2:7" hidden="1" x14ac:dyDescent="0.3">
      <c r="B197" s="172" t="s">
        <v>187</v>
      </c>
      <c r="C197" s="172" t="s">
        <v>246</v>
      </c>
      <c r="D197" s="172" t="s">
        <v>221</v>
      </c>
      <c r="E197" s="172">
        <v>5.3997847574339703E-4</v>
      </c>
      <c r="F197" s="172">
        <v>1.113812790619E-4</v>
      </c>
      <c r="G197" s="172">
        <v>4.8480182692398799</v>
      </c>
    </row>
    <row r="198" spans="2:7" hidden="1" x14ac:dyDescent="0.3">
      <c r="B198" s="172" t="s">
        <v>185</v>
      </c>
      <c r="C198" s="172" t="s">
        <v>246</v>
      </c>
      <c r="D198" s="172" t="s">
        <v>218</v>
      </c>
      <c r="E198" s="172">
        <v>8.2012357328116101E-4</v>
      </c>
      <c r="F198" s="172">
        <v>4.1771986285604902E-4</v>
      </c>
      <c r="G198" s="172">
        <v>1.9633339139627799</v>
      </c>
    </row>
    <row r="199" spans="2:7" hidden="1" x14ac:dyDescent="0.3">
      <c r="B199" s="172" t="s">
        <v>185</v>
      </c>
      <c r="C199" s="172" t="s">
        <v>246</v>
      </c>
      <c r="D199" s="172" t="s">
        <v>221</v>
      </c>
      <c r="E199" s="172">
        <v>4.5577188607249603E-4</v>
      </c>
      <c r="F199" s="172">
        <v>9.2310470204652994E-5</v>
      </c>
      <c r="G199" s="172">
        <v>4.93738018084023</v>
      </c>
    </row>
    <row r="200" spans="2:7" hidden="1" x14ac:dyDescent="0.3">
      <c r="B200" s="172" t="s">
        <v>183</v>
      </c>
      <c r="C200" s="172" t="s">
        <v>246</v>
      </c>
      <c r="D200" s="172" t="s">
        <v>218</v>
      </c>
      <c r="E200" s="172">
        <v>6.7571008235074205E-4</v>
      </c>
      <c r="F200" s="172">
        <v>3.43191743109959E-4</v>
      </c>
      <c r="G200" s="172">
        <v>1.9688995901461599</v>
      </c>
    </row>
    <row r="201" spans="2:7" hidden="1" x14ac:dyDescent="0.3">
      <c r="B201" s="172" t="s">
        <v>183</v>
      </c>
      <c r="C201" s="172" t="s">
        <v>246</v>
      </c>
      <c r="D201" s="172" t="s">
        <v>221</v>
      </c>
      <c r="E201" s="172">
        <v>3.79518200659247E-4</v>
      </c>
      <c r="F201" s="172">
        <v>7.91790555385398E-5</v>
      </c>
      <c r="G201" s="172">
        <v>4.7931640264958704</v>
      </c>
    </row>
    <row r="202" spans="2:7" hidden="1" x14ac:dyDescent="0.3">
      <c r="B202" s="172" t="s">
        <v>181</v>
      </c>
      <c r="C202" s="172" t="s">
        <v>246</v>
      </c>
      <c r="D202" s="172" t="s">
        <v>218</v>
      </c>
      <c r="E202" s="172">
        <v>5.3631696043807803E-4</v>
      </c>
      <c r="F202" s="172">
        <v>2.70915035026846E-4</v>
      </c>
      <c r="G202" s="172">
        <v>1.9796500418846501</v>
      </c>
    </row>
    <row r="203" spans="2:7" hidden="1" x14ac:dyDescent="0.3">
      <c r="B203" s="172" t="s">
        <v>181</v>
      </c>
      <c r="C203" s="172" t="s">
        <v>246</v>
      </c>
      <c r="D203" s="172" t="s">
        <v>221</v>
      </c>
      <c r="E203" s="172">
        <v>3.0735254947589799E-4</v>
      </c>
      <c r="F203" s="172">
        <v>6.7634681362527499E-5</v>
      </c>
      <c r="G203" s="172">
        <v>4.5443039470898396</v>
      </c>
    </row>
    <row r="204" spans="2:7" hidden="1" x14ac:dyDescent="0.3">
      <c r="B204" s="172" t="s">
        <v>179</v>
      </c>
      <c r="C204" s="172" t="s">
        <v>246</v>
      </c>
      <c r="D204" s="172" t="s">
        <v>218</v>
      </c>
      <c r="E204" s="172">
        <v>4.0588468278271802E-4</v>
      </c>
      <c r="F204" s="172">
        <v>2.0305502410926699E-4</v>
      </c>
      <c r="G204" s="172">
        <v>1.9988901262758501</v>
      </c>
    </row>
    <row r="205" spans="2:7" hidden="1" x14ac:dyDescent="0.3">
      <c r="B205" s="172" t="s">
        <v>179</v>
      </c>
      <c r="C205" s="172" t="s">
        <v>246</v>
      </c>
      <c r="D205" s="172" t="s">
        <v>221</v>
      </c>
      <c r="E205" s="172">
        <v>2.4039793940180699E-4</v>
      </c>
      <c r="F205" s="172">
        <v>5.7196957374173298E-5</v>
      </c>
      <c r="G205" s="172">
        <v>4.2029847467088501</v>
      </c>
    </row>
    <row r="206" spans="2:7" hidden="1" x14ac:dyDescent="0.3">
      <c r="B206" s="172" t="s">
        <v>39</v>
      </c>
      <c r="C206" s="172" t="s">
        <v>246</v>
      </c>
      <c r="D206" s="172" t="s">
        <v>218</v>
      </c>
      <c r="E206" s="172">
        <v>2.8786519839905299E-4</v>
      </c>
      <c r="F206" s="172">
        <v>1.4159872490882101E-4</v>
      </c>
      <c r="G206" s="172">
        <v>2.0329646229824299</v>
      </c>
    </row>
    <row r="207" spans="2:7" hidden="1" x14ac:dyDescent="0.3">
      <c r="B207" s="172" t="s">
        <v>39</v>
      </c>
      <c r="C207" s="172" t="s">
        <v>246</v>
      </c>
      <c r="D207" s="172" t="s">
        <v>221</v>
      </c>
      <c r="E207" s="172">
        <v>1.7946952372998101E-4</v>
      </c>
      <c r="F207" s="172">
        <v>4.7357870254932001E-5</v>
      </c>
      <c r="G207" s="172">
        <v>3.7896451585317998</v>
      </c>
    </row>
    <row r="208" spans="2:7" hidden="1" x14ac:dyDescent="0.3">
      <c r="B208" s="172" t="s">
        <v>26</v>
      </c>
      <c r="C208" s="172" t="s">
        <v>246</v>
      </c>
      <c r="D208" s="172" t="s">
        <v>218</v>
      </c>
      <c r="E208" s="172">
        <v>1.8735951747486499E-4</v>
      </c>
      <c r="F208" s="172">
        <v>8.9813330687461506E-5</v>
      </c>
      <c r="G208" s="172">
        <v>2.0860992019865199</v>
      </c>
    </row>
    <row r="209" spans="2:7" hidden="1" x14ac:dyDescent="0.3">
      <c r="B209" s="172" t="s">
        <v>26</v>
      </c>
      <c r="C209" s="172" t="s">
        <v>246</v>
      </c>
      <c r="D209" s="172" t="s">
        <v>221</v>
      </c>
      <c r="E209" s="172">
        <v>1.2471919501785001E-4</v>
      </c>
      <c r="F209" s="172">
        <v>3.6612961790517699E-5</v>
      </c>
      <c r="G209" s="172">
        <v>3.4064219041178698</v>
      </c>
    </row>
    <row r="210" spans="2:7" hidden="1" x14ac:dyDescent="0.3">
      <c r="B210" s="172" t="s">
        <v>25</v>
      </c>
      <c r="C210" s="172" t="s">
        <v>246</v>
      </c>
      <c r="D210" s="172" t="s">
        <v>218</v>
      </c>
      <c r="E210" s="172">
        <v>1.07242480037407E-4</v>
      </c>
      <c r="F210" s="172">
        <v>4.93892916008662E-5</v>
      </c>
      <c r="G210" s="172">
        <v>2.1713710920187701</v>
      </c>
    </row>
    <row r="211" spans="2:7" hidden="1" x14ac:dyDescent="0.3">
      <c r="B211" s="172" t="s">
        <v>25</v>
      </c>
      <c r="C211" s="172" t="s">
        <v>246</v>
      </c>
      <c r="D211" s="172" t="s">
        <v>221</v>
      </c>
      <c r="E211" s="172">
        <v>7.7409038413078996E-5</v>
      </c>
      <c r="F211" s="172">
        <v>2.5154545631687801E-5</v>
      </c>
      <c r="G211" s="172">
        <v>3.07733797089799</v>
      </c>
    </row>
    <row r="212" spans="2:7" hidden="1" x14ac:dyDescent="0.3">
      <c r="B212" s="172" t="s">
        <v>24</v>
      </c>
      <c r="C212" s="172" t="s">
        <v>246</v>
      </c>
      <c r="D212" s="172" t="s">
        <v>218</v>
      </c>
      <c r="E212" s="172">
        <v>4.8631334446086401E-5</v>
      </c>
      <c r="F212" s="172">
        <v>2.0586000057911299E-5</v>
      </c>
      <c r="G212" s="172">
        <v>2.3623498644360001</v>
      </c>
    </row>
    <row r="213" spans="2:7" hidden="1" x14ac:dyDescent="0.3">
      <c r="B213" s="172" t="s">
        <v>24</v>
      </c>
      <c r="C213" s="172" t="s">
        <v>246</v>
      </c>
      <c r="D213" s="172" t="s">
        <v>221</v>
      </c>
      <c r="E213" s="172">
        <v>4.01707449477668E-5</v>
      </c>
      <c r="F213" s="172">
        <v>1.4839475177802299E-5</v>
      </c>
      <c r="G213" s="172">
        <v>2.7070192487572999</v>
      </c>
    </row>
    <row r="214" spans="2:7" hidden="1" x14ac:dyDescent="0.3">
      <c r="B214" s="172" t="s">
        <v>22</v>
      </c>
      <c r="C214" s="172" t="s">
        <v>246</v>
      </c>
      <c r="D214" s="172" t="s">
        <v>218</v>
      </c>
      <c r="E214" s="172">
        <v>1.3360630153965E-5</v>
      </c>
      <c r="F214" s="172">
        <v>4.9696880147625304E-6</v>
      </c>
      <c r="G214" s="172">
        <v>2.68842432649233</v>
      </c>
    </row>
    <row r="215" spans="2:7" hidden="1" x14ac:dyDescent="0.3">
      <c r="B215" s="172" t="s">
        <v>22</v>
      </c>
      <c r="C215" s="172" t="s">
        <v>246</v>
      </c>
      <c r="D215" s="172" t="s">
        <v>221</v>
      </c>
      <c r="E215" s="172">
        <v>1.29179760263049E-5</v>
      </c>
      <c r="F215" s="172">
        <v>5.3390605457349601E-6</v>
      </c>
      <c r="G215" s="172">
        <v>2.4195222952892399</v>
      </c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2.55208310966226E-2</v>
      </c>
      <c r="F270" s="172">
        <v>2.50957581929423E-2</v>
      </c>
      <c r="G270" s="172">
        <v>1.0169380379111199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3.0275763392258601E-2</v>
      </c>
      <c r="F271" s="172">
        <v>2.7058280066117001E-2</v>
      </c>
      <c r="G271" s="172">
        <v>1.11890938072485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2.9192628641609399E-2</v>
      </c>
      <c r="F272" s="172">
        <v>2.60308186286742E-2</v>
      </c>
      <c r="G272" s="172">
        <v>1.1214641021489899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2.7413508190332399E-2</v>
      </c>
      <c r="F273" s="172">
        <v>2.43964010546628E-2</v>
      </c>
      <c r="G273" s="172">
        <v>1.1236701728631799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2.4973798016861299E-2</v>
      </c>
      <c r="F274" s="172">
        <v>2.2191069025776701E-2</v>
      </c>
      <c r="G274" s="172">
        <v>1.1253986001238701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2.1975406629836498E-2</v>
      </c>
      <c r="F275" s="172">
        <v>1.95043773225211E-2</v>
      </c>
      <c r="G275" s="172">
        <v>1.12669101230226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1.8540931941677101E-2</v>
      </c>
      <c r="F276" s="172">
        <v>1.6442487852620698E-2</v>
      </c>
      <c r="G276" s="172">
        <v>1.1276232713604799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1.4912553458806399E-2</v>
      </c>
      <c r="F277" s="172">
        <v>1.3214386140992599E-2</v>
      </c>
      <c r="G277" s="172">
        <v>1.1285089825357699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1.11726764007531E-2</v>
      </c>
      <c r="F278" s="172">
        <v>9.8927894050258001E-3</v>
      </c>
      <c r="G278" s="172">
        <v>1.1293757446284101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7.2543713227092299E-3</v>
      </c>
      <c r="F279" s="172">
        <v>6.4232242879554398E-3</v>
      </c>
      <c r="G279" s="172">
        <v>1.12939716838354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3.3030702556098102E-3</v>
      </c>
      <c r="F280" s="172">
        <v>2.9314928320347002E-3</v>
      </c>
      <c r="G280" s="172">
        <v>1.1267536524444399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3.0989399728215301E-2</v>
      </c>
      <c r="F281" s="172">
        <v>3.0543442421815999E-2</v>
      </c>
      <c r="G281" s="172">
        <v>1.0146007545659199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6.6360876950472001E-3</v>
      </c>
      <c r="F282" s="172">
        <v>6.0786410620480803E-3</v>
      </c>
      <c r="G282" s="172">
        <v>1.0917057986002101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2.99898768549457E-2</v>
      </c>
      <c r="F283" s="172">
        <v>2.6630213341346999E-2</v>
      </c>
      <c r="G283" s="172">
        <v>1.1261598422263599</v>
      </c>
    </row>
    <row r="284" spans="2:7" hidden="1" x14ac:dyDescent="0.3">
      <c r="B284" s="172" t="s">
        <v>187</v>
      </c>
      <c r="C284" s="172" t="s">
        <v>80</v>
      </c>
      <c r="D284" s="172" t="s">
        <v>221</v>
      </c>
      <c r="E284" s="172">
        <v>6.3239437956303301E-3</v>
      </c>
      <c r="F284" s="172">
        <v>3.2894090091540899E-3</v>
      </c>
      <c r="G284" s="172">
        <v>1.9225167128902001</v>
      </c>
    </row>
    <row r="285" spans="2:7" hidden="1" x14ac:dyDescent="0.3">
      <c r="B285" s="172" t="s">
        <v>185</v>
      </c>
      <c r="C285" s="172" t="s">
        <v>80</v>
      </c>
      <c r="D285" s="172" t="s">
        <v>218</v>
      </c>
      <c r="E285" s="172">
        <v>2.8775109559845701E-2</v>
      </c>
      <c r="F285" s="172">
        <v>2.56141971553333E-2</v>
      </c>
      <c r="G285" s="172">
        <v>1.1234047034675201</v>
      </c>
    </row>
    <row r="286" spans="2:7" hidden="1" x14ac:dyDescent="0.3">
      <c r="B286" s="172" t="s">
        <v>185</v>
      </c>
      <c r="C286" s="172" t="s">
        <v>80</v>
      </c>
      <c r="D286" s="172" t="s">
        <v>221</v>
      </c>
      <c r="E286" s="172">
        <v>5.9820174400761596E-3</v>
      </c>
      <c r="F286" s="172">
        <v>3.1269997843875398E-3</v>
      </c>
      <c r="G286" s="172">
        <v>1.9130213791325299</v>
      </c>
    </row>
    <row r="287" spans="2:7" hidden="1" x14ac:dyDescent="0.3">
      <c r="B287" s="172" t="s">
        <v>183</v>
      </c>
      <c r="C287" s="172" t="s">
        <v>80</v>
      </c>
      <c r="D287" s="172" t="s">
        <v>218</v>
      </c>
      <c r="E287" s="172">
        <v>2.68944040647628E-2</v>
      </c>
      <c r="F287" s="172">
        <v>2.4001502029464401E-2</v>
      </c>
      <c r="G287" s="172">
        <v>1.12053004148436</v>
      </c>
    </row>
    <row r="288" spans="2:7" hidden="1" x14ac:dyDescent="0.3">
      <c r="B288" s="172" t="s">
        <v>183</v>
      </c>
      <c r="C288" s="172" t="s">
        <v>80</v>
      </c>
      <c r="D288" s="172" t="s">
        <v>221</v>
      </c>
      <c r="E288" s="172">
        <v>5.5114345607017697E-3</v>
      </c>
      <c r="F288" s="172">
        <v>2.8984907868838598E-3</v>
      </c>
      <c r="G288" s="172">
        <v>1.9014842433317001</v>
      </c>
    </row>
    <row r="289" spans="2:7" hidden="1" x14ac:dyDescent="0.3">
      <c r="B289" s="172" t="s">
        <v>181</v>
      </c>
      <c r="C289" s="172" t="s">
        <v>80</v>
      </c>
      <c r="D289" s="172" t="s">
        <v>218</v>
      </c>
      <c r="E289" s="172">
        <v>2.4396097212262401E-2</v>
      </c>
      <c r="F289" s="172">
        <v>2.18283859613316E-2</v>
      </c>
      <c r="G289" s="172">
        <v>1.1176317504866999</v>
      </c>
    </row>
    <row r="290" spans="2:7" hidden="1" x14ac:dyDescent="0.3">
      <c r="B290" s="172" t="s">
        <v>181</v>
      </c>
      <c r="C290" s="172" t="s">
        <v>80</v>
      </c>
      <c r="D290" s="172" t="s">
        <v>221</v>
      </c>
      <c r="E290" s="172">
        <v>4.9291477188499796E-3</v>
      </c>
      <c r="F290" s="172">
        <v>2.6099246534930999E-3</v>
      </c>
      <c r="G290" s="172">
        <v>1.8886168657217199</v>
      </c>
    </row>
    <row r="291" spans="2:7" hidden="1" x14ac:dyDescent="0.3">
      <c r="B291" s="172" t="s">
        <v>179</v>
      </c>
      <c r="C291" s="172" t="s">
        <v>80</v>
      </c>
      <c r="D291" s="172" t="s">
        <v>218</v>
      </c>
      <c r="E291" s="172">
        <v>2.1379948055385001E-2</v>
      </c>
      <c r="F291" s="172">
        <v>1.9182977317045199E-2</v>
      </c>
      <c r="G291" s="172">
        <v>1.11452709879335</v>
      </c>
    </row>
    <row r="292" spans="2:7" hidden="1" x14ac:dyDescent="0.3">
      <c r="B292" s="172" t="s">
        <v>179</v>
      </c>
      <c r="C292" s="172" t="s">
        <v>80</v>
      </c>
      <c r="D292" s="172" t="s">
        <v>221</v>
      </c>
      <c r="E292" s="172">
        <v>4.25567455330602E-3</v>
      </c>
      <c r="F292" s="172">
        <v>2.2713138864184899E-3</v>
      </c>
      <c r="G292" s="172">
        <v>1.8736620150799801</v>
      </c>
    </row>
    <row r="293" spans="2:7" hidden="1" x14ac:dyDescent="0.3">
      <c r="B293" s="172" t="s">
        <v>39</v>
      </c>
      <c r="C293" s="172" t="s">
        <v>80</v>
      </c>
      <c r="D293" s="172" t="s">
        <v>218</v>
      </c>
      <c r="E293" s="172">
        <v>1.79651466010123E-2</v>
      </c>
      <c r="F293" s="172">
        <v>1.6169422267326101E-2</v>
      </c>
      <c r="G293" s="172">
        <v>1.1110568024013401</v>
      </c>
    </row>
    <row r="294" spans="2:7" hidden="1" x14ac:dyDescent="0.3">
      <c r="B294" s="172" t="s">
        <v>39</v>
      </c>
      <c r="C294" s="172" t="s">
        <v>80</v>
      </c>
      <c r="D294" s="172" t="s">
        <v>221</v>
      </c>
      <c r="E294" s="172">
        <v>3.5164048746068001E-3</v>
      </c>
      <c r="F294" s="172">
        <v>1.8944603151483E-3</v>
      </c>
      <c r="G294" s="172">
        <v>1.8561512460774501</v>
      </c>
    </row>
    <row r="295" spans="2:7" hidden="1" x14ac:dyDescent="0.3">
      <c r="B295" s="172" t="s">
        <v>26</v>
      </c>
      <c r="C295" s="172" t="s">
        <v>80</v>
      </c>
      <c r="D295" s="172" t="s">
        <v>218</v>
      </c>
      <c r="E295" s="172">
        <v>1.44096749452508E-2</v>
      </c>
      <c r="F295" s="172">
        <v>1.29936710018857E-2</v>
      </c>
      <c r="G295" s="172">
        <v>1.1089764350012801</v>
      </c>
    </row>
    <row r="296" spans="2:7" hidden="1" x14ac:dyDescent="0.3">
      <c r="B296" s="172" t="s">
        <v>26</v>
      </c>
      <c r="C296" s="172" t="s">
        <v>80</v>
      </c>
      <c r="D296" s="172" t="s">
        <v>221</v>
      </c>
      <c r="E296" s="172">
        <v>2.7816828267846899E-3</v>
      </c>
      <c r="F296" s="172">
        <v>1.50271152310011E-3</v>
      </c>
      <c r="G296" s="172">
        <v>1.8511090013111999</v>
      </c>
    </row>
    <row r="297" spans="2:7" hidden="1" x14ac:dyDescent="0.3">
      <c r="B297" s="172" t="s">
        <v>25</v>
      </c>
      <c r="C297" s="172" t="s">
        <v>80</v>
      </c>
      <c r="D297" s="172" t="s">
        <v>218</v>
      </c>
      <c r="E297" s="172">
        <v>1.07947501099329E-2</v>
      </c>
      <c r="F297" s="172">
        <v>9.7273986694961304E-3</v>
      </c>
      <c r="G297" s="172">
        <v>1.109726297513</v>
      </c>
    </row>
    <row r="298" spans="2:7" hidden="1" x14ac:dyDescent="0.3">
      <c r="B298" s="172" t="s">
        <v>25</v>
      </c>
      <c r="C298" s="172" t="s">
        <v>80</v>
      </c>
      <c r="D298" s="172" t="s">
        <v>221</v>
      </c>
      <c r="E298" s="172">
        <v>2.07018663019355E-3</v>
      </c>
      <c r="F298" s="172">
        <v>1.1061272646377899E-3</v>
      </c>
      <c r="G298" s="172">
        <v>1.87156279062648</v>
      </c>
    </row>
    <row r="299" spans="2:7" hidden="1" x14ac:dyDescent="0.3">
      <c r="B299" s="172" t="s">
        <v>24</v>
      </c>
      <c r="C299" s="172" t="s">
        <v>80</v>
      </c>
      <c r="D299" s="172" t="s">
        <v>218</v>
      </c>
      <c r="E299" s="172">
        <v>7.0335551833197599E-3</v>
      </c>
      <c r="F299" s="172">
        <v>6.31685425550098E-3</v>
      </c>
      <c r="G299" s="172">
        <v>1.1134585188813899</v>
      </c>
    </row>
    <row r="300" spans="2:7" hidden="1" x14ac:dyDescent="0.3">
      <c r="B300" s="172" t="s">
        <v>24</v>
      </c>
      <c r="C300" s="172" t="s">
        <v>80</v>
      </c>
      <c r="D300" s="172" t="s">
        <v>221</v>
      </c>
      <c r="E300" s="172">
        <v>1.35051500392154E-3</v>
      </c>
      <c r="F300" s="172">
        <v>7.0317223040780499E-4</v>
      </c>
      <c r="G300" s="172">
        <v>1.92060343898721</v>
      </c>
    </row>
    <row r="301" spans="2:7" hidden="1" x14ac:dyDescent="0.3">
      <c r="B301" s="172" t="s">
        <v>22</v>
      </c>
      <c r="C301" s="172" t="s">
        <v>80</v>
      </c>
      <c r="D301" s="172" t="s">
        <v>218</v>
      </c>
      <c r="E301" s="172">
        <v>3.24633382867834E-3</v>
      </c>
      <c r="F301" s="172">
        <v>2.8850750046745602E-3</v>
      </c>
      <c r="G301" s="172">
        <v>1.1252164409654699</v>
      </c>
    </row>
    <row r="302" spans="2:7" hidden="1" x14ac:dyDescent="0.3">
      <c r="B302" s="172" t="s">
        <v>22</v>
      </c>
      <c r="C302" s="172" t="s">
        <v>80</v>
      </c>
      <c r="D302" s="172" t="s">
        <v>221</v>
      </c>
      <c r="E302" s="172">
        <v>6.3923646187444402E-4</v>
      </c>
      <c r="F302" s="172">
        <v>3.1293816922586901E-4</v>
      </c>
      <c r="G302" s="172">
        <v>2.0426925339780602</v>
      </c>
    </row>
    <row r="303" spans="2:7" hidden="1" x14ac:dyDescent="0.3">
      <c r="B303" s="172" t="s">
        <v>189</v>
      </c>
      <c r="C303" s="172" t="s">
        <v>81</v>
      </c>
      <c r="D303" s="172" t="s">
        <v>218</v>
      </c>
      <c r="E303" s="172">
        <v>6.1520108800028599E-3</v>
      </c>
      <c r="F303" s="172">
        <v>5.66731301922903E-3</v>
      </c>
      <c r="G303" s="172">
        <v>1.08552516141764</v>
      </c>
    </row>
    <row r="304" spans="2:7" x14ac:dyDescent="0.3">
      <c r="B304" s="172" t="s">
        <v>189</v>
      </c>
      <c r="C304" s="172" t="s">
        <v>81</v>
      </c>
      <c r="D304" s="172" t="s">
        <v>221</v>
      </c>
      <c r="E304" s="172">
        <v>3.6078781423462401E-2</v>
      </c>
      <c r="F304" s="172">
        <v>3.5472909097495099E-2</v>
      </c>
      <c r="G304" s="172">
        <v>1.0170798601350099</v>
      </c>
    </row>
    <row r="305" spans="2:7" x14ac:dyDescent="0.3">
      <c r="B305" s="172" t="s">
        <v>187</v>
      </c>
      <c r="C305" s="172" t="s">
        <v>81</v>
      </c>
      <c r="D305" s="172" t="s">
        <v>221</v>
      </c>
      <c r="E305" s="172">
        <v>3.4705412039057103E-2</v>
      </c>
      <c r="F305" s="172">
        <v>3.1776782053949501E-2</v>
      </c>
      <c r="G305" s="172">
        <v>1.0921625726650199</v>
      </c>
    </row>
    <row r="306" spans="2:7" x14ac:dyDescent="0.3">
      <c r="B306" s="172" t="s">
        <v>185</v>
      </c>
      <c r="C306" s="172" t="s">
        <v>81</v>
      </c>
      <c r="D306" s="172" t="s">
        <v>221</v>
      </c>
      <c r="E306" s="172">
        <v>3.3239284073960498E-2</v>
      </c>
      <c r="F306" s="172">
        <v>3.0553045623833801E-2</v>
      </c>
      <c r="G306" s="172">
        <v>1.08792048043915</v>
      </c>
    </row>
    <row r="307" spans="2:7" x14ac:dyDescent="0.3">
      <c r="B307" s="172" t="s">
        <v>183</v>
      </c>
      <c r="C307" s="172" t="s">
        <v>81</v>
      </c>
      <c r="D307" s="172" t="s">
        <v>221</v>
      </c>
      <c r="E307" s="172">
        <v>3.1016216583954901E-2</v>
      </c>
      <c r="F307" s="172">
        <v>2.86129214032853E-2</v>
      </c>
      <c r="G307" s="172">
        <v>1.08399335205225</v>
      </c>
    </row>
    <row r="308" spans="2:7" x14ac:dyDescent="0.3">
      <c r="B308" s="172" t="s">
        <v>181</v>
      </c>
      <c r="C308" s="172" t="s">
        <v>81</v>
      </c>
      <c r="D308" s="172" t="s">
        <v>221</v>
      </c>
      <c r="E308" s="172">
        <v>2.80985488132382E-2</v>
      </c>
      <c r="F308" s="172">
        <v>2.6002051165738699E-2</v>
      </c>
      <c r="G308" s="172">
        <v>1.0806281640681501</v>
      </c>
    </row>
    <row r="309" spans="2:7" x14ac:dyDescent="0.3">
      <c r="B309" s="172" t="s">
        <v>179</v>
      </c>
      <c r="C309" s="172" t="s">
        <v>81</v>
      </c>
      <c r="D309" s="172" t="s">
        <v>221</v>
      </c>
      <c r="E309" s="172">
        <v>2.46024271376654E-2</v>
      </c>
      <c r="F309" s="172">
        <v>2.2828089443006499E-2</v>
      </c>
      <c r="G309" s="172">
        <v>1.07772607072917</v>
      </c>
    </row>
    <row r="310" spans="2:7" x14ac:dyDescent="0.3">
      <c r="B310" s="172" t="s">
        <v>39</v>
      </c>
      <c r="C310" s="172" t="s">
        <v>81</v>
      </c>
      <c r="D310" s="172" t="s">
        <v>221</v>
      </c>
      <c r="E310" s="172">
        <v>2.06629428656365E-2</v>
      </c>
      <c r="F310" s="172">
        <v>1.9218103279691999E-2</v>
      </c>
      <c r="G310" s="172">
        <v>1.07518117500551</v>
      </c>
    </row>
    <row r="311" spans="2:7" x14ac:dyDescent="0.3">
      <c r="B311" s="172" t="s">
        <v>26</v>
      </c>
      <c r="C311" s="172" t="s">
        <v>81</v>
      </c>
      <c r="D311" s="172" t="s">
        <v>221</v>
      </c>
      <c r="E311" s="172">
        <v>1.6529707625938601E-2</v>
      </c>
      <c r="F311" s="172">
        <v>1.54012889982521E-2</v>
      </c>
      <c r="G311" s="172">
        <v>1.07326780426071</v>
      </c>
    </row>
    <row r="312" spans="2:7" x14ac:dyDescent="0.3">
      <c r="B312" s="172" t="s">
        <v>25</v>
      </c>
      <c r="C312" s="172" t="s">
        <v>81</v>
      </c>
      <c r="D312" s="172" t="s">
        <v>221</v>
      </c>
      <c r="E312" s="172">
        <v>1.2292990663042701E-2</v>
      </c>
      <c r="F312" s="172">
        <v>1.1460532874339501E-2</v>
      </c>
      <c r="G312" s="172">
        <v>1.0726369181809301</v>
      </c>
    </row>
    <row r="313" spans="2:7" x14ac:dyDescent="0.3">
      <c r="B313" s="172" t="s">
        <v>24</v>
      </c>
      <c r="C313" s="172" t="s">
        <v>81</v>
      </c>
      <c r="D313" s="172" t="s">
        <v>221</v>
      </c>
      <c r="E313" s="172">
        <v>7.9044863744936293E-3</v>
      </c>
      <c r="F313" s="172">
        <v>7.3532748432138502E-3</v>
      </c>
      <c r="G313" s="172">
        <v>1.0749613666064</v>
      </c>
    </row>
    <row r="314" spans="2:7" x14ac:dyDescent="0.3">
      <c r="B314" s="172" t="s">
        <v>22</v>
      </c>
      <c r="C314" s="172" t="s">
        <v>81</v>
      </c>
      <c r="D314" s="172" t="s">
        <v>221</v>
      </c>
      <c r="E314" s="172">
        <v>3.5459378608382599E-3</v>
      </c>
      <c r="F314" s="172">
        <v>3.2646161727204201E-3</v>
      </c>
      <c r="G314" s="172">
        <v>1.0861729750861999</v>
      </c>
    </row>
    <row r="315" spans="2:7" hidden="1" x14ac:dyDescent="0.3">
      <c r="B315" s="172" t="s">
        <v>189</v>
      </c>
      <c r="C315" s="172" t="s">
        <v>82</v>
      </c>
      <c r="D315" s="172" t="s">
        <v>221</v>
      </c>
      <c r="E315" s="172">
        <v>3.0809852828867799E-2</v>
      </c>
      <c r="F315" s="172">
        <v>3.0454384057850701E-2</v>
      </c>
      <c r="G315" s="172">
        <v>1.0116721707568199</v>
      </c>
    </row>
    <row r="316" spans="2:7" hidden="1" x14ac:dyDescent="0.3">
      <c r="B316" s="172" t="s">
        <v>187</v>
      </c>
      <c r="C316" s="172" t="s">
        <v>82</v>
      </c>
      <c r="D316" s="172" t="s">
        <v>221</v>
      </c>
      <c r="E316" s="172">
        <v>3.3477224884085499E-2</v>
      </c>
      <c r="F316" s="172">
        <v>3.1199038547507899E-2</v>
      </c>
      <c r="G316" s="172">
        <v>1.07302104303979</v>
      </c>
    </row>
    <row r="317" spans="2:7" hidden="1" x14ac:dyDescent="0.3">
      <c r="B317" s="172" t="s">
        <v>185</v>
      </c>
      <c r="C317" s="172" t="s">
        <v>82</v>
      </c>
      <c r="D317" s="172" t="s">
        <v>221</v>
      </c>
      <c r="E317" s="172">
        <v>3.23290623008744E-2</v>
      </c>
      <c r="F317" s="172">
        <v>3.0014093985858799E-2</v>
      </c>
      <c r="G317" s="172">
        <v>1.0771293751564299</v>
      </c>
    </row>
    <row r="318" spans="2:7" hidden="1" x14ac:dyDescent="0.3">
      <c r="B318" s="172" t="s">
        <v>183</v>
      </c>
      <c r="C318" s="172" t="s">
        <v>82</v>
      </c>
      <c r="D318" s="172" t="s">
        <v>221</v>
      </c>
      <c r="E318" s="172">
        <v>3.03893396440723E-2</v>
      </c>
      <c r="F318" s="172">
        <v>2.81229746252879E-2</v>
      </c>
      <c r="G318" s="172">
        <v>1.08058767072052</v>
      </c>
    </row>
    <row r="319" spans="2:7" hidden="1" x14ac:dyDescent="0.3">
      <c r="B319" s="172" t="s">
        <v>181</v>
      </c>
      <c r="C319" s="172" t="s">
        <v>82</v>
      </c>
      <c r="D319" s="172" t="s">
        <v>221</v>
      </c>
      <c r="E319" s="172">
        <v>2.7694695594007598E-2</v>
      </c>
      <c r="F319" s="172">
        <v>2.5568154055552E-2</v>
      </c>
      <c r="G319" s="172">
        <v>1.08317149270281</v>
      </c>
    </row>
    <row r="320" spans="2:7" hidden="1" x14ac:dyDescent="0.3">
      <c r="B320" s="172" t="s">
        <v>179</v>
      </c>
      <c r="C320" s="172" t="s">
        <v>82</v>
      </c>
      <c r="D320" s="172" t="s">
        <v>221</v>
      </c>
      <c r="E320" s="172">
        <v>2.43624441926719E-2</v>
      </c>
      <c r="F320" s="172">
        <v>2.24554515473133E-2</v>
      </c>
      <c r="G320" s="172">
        <v>1.0849233711172801</v>
      </c>
    </row>
    <row r="321" spans="2:7" hidden="1" x14ac:dyDescent="0.3">
      <c r="B321" s="172" t="s">
        <v>39</v>
      </c>
      <c r="C321" s="172" t="s">
        <v>82</v>
      </c>
      <c r="D321" s="172" t="s">
        <v>221</v>
      </c>
      <c r="E321" s="172">
        <v>2.0535460920660099E-2</v>
      </c>
      <c r="F321" s="172">
        <v>1.89106658185174E-2</v>
      </c>
      <c r="G321" s="172">
        <v>1.08591950795046</v>
      </c>
    </row>
    <row r="322" spans="2:7" hidden="1" x14ac:dyDescent="0.3">
      <c r="B322" s="172" t="s">
        <v>26</v>
      </c>
      <c r="C322" s="172" t="s">
        <v>82</v>
      </c>
      <c r="D322" s="172" t="s">
        <v>221</v>
      </c>
      <c r="E322" s="172">
        <v>1.6484836596264301E-2</v>
      </c>
      <c r="F322" s="172">
        <v>1.51586376938572E-2</v>
      </c>
      <c r="G322" s="172">
        <v>1.0874880005176599</v>
      </c>
    </row>
    <row r="323" spans="2:7" hidden="1" x14ac:dyDescent="0.3">
      <c r="B323" s="172" t="s">
        <v>25</v>
      </c>
      <c r="C323" s="172" t="s">
        <v>82</v>
      </c>
      <c r="D323" s="172" t="s">
        <v>221</v>
      </c>
      <c r="E323" s="172">
        <v>1.2298473915473399E-2</v>
      </c>
      <c r="F323" s="172">
        <v>1.1280432647044199E-2</v>
      </c>
      <c r="G323" s="172">
        <v>1.09024842399958</v>
      </c>
    </row>
    <row r="324" spans="2:7" hidden="1" x14ac:dyDescent="0.3">
      <c r="B324" s="172" t="s">
        <v>24</v>
      </c>
      <c r="C324" s="172" t="s">
        <v>82</v>
      </c>
      <c r="D324" s="172" t="s">
        <v>221</v>
      </c>
      <c r="E324" s="172">
        <v>7.9037795746437298E-3</v>
      </c>
      <c r="F324" s="172">
        <v>7.2343553932844298E-3</v>
      </c>
      <c r="G324" s="172">
        <v>1.0925340469146301</v>
      </c>
    </row>
    <row r="325" spans="2:7" hidden="1" x14ac:dyDescent="0.3">
      <c r="B325" s="172" t="s">
        <v>22</v>
      </c>
      <c r="C325" s="172" t="s">
        <v>82</v>
      </c>
      <c r="D325" s="172" t="s">
        <v>221</v>
      </c>
      <c r="E325" s="172">
        <v>3.5016571204801801E-3</v>
      </c>
      <c r="F325" s="172">
        <v>3.2049605665150699E-3</v>
      </c>
      <c r="G325" s="172">
        <v>1.09257416676665</v>
      </c>
    </row>
    <row r="326" spans="2:7" hidden="1" x14ac:dyDescent="0.3">
      <c r="B326" s="172" t="s">
        <v>189</v>
      </c>
      <c r="C326" s="172" t="s">
        <v>246</v>
      </c>
      <c r="D326" s="172" t="s">
        <v>218</v>
      </c>
      <c r="E326" s="172">
        <v>1.4424974498218901E-3</v>
      </c>
      <c r="F326" s="172">
        <v>1.3698405461322199E-3</v>
      </c>
      <c r="G326" s="172">
        <v>1.0530404096263699</v>
      </c>
    </row>
    <row r="327" spans="2:7" hidden="1" x14ac:dyDescent="0.3">
      <c r="B327" s="172" t="s">
        <v>189</v>
      </c>
      <c r="C327" s="172" t="s">
        <v>246</v>
      </c>
      <c r="D327" s="172" t="s">
        <v>221</v>
      </c>
      <c r="E327" s="172">
        <v>5.2082616818922096E-4</v>
      </c>
      <c r="F327" s="172">
        <v>4.3000503857714101E-4</v>
      </c>
      <c r="G327" s="172">
        <v>1.2112094544580201</v>
      </c>
    </row>
    <row r="328" spans="2:7" hidden="1" x14ac:dyDescent="0.3">
      <c r="B328" s="172" t="s">
        <v>187</v>
      </c>
      <c r="C328" s="172" t="s">
        <v>246</v>
      </c>
      <c r="D328" s="172" t="s">
        <v>218</v>
      </c>
      <c r="E328" s="172">
        <v>9.6414625356250295E-4</v>
      </c>
      <c r="F328" s="172">
        <v>4.8962792866513196E-4</v>
      </c>
      <c r="G328" s="172">
        <v>1.9691406415296699</v>
      </c>
    </row>
    <row r="329" spans="2:7" hidden="1" x14ac:dyDescent="0.3">
      <c r="B329" s="172" t="s">
        <v>187</v>
      </c>
      <c r="C329" s="172" t="s">
        <v>246</v>
      </c>
      <c r="D329" s="172" t="s">
        <v>221</v>
      </c>
      <c r="E329" s="172">
        <v>5.3997847574339703E-4</v>
      </c>
      <c r="F329" s="172">
        <v>1.113812790619E-4</v>
      </c>
      <c r="G329" s="172">
        <v>4.8480182692398799</v>
      </c>
    </row>
    <row r="330" spans="2:7" hidden="1" x14ac:dyDescent="0.3">
      <c r="B330" s="172" t="s">
        <v>185</v>
      </c>
      <c r="C330" s="172" t="s">
        <v>246</v>
      </c>
      <c r="D330" s="172" t="s">
        <v>218</v>
      </c>
      <c r="E330" s="172">
        <v>8.2012357328116101E-4</v>
      </c>
      <c r="F330" s="172">
        <v>4.1771986285604902E-4</v>
      </c>
      <c r="G330" s="172">
        <v>1.9633339139627799</v>
      </c>
    </row>
    <row r="331" spans="2:7" hidden="1" x14ac:dyDescent="0.3">
      <c r="B331" s="172" t="s">
        <v>185</v>
      </c>
      <c r="C331" s="172" t="s">
        <v>246</v>
      </c>
      <c r="D331" s="172" t="s">
        <v>221</v>
      </c>
      <c r="E331" s="172">
        <v>4.5577188607249603E-4</v>
      </c>
      <c r="F331" s="172">
        <v>9.2310470204652994E-5</v>
      </c>
      <c r="G331" s="172">
        <v>4.93738018084023</v>
      </c>
    </row>
    <row r="332" spans="2:7" hidden="1" x14ac:dyDescent="0.3">
      <c r="B332" s="172" t="s">
        <v>183</v>
      </c>
      <c r="C332" s="172" t="s">
        <v>246</v>
      </c>
      <c r="D332" s="172" t="s">
        <v>218</v>
      </c>
      <c r="E332" s="172">
        <v>6.7571008235074205E-4</v>
      </c>
      <c r="F332" s="172">
        <v>3.43191743109959E-4</v>
      </c>
      <c r="G332" s="172">
        <v>1.9688995901461599</v>
      </c>
    </row>
    <row r="333" spans="2:7" hidden="1" x14ac:dyDescent="0.3">
      <c r="B333" s="172" t="s">
        <v>183</v>
      </c>
      <c r="C333" s="172" t="s">
        <v>246</v>
      </c>
      <c r="D333" s="172" t="s">
        <v>221</v>
      </c>
      <c r="E333" s="172">
        <v>3.79518200659247E-4</v>
      </c>
      <c r="F333" s="172">
        <v>7.91790555385398E-5</v>
      </c>
      <c r="G333" s="172">
        <v>4.7931640264958704</v>
      </c>
    </row>
    <row r="334" spans="2:7" hidden="1" x14ac:dyDescent="0.3">
      <c r="B334" s="172" t="s">
        <v>181</v>
      </c>
      <c r="C334" s="172" t="s">
        <v>246</v>
      </c>
      <c r="D334" s="172" t="s">
        <v>218</v>
      </c>
      <c r="E334" s="172">
        <v>5.3631696043807803E-4</v>
      </c>
      <c r="F334" s="172">
        <v>2.70915035026846E-4</v>
      </c>
      <c r="G334" s="172">
        <v>1.9796500418846501</v>
      </c>
    </row>
    <row r="335" spans="2:7" hidden="1" x14ac:dyDescent="0.3">
      <c r="B335" s="172" t="s">
        <v>181</v>
      </c>
      <c r="C335" s="172" t="s">
        <v>246</v>
      </c>
      <c r="D335" s="172" t="s">
        <v>221</v>
      </c>
      <c r="E335" s="172">
        <v>3.0735254947589799E-4</v>
      </c>
      <c r="F335" s="172">
        <v>6.7634681362527499E-5</v>
      </c>
      <c r="G335" s="172">
        <v>4.5443039470898396</v>
      </c>
    </row>
    <row r="336" spans="2:7" hidden="1" x14ac:dyDescent="0.3">
      <c r="B336" s="172" t="s">
        <v>179</v>
      </c>
      <c r="C336" s="172" t="s">
        <v>246</v>
      </c>
      <c r="D336" s="172" t="s">
        <v>218</v>
      </c>
      <c r="E336" s="172">
        <v>4.0588468278271802E-4</v>
      </c>
      <c r="F336" s="172">
        <v>2.0305502410926699E-4</v>
      </c>
      <c r="G336" s="172">
        <v>1.9988901262758501</v>
      </c>
    </row>
    <row r="337" spans="2:7" hidden="1" x14ac:dyDescent="0.3">
      <c r="B337" s="172" t="s">
        <v>179</v>
      </c>
      <c r="C337" s="172" t="s">
        <v>246</v>
      </c>
      <c r="D337" s="172" t="s">
        <v>221</v>
      </c>
      <c r="E337" s="172">
        <v>2.4039793940180699E-4</v>
      </c>
      <c r="F337" s="172">
        <v>5.7196957374173298E-5</v>
      </c>
      <c r="G337" s="172">
        <v>4.2029847467088501</v>
      </c>
    </row>
    <row r="338" spans="2:7" hidden="1" x14ac:dyDescent="0.3">
      <c r="B338" s="172" t="s">
        <v>39</v>
      </c>
      <c r="C338" s="172" t="s">
        <v>246</v>
      </c>
      <c r="D338" s="172" t="s">
        <v>218</v>
      </c>
      <c r="E338" s="172">
        <v>2.8786519839905299E-4</v>
      </c>
      <c r="F338" s="172">
        <v>1.4159872490882101E-4</v>
      </c>
      <c r="G338" s="172">
        <v>2.0329646229824299</v>
      </c>
    </row>
    <row r="339" spans="2:7" s="172" customFormat="1" hidden="1" x14ac:dyDescent="0.3">
      <c r="B339" s="172" t="s">
        <v>39</v>
      </c>
      <c r="C339" s="172" t="s">
        <v>246</v>
      </c>
      <c r="D339" s="172" t="s">
        <v>221</v>
      </c>
      <c r="E339" s="172">
        <v>1.7946952372998101E-4</v>
      </c>
      <c r="F339" s="172">
        <v>4.7357870254932001E-5</v>
      </c>
      <c r="G339" s="172">
        <v>3.7896451585317998</v>
      </c>
    </row>
    <row r="340" spans="2:7" hidden="1" x14ac:dyDescent="0.3">
      <c r="B340" s="172" t="s">
        <v>26</v>
      </c>
      <c r="C340" s="172" t="s">
        <v>246</v>
      </c>
      <c r="D340" s="172" t="s">
        <v>218</v>
      </c>
      <c r="E340" s="172">
        <v>1.8735951747486499E-4</v>
      </c>
      <c r="F340" s="172">
        <v>8.9813330687461506E-5</v>
      </c>
      <c r="G340" s="172">
        <v>2.0860992019865199</v>
      </c>
    </row>
    <row r="341" spans="2:7" hidden="1" x14ac:dyDescent="0.3">
      <c r="B341" s="172" t="s">
        <v>26</v>
      </c>
      <c r="C341" s="172" t="s">
        <v>246</v>
      </c>
      <c r="D341" s="172" t="s">
        <v>221</v>
      </c>
      <c r="E341" s="172">
        <v>1.2471919501785001E-4</v>
      </c>
      <c r="F341" s="172">
        <v>3.6612961790517699E-5</v>
      </c>
      <c r="G341" s="172">
        <v>3.4064219041178698</v>
      </c>
    </row>
    <row r="342" spans="2:7" hidden="1" x14ac:dyDescent="0.3">
      <c r="B342" s="172" t="s">
        <v>25</v>
      </c>
      <c r="C342" s="172" t="s">
        <v>246</v>
      </c>
      <c r="D342" s="172" t="s">
        <v>218</v>
      </c>
      <c r="E342" s="172">
        <v>1.07242480037407E-4</v>
      </c>
      <c r="F342" s="172">
        <v>4.93892916008662E-5</v>
      </c>
      <c r="G342" s="172">
        <v>2.1713710920187701</v>
      </c>
    </row>
    <row r="343" spans="2:7" s="172" customFormat="1" hidden="1" x14ac:dyDescent="0.3">
      <c r="B343" s="172" t="s">
        <v>25</v>
      </c>
      <c r="C343" s="172" t="s">
        <v>246</v>
      </c>
      <c r="D343" s="172" t="s">
        <v>221</v>
      </c>
      <c r="E343" s="172">
        <v>7.7409038413078996E-5</v>
      </c>
      <c r="F343" s="172">
        <v>2.5154545631687801E-5</v>
      </c>
      <c r="G343" s="172">
        <v>3.07733797089799</v>
      </c>
    </row>
    <row r="344" spans="2:7" hidden="1" x14ac:dyDescent="0.3">
      <c r="B344" s="172" t="s">
        <v>24</v>
      </c>
      <c r="C344" s="172" t="s">
        <v>246</v>
      </c>
      <c r="D344" s="172" t="s">
        <v>218</v>
      </c>
      <c r="E344" s="172">
        <v>4.8631334446086401E-5</v>
      </c>
      <c r="F344" s="172">
        <v>2.0586000057911299E-5</v>
      </c>
      <c r="G344" s="172">
        <v>2.3623498644360001</v>
      </c>
    </row>
    <row r="345" spans="2:7" hidden="1" x14ac:dyDescent="0.3">
      <c r="B345" s="172" t="s">
        <v>24</v>
      </c>
      <c r="C345" s="172" t="s">
        <v>246</v>
      </c>
      <c r="D345" s="172" t="s">
        <v>221</v>
      </c>
      <c r="E345" s="172">
        <v>4.01707449477668E-5</v>
      </c>
      <c r="F345" s="172">
        <v>1.4839475177802299E-5</v>
      </c>
      <c r="G345" s="172">
        <v>2.7070192487572999</v>
      </c>
    </row>
    <row r="346" spans="2:7" hidden="1" x14ac:dyDescent="0.3">
      <c r="B346" s="172" t="s">
        <v>22</v>
      </c>
      <c r="C346" s="172" t="s">
        <v>246</v>
      </c>
      <c r="D346" s="172" t="s">
        <v>218</v>
      </c>
      <c r="E346" s="172">
        <v>1.3360630153965E-5</v>
      </c>
      <c r="F346" s="172">
        <v>4.9696880147625304E-6</v>
      </c>
      <c r="G346" s="172">
        <v>2.68842432649233</v>
      </c>
    </row>
    <row r="347" spans="2:7" s="172" customFormat="1" hidden="1" x14ac:dyDescent="0.3">
      <c r="B347" s="172" t="s">
        <v>22</v>
      </c>
      <c r="C347" s="172" t="s">
        <v>246</v>
      </c>
      <c r="D347" s="172" t="s">
        <v>221</v>
      </c>
      <c r="E347" s="172">
        <v>1.29179760263049E-5</v>
      </c>
      <c r="F347" s="172">
        <v>5.3390605457349601E-6</v>
      </c>
      <c r="G347" s="172">
        <v>2.4195222952892399</v>
      </c>
    </row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2.55208310966226E-2</v>
      </c>
      <c r="F402" s="172">
        <v>2.50957581929423E-2</v>
      </c>
      <c r="G402" s="172">
        <v>1.0169380379111199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3.0275763392258601E-2</v>
      </c>
      <c r="F403" s="172">
        <v>2.7058280066117001E-2</v>
      </c>
      <c r="G403" s="172">
        <v>1.11890938072485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2.9192628641609399E-2</v>
      </c>
      <c r="F404" s="172">
        <v>2.60308186286742E-2</v>
      </c>
      <c r="G404" s="172">
        <v>1.1214641021489899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2.7413508190332399E-2</v>
      </c>
      <c r="F405" s="172">
        <v>2.43964010546628E-2</v>
      </c>
      <c r="G405" s="172">
        <v>1.1236701728631799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2.4973798016861299E-2</v>
      </c>
      <c r="F406" s="172">
        <v>2.2191069025776701E-2</v>
      </c>
      <c r="G406" s="172">
        <v>1.1253986001238701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2.1975406629836498E-2</v>
      </c>
      <c r="F407" s="172">
        <v>1.95043773225211E-2</v>
      </c>
      <c r="G407" s="172">
        <v>1.12669101230226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1.8540931941677101E-2</v>
      </c>
      <c r="F408" s="172">
        <v>1.6442487852620698E-2</v>
      </c>
      <c r="G408" s="172">
        <v>1.1276232713604799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1.4912553458806399E-2</v>
      </c>
      <c r="F409" s="172">
        <v>1.3214386140992599E-2</v>
      </c>
      <c r="G409" s="172">
        <v>1.1285089825357699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1.11726764007531E-2</v>
      </c>
      <c r="F410" s="172">
        <v>9.8927894050258001E-3</v>
      </c>
      <c r="G410" s="172">
        <v>1.1293757446284101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7.2543713227092299E-3</v>
      </c>
      <c r="F411" s="172">
        <v>6.4232242879554398E-3</v>
      </c>
      <c r="G411" s="172">
        <v>1.12939716838354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3.3030702556098102E-3</v>
      </c>
      <c r="F412" s="172">
        <v>2.9314928320347002E-3</v>
      </c>
      <c r="G412" s="172">
        <v>1.1267536524444399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3.0989399728215301E-2</v>
      </c>
      <c r="F413" s="172">
        <v>3.0543442421815999E-2</v>
      </c>
      <c r="G413" s="172">
        <v>1.0146007545659199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6.6360876950472001E-3</v>
      </c>
      <c r="F414" s="172">
        <v>6.0786410620480803E-3</v>
      </c>
      <c r="G414" s="172">
        <v>1.0917057986002101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2.99898768549457E-2</v>
      </c>
      <c r="F415" s="172">
        <v>2.6630213341346999E-2</v>
      </c>
      <c r="G415" s="172">
        <v>1.1261598422263599</v>
      </c>
    </row>
    <row r="416" spans="2:7" hidden="1" x14ac:dyDescent="0.3">
      <c r="B416" s="172" t="s">
        <v>187</v>
      </c>
      <c r="C416" s="172" t="s">
        <v>80</v>
      </c>
      <c r="D416" s="172" t="s">
        <v>221</v>
      </c>
      <c r="E416" s="172">
        <v>6.3239437956303301E-3</v>
      </c>
      <c r="F416" s="172">
        <v>3.2894090091540899E-3</v>
      </c>
      <c r="G416" s="172">
        <v>1.9225167128902001</v>
      </c>
    </row>
    <row r="417" spans="2:7" hidden="1" x14ac:dyDescent="0.3">
      <c r="B417" s="172" t="s">
        <v>185</v>
      </c>
      <c r="C417" s="172" t="s">
        <v>80</v>
      </c>
      <c r="D417" s="172" t="s">
        <v>218</v>
      </c>
      <c r="E417" s="172">
        <v>2.8775109559845701E-2</v>
      </c>
      <c r="F417" s="172">
        <v>2.56141971553333E-2</v>
      </c>
      <c r="G417" s="172">
        <v>1.1234047034675201</v>
      </c>
    </row>
    <row r="418" spans="2:7" hidden="1" x14ac:dyDescent="0.3">
      <c r="B418" s="172" t="s">
        <v>185</v>
      </c>
      <c r="C418" s="172" t="s">
        <v>80</v>
      </c>
      <c r="D418" s="172" t="s">
        <v>221</v>
      </c>
      <c r="E418" s="172">
        <v>5.9820174400761596E-3</v>
      </c>
      <c r="F418" s="172">
        <v>3.1269997843875398E-3</v>
      </c>
      <c r="G418" s="172">
        <v>1.9130213791325299</v>
      </c>
    </row>
    <row r="419" spans="2:7" hidden="1" x14ac:dyDescent="0.3">
      <c r="B419" s="172" t="s">
        <v>183</v>
      </c>
      <c r="C419" s="172" t="s">
        <v>80</v>
      </c>
      <c r="D419" s="172" t="s">
        <v>218</v>
      </c>
      <c r="E419" s="172">
        <v>2.68944040647628E-2</v>
      </c>
      <c r="F419" s="172">
        <v>2.4001502029464401E-2</v>
      </c>
      <c r="G419" s="172">
        <v>1.12053004148436</v>
      </c>
    </row>
    <row r="420" spans="2:7" hidden="1" x14ac:dyDescent="0.3">
      <c r="B420" s="172" t="s">
        <v>183</v>
      </c>
      <c r="C420" s="172" t="s">
        <v>80</v>
      </c>
      <c r="D420" s="172" t="s">
        <v>221</v>
      </c>
      <c r="E420" s="172">
        <v>5.5114345607017697E-3</v>
      </c>
      <c r="F420" s="172">
        <v>2.8984907868838598E-3</v>
      </c>
      <c r="G420" s="172">
        <v>1.9014842433317001</v>
      </c>
    </row>
    <row r="421" spans="2:7" hidden="1" x14ac:dyDescent="0.3">
      <c r="B421" s="172" t="s">
        <v>181</v>
      </c>
      <c r="C421" s="172" t="s">
        <v>80</v>
      </c>
      <c r="D421" s="172" t="s">
        <v>218</v>
      </c>
      <c r="E421" s="172">
        <v>2.4396097212262401E-2</v>
      </c>
      <c r="F421" s="172">
        <v>2.18283859613316E-2</v>
      </c>
      <c r="G421" s="172">
        <v>1.1176317504866999</v>
      </c>
    </row>
    <row r="422" spans="2:7" hidden="1" x14ac:dyDescent="0.3">
      <c r="B422" s="172" t="s">
        <v>181</v>
      </c>
      <c r="C422" s="172" t="s">
        <v>80</v>
      </c>
      <c r="D422" s="172" t="s">
        <v>221</v>
      </c>
      <c r="E422" s="172">
        <v>4.9291477188499796E-3</v>
      </c>
      <c r="F422" s="172">
        <v>2.6099246534930999E-3</v>
      </c>
      <c r="G422" s="172">
        <v>1.8886168657217199</v>
      </c>
    </row>
    <row r="423" spans="2:7" hidden="1" x14ac:dyDescent="0.3">
      <c r="B423" s="172" t="s">
        <v>179</v>
      </c>
      <c r="C423" s="172" t="s">
        <v>80</v>
      </c>
      <c r="D423" s="172" t="s">
        <v>218</v>
      </c>
      <c r="E423" s="172">
        <v>2.1379948055385001E-2</v>
      </c>
      <c r="F423" s="172">
        <v>1.9182977317045199E-2</v>
      </c>
      <c r="G423" s="172">
        <v>1.11452709879335</v>
      </c>
    </row>
    <row r="424" spans="2:7" hidden="1" x14ac:dyDescent="0.3">
      <c r="B424" s="172" t="s">
        <v>179</v>
      </c>
      <c r="C424" s="172" t="s">
        <v>80</v>
      </c>
      <c r="D424" s="172" t="s">
        <v>221</v>
      </c>
      <c r="E424" s="172">
        <v>4.25567455330602E-3</v>
      </c>
      <c r="F424" s="172">
        <v>2.2713138864184899E-3</v>
      </c>
      <c r="G424" s="172">
        <v>1.8736620150799801</v>
      </c>
    </row>
    <row r="425" spans="2:7" hidden="1" x14ac:dyDescent="0.3">
      <c r="B425" s="172" t="s">
        <v>39</v>
      </c>
      <c r="C425" s="172" t="s">
        <v>80</v>
      </c>
      <c r="D425" s="172" t="s">
        <v>218</v>
      </c>
      <c r="E425" s="172">
        <v>1.79651466010123E-2</v>
      </c>
      <c r="F425" s="172">
        <v>1.6169422267326101E-2</v>
      </c>
      <c r="G425" s="172">
        <v>1.1110568024013401</v>
      </c>
    </row>
    <row r="426" spans="2:7" hidden="1" x14ac:dyDescent="0.3">
      <c r="B426" s="172" t="s">
        <v>39</v>
      </c>
      <c r="C426" s="172" t="s">
        <v>80</v>
      </c>
      <c r="D426" s="172" t="s">
        <v>221</v>
      </c>
      <c r="E426" s="172">
        <v>3.5164048746068001E-3</v>
      </c>
      <c r="F426" s="172">
        <v>1.8944603151483E-3</v>
      </c>
      <c r="G426" s="172">
        <v>1.8561512460774501</v>
      </c>
    </row>
    <row r="427" spans="2:7" hidden="1" x14ac:dyDescent="0.3">
      <c r="B427" s="172" t="s">
        <v>26</v>
      </c>
      <c r="C427" s="172" t="s">
        <v>80</v>
      </c>
      <c r="D427" s="172" t="s">
        <v>218</v>
      </c>
      <c r="E427" s="172">
        <v>1.44096749452508E-2</v>
      </c>
      <c r="F427" s="172">
        <v>1.29936710018857E-2</v>
      </c>
      <c r="G427" s="172">
        <v>1.1089764350012801</v>
      </c>
    </row>
    <row r="428" spans="2:7" hidden="1" x14ac:dyDescent="0.3">
      <c r="B428" s="172" t="s">
        <v>26</v>
      </c>
      <c r="C428" s="172" t="s">
        <v>80</v>
      </c>
      <c r="D428" s="172" t="s">
        <v>221</v>
      </c>
      <c r="E428" s="172">
        <v>2.7816828267846899E-3</v>
      </c>
      <c r="F428" s="172">
        <v>1.50271152310011E-3</v>
      </c>
      <c r="G428" s="172">
        <v>1.8511090013111999</v>
      </c>
    </row>
    <row r="429" spans="2:7" hidden="1" x14ac:dyDescent="0.3">
      <c r="B429" s="172" t="s">
        <v>25</v>
      </c>
      <c r="C429" s="172" t="s">
        <v>80</v>
      </c>
      <c r="D429" s="172" t="s">
        <v>218</v>
      </c>
      <c r="E429" s="172">
        <v>1.07947501099329E-2</v>
      </c>
      <c r="F429" s="172">
        <v>9.7273986694961304E-3</v>
      </c>
      <c r="G429" s="172">
        <v>1.109726297513</v>
      </c>
    </row>
    <row r="430" spans="2:7" hidden="1" x14ac:dyDescent="0.3">
      <c r="B430" s="172" t="s">
        <v>25</v>
      </c>
      <c r="C430" s="172" t="s">
        <v>80</v>
      </c>
      <c r="D430" s="172" t="s">
        <v>221</v>
      </c>
      <c r="E430" s="172">
        <v>2.07018663019355E-3</v>
      </c>
      <c r="F430" s="172">
        <v>1.1061272646377899E-3</v>
      </c>
      <c r="G430" s="172">
        <v>1.87156279062648</v>
      </c>
    </row>
    <row r="431" spans="2:7" hidden="1" x14ac:dyDescent="0.3">
      <c r="B431" s="172" t="s">
        <v>24</v>
      </c>
      <c r="C431" s="172" t="s">
        <v>80</v>
      </c>
      <c r="D431" s="172" t="s">
        <v>218</v>
      </c>
      <c r="E431" s="172">
        <v>7.0335551833197599E-3</v>
      </c>
      <c r="F431" s="172">
        <v>6.31685425550098E-3</v>
      </c>
      <c r="G431" s="172">
        <v>1.1134585188813899</v>
      </c>
    </row>
    <row r="432" spans="2:7" hidden="1" x14ac:dyDescent="0.3">
      <c r="B432" s="172" t="s">
        <v>24</v>
      </c>
      <c r="C432" s="172" t="s">
        <v>80</v>
      </c>
      <c r="D432" s="172" t="s">
        <v>221</v>
      </c>
      <c r="E432" s="172">
        <v>1.35051500392154E-3</v>
      </c>
      <c r="F432" s="172">
        <v>7.0317223040780499E-4</v>
      </c>
      <c r="G432" s="172">
        <v>1.92060343898721</v>
      </c>
    </row>
    <row r="433" spans="2:7" hidden="1" x14ac:dyDescent="0.3">
      <c r="B433" s="172" t="s">
        <v>22</v>
      </c>
      <c r="C433" s="172" t="s">
        <v>80</v>
      </c>
      <c r="D433" s="172" t="s">
        <v>218</v>
      </c>
      <c r="E433" s="172">
        <v>3.24633382867834E-3</v>
      </c>
      <c r="F433" s="172">
        <v>2.8850750046745602E-3</v>
      </c>
      <c r="G433" s="172">
        <v>1.1252164409654699</v>
      </c>
    </row>
    <row r="434" spans="2:7" hidden="1" x14ac:dyDescent="0.3">
      <c r="B434" s="172" t="s">
        <v>22</v>
      </c>
      <c r="C434" s="172" t="s">
        <v>80</v>
      </c>
      <c r="D434" s="172" t="s">
        <v>221</v>
      </c>
      <c r="E434" s="172">
        <v>6.3923646187444402E-4</v>
      </c>
      <c r="F434" s="172">
        <v>3.1293816922586901E-4</v>
      </c>
      <c r="G434" s="172">
        <v>2.0426925339780602</v>
      </c>
    </row>
    <row r="435" spans="2:7" hidden="1" x14ac:dyDescent="0.3">
      <c r="B435" s="172" t="s">
        <v>189</v>
      </c>
      <c r="C435" s="172" t="s">
        <v>81</v>
      </c>
      <c r="D435" s="172" t="s">
        <v>218</v>
      </c>
      <c r="E435" s="172">
        <v>6.1520108800028599E-3</v>
      </c>
      <c r="F435" s="172">
        <v>5.66731301922903E-3</v>
      </c>
      <c r="G435" s="172">
        <v>1.08552516141764</v>
      </c>
    </row>
    <row r="436" spans="2:7" hidden="1" x14ac:dyDescent="0.3">
      <c r="B436" s="172" t="s">
        <v>189</v>
      </c>
      <c r="C436" s="172" t="s">
        <v>81</v>
      </c>
      <c r="D436" s="172" t="s">
        <v>221</v>
      </c>
      <c r="E436" s="172">
        <v>3.6078781423462401E-2</v>
      </c>
      <c r="F436" s="172">
        <v>3.5472909097495099E-2</v>
      </c>
      <c r="G436" s="172">
        <v>1.0170798601350099</v>
      </c>
    </row>
    <row r="437" spans="2:7" hidden="1" x14ac:dyDescent="0.3">
      <c r="B437" s="172" t="s">
        <v>187</v>
      </c>
      <c r="C437" s="172" t="s">
        <v>81</v>
      </c>
      <c r="D437" s="172" t="s">
        <v>221</v>
      </c>
      <c r="E437" s="172">
        <v>3.4705412039057103E-2</v>
      </c>
      <c r="F437" s="172">
        <v>3.1776782053949501E-2</v>
      </c>
      <c r="G437" s="172">
        <v>1.0921625726650199</v>
      </c>
    </row>
    <row r="438" spans="2:7" hidden="1" x14ac:dyDescent="0.3">
      <c r="B438" s="172" t="s">
        <v>185</v>
      </c>
      <c r="C438" s="172" t="s">
        <v>81</v>
      </c>
      <c r="D438" s="172" t="s">
        <v>221</v>
      </c>
      <c r="E438" s="172">
        <v>3.3239284073960498E-2</v>
      </c>
      <c r="F438" s="172">
        <v>3.0553045623833801E-2</v>
      </c>
      <c r="G438" s="172">
        <v>1.08792048043915</v>
      </c>
    </row>
    <row r="439" spans="2:7" hidden="1" x14ac:dyDescent="0.3">
      <c r="B439" s="172" t="s">
        <v>183</v>
      </c>
      <c r="C439" s="172" t="s">
        <v>81</v>
      </c>
      <c r="D439" s="172" t="s">
        <v>221</v>
      </c>
      <c r="E439" s="172">
        <v>3.1016216583954901E-2</v>
      </c>
      <c r="F439" s="172">
        <v>2.86129214032853E-2</v>
      </c>
      <c r="G439" s="172">
        <v>1.08399335205225</v>
      </c>
    </row>
    <row r="440" spans="2:7" hidden="1" x14ac:dyDescent="0.3">
      <c r="B440" s="172" t="s">
        <v>181</v>
      </c>
      <c r="C440" s="172" t="s">
        <v>81</v>
      </c>
      <c r="D440" s="172" t="s">
        <v>221</v>
      </c>
      <c r="E440" s="172">
        <v>2.80985488132382E-2</v>
      </c>
      <c r="F440" s="172">
        <v>2.6002051165738699E-2</v>
      </c>
      <c r="G440" s="172">
        <v>1.0806281640681501</v>
      </c>
    </row>
    <row r="441" spans="2:7" hidden="1" x14ac:dyDescent="0.3">
      <c r="B441" s="172" t="s">
        <v>179</v>
      </c>
      <c r="C441" s="172" t="s">
        <v>81</v>
      </c>
      <c r="D441" s="172" t="s">
        <v>221</v>
      </c>
      <c r="E441" s="172">
        <v>2.46024271376654E-2</v>
      </c>
      <c r="F441" s="172">
        <v>2.2828089443006499E-2</v>
      </c>
      <c r="G441" s="172">
        <v>1.07772607072917</v>
      </c>
    </row>
    <row r="442" spans="2:7" hidden="1" x14ac:dyDescent="0.3">
      <c r="B442" s="172" t="s">
        <v>39</v>
      </c>
      <c r="C442" s="172" t="s">
        <v>81</v>
      </c>
      <c r="D442" s="172" t="s">
        <v>221</v>
      </c>
      <c r="E442" s="172">
        <v>2.06629428656365E-2</v>
      </c>
      <c r="F442" s="172">
        <v>1.9218103279691999E-2</v>
      </c>
      <c r="G442" s="172">
        <v>1.07518117500551</v>
      </c>
    </row>
    <row r="443" spans="2:7" hidden="1" x14ac:dyDescent="0.3">
      <c r="B443" s="172" t="s">
        <v>26</v>
      </c>
      <c r="C443" s="172" t="s">
        <v>81</v>
      </c>
      <c r="D443" s="172" t="s">
        <v>221</v>
      </c>
      <c r="E443" s="172">
        <v>1.6529707625938601E-2</v>
      </c>
      <c r="F443" s="172">
        <v>1.54012889982521E-2</v>
      </c>
      <c r="G443" s="172">
        <v>1.07326780426071</v>
      </c>
    </row>
    <row r="444" spans="2:7" hidden="1" x14ac:dyDescent="0.3">
      <c r="B444" s="172" t="s">
        <v>25</v>
      </c>
      <c r="C444" s="172" t="s">
        <v>81</v>
      </c>
      <c r="D444" s="172" t="s">
        <v>221</v>
      </c>
      <c r="E444" s="172">
        <v>1.2292990663042701E-2</v>
      </c>
      <c r="F444" s="172">
        <v>1.1460532874339501E-2</v>
      </c>
      <c r="G444" s="172">
        <v>1.0726369181809301</v>
      </c>
    </row>
    <row r="445" spans="2:7" hidden="1" x14ac:dyDescent="0.3">
      <c r="B445" s="172" t="s">
        <v>24</v>
      </c>
      <c r="C445" s="172" t="s">
        <v>81</v>
      </c>
      <c r="D445" s="172" t="s">
        <v>221</v>
      </c>
      <c r="E445" s="172">
        <v>7.9044863744936293E-3</v>
      </c>
      <c r="F445" s="172">
        <v>7.3532748432138502E-3</v>
      </c>
      <c r="G445" s="172">
        <v>1.0749613666064</v>
      </c>
    </row>
    <row r="446" spans="2:7" hidden="1" x14ac:dyDescent="0.3">
      <c r="B446" s="172" t="s">
        <v>22</v>
      </c>
      <c r="C446" s="172" t="s">
        <v>81</v>
      </c>
      <c r="D446" s="172" t="s">
        <v>221</v>
      </c>
      <c r="E446" s="172">
        <v>3.5459378608382599E-3</v>
      </c>
      <c r="F446" s="172">
        <v>3.2646161727204201E-3</v>
      </c>
      <c r="G446" s="172">
        <v>1.0861729750861999</v>
      </c>
    </row>
    <row r="447" spans="2:7" x14ac:dyDescent="0.3">
      <c r="B447" s="172" t="s">
        <v>189</v>
      </c>
      <c r="C447" s="172" t="s">
        <v>82</v>
      </c>
      <c r="D447" s="172" t="s">
        <v>221</v>
      </c>
      <c r="E447" s="172">
        <v>3.0809852828867799E-2</v>
      </c>
      <c r="F447" s="172">
        <v>3.0454384057850701E-2</v>
      </c>
      <c r="G447" s="172">
        <v>1.0116721707568199</v>
      </c>
    </row>
    <row r="448" spans="2:7" x14ac:dyDescent="0.3">
      <c r="B448" s="172" t="s">
        <v>187</v>
      </c>
      <c r="C448" s="172" t="s">
        <v>82</v>
      </c>
      <c r="D448" s="172" t="s">
        <v>221</v>
      </c>
      <c r="E448" s="172">
        <v>3.3477224884085499E-2</v>
      </c>
      <c r="F448" s="172">
        <v>3.1199038547507899E-2</v>
      </c>
      <c r="G448" s="172">
        <v>1.07302104303979</v>
      </c>
    </row>
    <row r="449" spans="2:7" x14ac:dyDescent="0.3">
      <c r="B449" s="172" t="s">
        <v>185</v>
      </c>
      <c r="C449" s="172" t="s">
        <v>82</v>
      </c>
      <c r="D449" s="172" t="s">
        <v>221</v>
      </c>
      <c r="E449" s="172">
        <v>3.23290623008744E-2</v>
      </c>
      <c r="F449" s="172">
        <v>3.0014093985858799E-2</v>
      </c>
      <c r="G449" s="172">
        <v>1.0771293751564299</v>
      </c>
    </row>
    <row r="450" spans="2:7" x14ac:dyDescent="0.3">
      <c r="B450" s="172" t="s">
        <v>183</v>
      </c>
      <c r="C450" s="172" t="s">
        <v>82</v>
      </c>
      <c r="D450" s="172" t="s">
        <v>221</v>
      </c>
      <c r="E450" s="172">
        <v>3.03893396440723E-2</v>
      </c>
      <c r="F450" s="172">
        <v>2.81229746252879E-2</v>
      </c>
      <c r="G450" s="172">
        <v>1.08058767072052</v>
      </c>
    </row>
    <row r="451" spans="2:7" x14ac:dyDescent="0.3">
      <c r="B451" s="172" t="s">
        <v>181</v>
      </c>
      <c r="C451" s="172" t="s">
        <v>82</v>
      </c>
      <c r="D451" s="172" t="s">
        <v>221</v>
      </c>
      <c r="E451" s="172">
        <v>2.7694695594007598E-2</v>
      </c>
      <c r="F451" s="172">
        <v>2.5568154055552E-2</v>
      </c>
      <c r="G451" s="172">
        <v>1.08317149270281</v>
      </c>
    </row>
    <row r="452" spans="2:7" x14ac:dyDescent="0.3">
      <c r="B452" s="172" t="s">
        <v>179</v>
      </c>
      <c r="C452" s="172" t="s">
        <v>82</v>
      </c>
      <c r="D452" s="172" t="s">
        <v>221</v>
      </c>
      <c r="E452" s="172">
        <v>2.43624441926719E-2</v>
      </c>
      <c r="F452" s="172">
        <v>2.24554515473133E-2</v>
      </c>
      <c r="G452" s="172">
        <v>1.0849233711172801</v>
      </c>
    </row>
    <row r="453" spans="2:7" x14ac:dyDescent="0.3">
      <c r="B453" s="172" t="s">
        <v>39</v>
      </c>
      <c r="C453" s="172" t="s">
        <v>82</v>
      </c>
      <c r="D453" s="172" t="s">
        <v>221</v>
      </c>
      <c r="E453" s="172">
        <v>2.0535460920660099E-2</v>
      </c>
      <c r="F453" s="172">
        <v>1.89106658185174E-2</v>
      </c>
      <c r="G453" s="172">
        <v>1.08591950795046</v>
      </c>
    </row>
    <row r="454" spans="2:7" x14ac:dyDescent="0.3">
      <c r="B454" s="172" t="s">
        <v>26</v>
      </c>
      <c r="C454" s="172" t="s">
        <v>82</v>
      </c>
      <c r="D454" s="172" t="s">
        <v>221</v>
      </c>
      <c r="E454" s="172">
        <v>1.6484836596264301E-2</v>
      </c>
      <c r="F454" s="172">
        <v>1.51586376938572E-2</v>
      </c>
      <c r="G454" s="172">
        <v>1.0874880005176599</v>
      </c>
    </row>
    <row r="455" spans="2:7" x14ac:dyDescent="0.3">
      <c r="B455" s="172" t="s">
        <v>25</v>
      </c>
      <c r="C455" s="172" t="s">
        <v>82</v>
      </c>
      <c r="D455" s="172" t="s">
        <v>221</v>
      </c>
      <c r="E455" s="172">
        <v>1.2298473915473399E-2</v>
      </c>
      <c r="F455" s="172">
        <v>1.1280432647044199E-2</v>
      </c>
      <c r="G455" s="172">
        <v>1.09024842399958</v>
      </c>
    </row>
    <row r="456" spans="2:7" x14ac:dyDescent="0.3">
      <c r="B456" s="172" t="s">
        <v>24</v>
      </c>
      <c r="C456" s="172" t="s">
        <v>82</v>
      </c>
      <c r="D456" s="172" t="s">
        <v>221</v>
      </c>
      <c r="E456" s="172">
        <v>7.9037795746437298E-3</v>
      </c>
      <c r="F456" s="172">
        <v>7.2343553932844298E-3</v>
      </c>
      <c r="G456" s="172">
        <v>1.0925340469146301</v>
      </c>
    </row>
    <row r="457" spans="2:7" x14ac:dyDescent="0.3">
      <c r="B457" s="172" t="s">
        <v>22</v>
      </c>
      <c r="C457" s="172" t="s">
        <v>82</v>
      </c>
      <c r="D457" s="172" t="s">
        <v>221</v>
      </c>
      <c r="E457" s="172">
        <v>3.5016571204801801E-3</v>
      </c>
      <c r="F457" s="172">
        <v>3.2049605665150699E-3</v>
      </c>
      <c r="G457" s="172">
        <v>1.09257416676665</v>
      </c>
    </row>
    <row r="458" spans="2:7" hidden="1" x14ac:dyDescent="0.3">
      <c r="B458" s="172" t="s">
        <v>189</v>
      </c>
      <c r="C458" s="172" t="s">
        <v>246</v>
      </c>
      <c r="D458" s="172" t="s">
        <v>218</v>
      </c>
      <c r="E458" s="172">
        <v>1.4424974498218901E-3</v>
      </c>
      <c r="F458" s="172">
        <v>1.3698405461322199E-3</v>
      </c>
      <c r="G458" s="172">
        <v>1.0530404096263699</v>
      </c>
    </row>
    <row r="459" spans="2:7" hidden="1" x14ac:dyDescent="0.3">
      <c r="B459" s="172" t="s">
        <v>189</v>
      </c>
      <c r="C459" s="172" t="s">
        <v>246</v>
      </c>
      <c r="D459" s="172" t="s">
        <v>221</v>
      </c>
      <c r="E459" s="172">
        <v>5.2082616818922096E-4</v>
      </c>
      <c r="F459" s="172">
        <v>4.3000503857714101E-4</v>
      </c>
      <c r="G459" s="172">
        <v>1.2112094544580201</v>
      </c>
    </row>
    <row r="460" spans="2:7" hidden="1" x14ac:dyDescent="0.3">
      <c r="B460" s="172" t="s">
        <v>187</v>
      </c>
      <c r="C460" s="172" t="s">
        <v>246</v>
      </c>
      <c r="D460" s="172" t="s">
        <v>218</v>
      </c>
      <c r="E460" s="172">
        <v>9.6414625356250295E-4</v>
      </c>
      <c r="F460" s="172">
        <v>4.8962792866513196E-4</v>
      </c>
      <c r="G460" s="172">
        <v>1.9691406415296699</v>
      </c>
    </row>
    <row r="461" spans="2:7" hidden="1" x14ac:dyDescent="0.3">
      <c r="B461" s="172" t="s">
        <v>187</v>
      </c>
      <c r="C461" s="172" t="s">
        <v>246</v>
      </c>
      <c r="D461" s="172" t="s">
        <v>221</v>
      </c>
      <c r="E461" s="172">
        <v>5.3997847574339703E-4</v>
      </c>
      <c r="F461" s="172">
        <v>1.113812790619E-4</v>
      </c>
      <c r="G461" s="172">
        <v>4.8480182692398799</v>
      </c>
    </row>
    <row r="462" spans="2:7" hidden="1" x14ac:dyDescent="0.3">
      <c r="B462" s="172" t="s">
        <v>185</v>
      </c>
      <c r="C462" s="172" t="s">
        <v>246</v>
      </c>
      <c r="D462" s="172" t="s">
        <v>218</v>
      </c>
      <c r="E462" s="172">
        <v>8.2012357328116101E-4</v>
      </c>
      <c r="F462" s="172">
        <v>4.1771986285604902E-4</v>
      </c>
      <c r="G462" s="172">
        <v>1.9633339139627799</v>
      </c>
    </row>
    <row r="463" spans="2:7" hidden="1" x14ac:dyDescent="0.3">
      <c r="B463" s="172" t="s">
        <v>185</v>
      </c>
      <c r="C463" s="172" t="s">
        <v>246</v>
      </c>
      <c r="D463" s="172" t="s">
        <v>221</v>
      </c>
      <c r="E463" s="172">
        <v>4.5577188607249603E-4</v>
      </c>
      <c r="F463" s="172">
        <v>9.2310470204652994E-5</v>
      </c>
      <c r="G463" s="172">
        <v>4.93738018084023</v>
      </c>
    </row>
    <row r="464" spans="2:7" hidden="1" x14ac:dyDescent="0.3">
      <c r="B464" s="172" t="s">
        <v>183</v>
      </c>
      <c r="C464" s="172" t="s">
        <v>246</v>
      </c>
      <c r="D464" s="172" t="s">
        <v>218</v>
      </c>
      <c r="E464" s="172">
        <v>6.7571008235074205E-4</v>
      </c>
      <c r="F464" s="172">
        <v>3.43191743109959E-4</v>
      </c>
      <c r="G464" s="172">
        <v>1.9688995901461599</v>
      </c>
    </row>
    <row r="465" spans="2:7" hidden="1" x14ac:dyDescent="0.3">
      <c r="B465" s="172" t="s">
        <v>183</v>
      </c>
      <c r="C465" s="172" t="s">
        <v>246</v>
      </c>
      <c r="D465" s="172" t="s">
        <v>221</v>
      </c>
      <c r="E465" s="172">
        <v>3.79518200659247E-4</v>
      </c>
      <c r="F465" s="172">
        <v>7.91790555385398E-5</v>
      </c>
      <c r="G465" s="172">
        <v>4.7931640264958704</v>
      </c>
    </row>
    <row r="466" spans="2:7" hidden="1" x14ac:dyDescent="0.3">
      <c r="B466" s="172" t="s">
        <v>181</v>
      </c>
      <c r="C466" s="172" t="s">
        <v>246</v>
      </c>
      <c r="D466" s="172" t="s">
        <v>218</v>
      </c>
      <c r="E466" s="172">
        <v>5.3631696043807803E-4</v>
      </c>
      <c r="F466" s="172">
        <v>2.70915035026846E-4</v>
      </c>
      <c r="G466" s="172">
        <v>1.9796500418846501</v>
      </c>
    </row>
    <row r="467" spans="2:7" hidden="1" x14ac:dyDescent="0.3">
      <c r="B467" s="172" t="s">
        <v>181</v>
      </c>
      <c r="C467" s="172" t="s">
        <v>246</v>
      </c>
      <c r="D467" s="172" t="s">
        <v>221</v>
      </c>
      <c r="E467" s="172">
        <v>3.0735254947589799E-4</v>
      </c>
      <c r="F467" s="172">
        <v>6.7634681362527499E-5</v>
      </c>
      <c r="G467" s="172">
        <v>4.5443039470898396</v>
      </c>
    </row>
    <row r="468" spans="2:7" hidden="1" x14ac:dyDescent="0.3">
      <c r="B468" s="172" t="s">
        <v>179</v>
      </c>
      <c r="C468" s="172" t="s">
        <v>246</v>
      </c>
      <c r="D468" s="172" t="s">
        <v>218</v>
      </c>
      <c r="E468" s="172">
        <v>4.0588468278271802E-4</v>
      </c>
      <c r="F468" s="172">
        <v>2.0305502410926699E-4</v>
      </c>
      <c r="G468" s="172">
        <v>1.9988901262758501</v>
      </c>
    </row>
    <row r="469" spans="2:7" hidden="1" x14ac:dyDescent="0.3">
      <c r="B469" s="172" t="s">
        <v>179</v>
      </c>
      <c r="C469" s="172" t="s">
        <v>246</v>
      </c>
      <c r="D469" s="172" t="s">
        <v>221</v>
      </c>
      <c r="E469" s="172">
        <v>2.4039793940180699E-4</v>
      </c>
      <c r="F469" s="172">
        <v>5.7196957374173298E-5</v>
      </c>
      <c r="G469" s="172">
        <v>4.2029847467088501</v>
      </c>
    </row>
    <row r="470" spans="2:7" hidden="1" x14ac:dyDescent="0.3">
      <c r="B470" s="172" t="s">
        <v>39</v>
      </c>
      <c r="C470" s="172" t="s">
        <v>246</v>
      </c>
      <c r="D470" s="172" t="s">
        <v>218</v>
      </c>
      <c r="E470" s="172">
        <v>2.8786519839905299E-4</v>
      </c>
      <c r="F470" s="172">
        <v>1.4159872490882101E-4</v>
      </c>
      <c r="G470" s="172">
        <v>2.0329646229824299</v>
      </c>
    </row>
    <row r="471" spans="2:7" hidden="1" x14ac:dyDescent="0.3">
      <c r="B471" s="172" t="s">
        <v>39</v>
      </c>
      <c r="C471" s="172" t="s">
        <v>246</v>
      </c>
      <c r="D471" s="172" t="s">
        <v>221</v>
      </c>
      <c r="E471" s="172">
        <v>1.7946952372998101E-4</v>
      </c>
      <c r="F471" s="172">
        <v>4.7357870254932001E-5</v>
      </c>
      <c r="G471" s="172">
        <v>3.7896451585317998</v>
      </c>
    </row>
    <row r="472" spans="2:7" hidden="1" x14ac:dyDescent="0.3">
      <c r="B472" s="172" t="s">
        <v>26</v>
      </c>
      <c r="C472" s="172" t="s">
        <v>246</v>
      </c>
      <c r="D472" s="172" t="s">
        <v>218</v>
      </c>
      <c r="E472" s="172">
        <v>1.8735951747486499E-4</v>
      </c>
      <c r="F472" s="172">
        <v>8.9813330687461506E-5</v>
      </c>
      <c r="G472" s="172">
        <v>2.0860992019865199</v>
      </c>
    </row>
    <row r="473" spans="2:7" hidden="1" x14ac:dyDescent="0.3">
      <c r="B473" s="172" t="s">
        <v>26</v>
      </c>
      <c r="C473" s="172" t="s">
        <v>246</v>
      </c>
      <c r="D473" s="172" t="s">
        <v>221</v>
      </c>
      <c r="E473" s="172">
        <v>1.2471919501785001E-4</v>
      </c>
      <c r="F473" s="172">
        <v>3.6612961790517699E-5</v>
      </c>
      <c r="G473" s="172">
        <v>3.4064219041178698</v>
      </c>
    </row>
    <row r="474" spans="2:7" hidden="1" x14ac:dyDescent="0.3">
      <c r="B474" s="172" t="s">
        <v>25</v>
      </c>
      <c r="C474" s="172" t="s">
        <v>246</v>
      </c>
      <c r="D474" s="172" t="s">
        <v>218</v>
      </c>
      <c r="E474" s="172">
        <v>1.07242480037407E-4</v>
      </c>
      <c r="F474" s="172">
        <v>4.93892916008662E-5</v>
      </c>
      <c r="G474" s="172">
        <v>2.1713710920187701</v>
      </c>
    </row>
    <row r="475" spans="2:7" hidden="1" x14ac:dyDescent="0.3">
      <c r="B475" s="172" t="s">
        <v>25</v>
      </c>
      <c r="C475" s="172" t="s">
        <v>246</v>
      </c>
      <c r="D475" s="172" t="s">
        <v>221</v>
      </c>
      <c r="E475" s="172">
        <v>7.7409038413078996E-5</v>
      </c>
      <c r="F475" s="172">
        <v>2.5154545631687801E-5</v>
      </c>
      <c r="G475" s="172">
        <v>3.07733797089799</v>
      </c>
    </row>
    <row r="476" spans="2:7" hidden="1" x14ac:dyDescent="0.3">
      <c r="B476" s="172" t="s">
        <v>24</v>
      </c>
      <c r="C476" s="172" t="s">
        <v>246</v>
      </c>
      <c r="D476" s="172" t="s">
        <v>218</v>
      </c>
      <c r="E476" s="172">
        <v>4.8631334446086401E-5</v>
      </c>
      <c r="F476" s="172">
        <v>2.0586000057911299E-5</v>
      </c>
      <c r="G476" s="172">
        <v>2.3623498644360001</v>
      </c>
    </row>
    <row r="477" spans="2:7" hidden="1" x14ac:dyDescent="0.3">
      <c r="B477" s="172" t="s">
        <v>24</v>
      </c>
      <c r="C477" s="172" t="s">
        <v>246</v>
      </c>
      <c r="D477" s="172" t="s">
        <v>221</v>
      </c>
      <c r="E477" s="172">
        <v>4.01707449477668E-5</v>
      </c>
      <c r="F477" s="172">
        <v>1.4839475177802299E-5</v>
      </c>
      <c r="G477" s="172">
        <v>2.7070192487572999</v>
      </c>
    </row>
    <row r="478" spans="2:7" hidden="1" x14ac:dyDescent="0.3">
      <c r="B478" s="172" t="s">
        <v>22</v>
      </c>
      <c r="C478" s="172" t="s">
        <v>246</v>
      </c>
      <c r="D478" s="172" t="s">
        <v>218</v>
      </c>
      <c r="E478" s="172">
        <v>1.3360630153965E-5</v>
      </c>
      <c r="F478" s="172">
        <v>4.9696880147625304E-6</v>
      </c>
      <c r="G478" s="172">
        <v>2.68842432649233</v>
      </c>
    </row>
    <row r="479" spans="2:7" hidden="1" x14ac:dyDescent="0.3">
      <c r="B479" s="172" t="s">
        <v>22</v>
      </c>
      <c r="C479" s="172" t="s">
        <v>246</v>
      </c>
      <c r="D479" s="172" t="s">
        <v>221</v>
      </c>
      <c r="E479" s="172">
        <v>1.29179760263049E-5</v>
      </c>
      <c r="F479" s="172">
        <v>5.3390605457349601E-6</v>
      </c>
      <c r="G479" s="172">
        <v>2.4195222952892399</v>
      </c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92" workbookViewId="0">
      <selection activeCell="E409" sqref="E409:E483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2.8323869297776502E-4</v>
      </c>
      <c r="F6" s="172">
        <v>85</v>
      </c>
      <c r="G6" s="172">
        <v>28</v>
      </c>
      <c r="H6" s="172">
        <v>4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221</v>
      </c>
      <c r="E7" s="172">
        <v>4.19434238971062E-5</v>
      </c>
      <c r="F7" s="172">
        <v>20</v>
      </c>
      <c r="G7" s="172">
        <v>23</v>
      </c>
      <c r="H7" s="172">
        <v>0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218</v>
      </c>
      <c r="E8" s="172">
        <v>3.3317429108988499E-4</v>
      </c>
      <c r="F8" s="172">
        <v>20</v>
      </c>
      <c r="G8" s="172">
        <v>23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221</v>
      </c>
      <c r="E9" s="172">
        <v>1.04047966472289E-4</v>
      </c>
      <c r="F9" s="172">
        <v>99</v>
      </c>
      <c r="G9" s="172">
        <v>28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218</v>
      </c>
      <c r="E10" s="172">
        <v>1.3086135707737501E-4</v>
      </c>
      <c r="F10" s="172">
        <v>20</v>
      </c>
      <c r="G10" s="172">
        <v>23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221</v>
      </c>
      <c r="E11" s="172">
        <v>4.5778979480174498E-4</v>
      </c>
      <c r="F11" s="172">
        <v>99</v>
      </c>
      <c r="G11" s="172">
        <v>28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218</v>
      </c>
      <c r="E12" s="172">
        <v>7.8998525382879405E-5</v>
      </c>
      <c r="F12" s="172">
        <v>20</v>
      </c>
      <c r="G12" s="172">
        <v>23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221</v>
      </c>
      <c r="E13" s="172">
        <v>3.9268769196779E-4</v>
      </c>
      <c r="F13" s="172">
        <v>99</v>
      </c>
      <c r="G13" s="172">
        <v>28</v>
      </c>
      <c r="H13" s="172">
        <v>0</v>
      </c>
      <c r="I13" s="172">
        <v>38.5</v>
      </c>
    </row>
    <row r="14" spans="2:9" hidden="1" x14ac:dyDescent="0.3">
      <c r="B14" s="172" t="s">
        <v>189</v>
      </c>
      <c r="C14" s="172" t="s">
        <v>246</v>
      </c>
      <c r="D14" s="172" t="s">
        <v>218</v>
      </c>
      <c r="E14" s="172">
        <v>1.5945039875312801E-4</v>
      </c>
      <c r="F14" s="172">
        <v>20</v>
      </c>
      <c r="G14" s="172">
        <v>23</v>
      </c>
      <c r="H14" s="172">
        <v>0</v>
      </c>
      <c r="I14" s="172">
        <v>38.5</v>
      </c>
    </row>
    <row r="15" spans="2:9" x14ac:dyDescent="0.3">
      <c r="B15" s="172" t="s">
        <v>187</v>
      </c>
      <c r="C15" s="172" t="s">
        <v>79</v>
      </c>
      <c r="D15" s="172" t="s">
        <v>218</v>
      </c>
      <c r="E15" s="172">
        <v>3.0972363066108301E-4</v>
      </c>
      <c r="F15" s="172">
        <v>91</v>
      </c>
      <c r="G15" s="172">
        <v>23.25</v>
      </c>
      <c r="H15" s="172">
        <v>31.25</v>
      </c>
      <c r="I15" s="172">
        <v>35.5</v>
      </c>
    </row>
    <row r="16" spans="2:9" hidden="1" x14ac:dyDescent="0.3">
      <c r="B16" s="172" t="s">
        <v>187</v>
      </c>
      <c r="C16" s="172" t="s">
        <v>79</v>
      </c>
      <c r="D16" s="172" t="s">
        <v>221</v>
      </c>
      <c r="E16" s="172">
        <v>4.8509425957481702E-5</v>
      </c>
      <c r="F16" s="172">
        <v>92</v>
      </c>
      <c r="G16" s="172">
        <v>-0.25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80</v>
      </c>
      <c r="D17" s="172" t="s">
        <v>218</v>
      </c>
      <c r="E17" s="172">
        <v>3.4799227375707E-4</v>
      </c>
      <c r="F17" s="172">
        <v>92</v>
      </c>
      <c r="G17" s="172">
        <v>-0.25</v>
      </c>
      <c r="H17" s="172">
        <v>-0.25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221</v>
      </c>
      <c r="E18" s="172">
        <v>9.7693244444047199E-5</v>
      </c>
      <c r="F18" s="172">
        <v>99</v>
      </c>
      <c r="G18" s="172">
        <v>28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81</v>
      </c>
      <c r="D19" s="172" t="s">
        <v>221</v>
      </c>
      <c r="E19" s="172">
        <v>4.1889370431332499E-4</v>
      </c>
      <c r="F19" s="172">
        <v>99</v>
      </c>
      <c r="G19" s="172">
        <v>28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82</v>
      </c>
      <c r="D20" s="172" t="s">
        <v>218</v>
      </c>
      <c r="E20" s="172">
        <v>4.7085286061547599E-5</v>
      </c>
      <c r="F20" s="172">
        <v>92</v>
      </c>
      <c r="G20" s="172">
        <v>-0.25</v>
      </c>
      <c r="H20" s="172">
        <v>-0.25</v>
      </c>
      <c r="I20" s="172">
        <v>35.5</v>
      </c>
    </row>
    <row r="21" spans="2:9" hidden="1" x14ac:dyDescent="0.3">
      <c r="B21" s="172" t="s">
        <v>187</v>
      </c>
      <c r="C21" s="172" t="s">
        <v>82</v>
      </c>
      <c r="D21" s="172" t="s">
        <v>221</v>
      </c>
      <c r="E21" s="172">
        <v>3.4906472573913101E-4</v>
      </c>
      <c r="F21" s="172">
        <v>99</v>
      </c>
      <c r="G21" s="172">
        <v>28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246</v>
      </c>
      <c r="D22" s="172" t="s">
        <v>218</v>
      </c>
      <c r="E22" s="172">
        <v>4.1481662635555203E-5</v>
      </c>
      <c r="F22" s="172">
        <v>92</v>
      </c>
      <c r="G22" s="172">
        <v>-0.25</v>
      </c>
      <c r="H22" s="172">
        <v>-0.25</v>
      </c>
      <c r="I22" s="172">
        <v>35.5</v>
      </c>
    </row>
    <row r="23" spans="2:9" hidden="1" x14ac:dyDescent="0.3">
      <c r="B23" s="172" t="s">
        <v>187</v>
      </c>
      <c r="C23" s="172" t="s">
        <v>246</v>
      </c>
      <c r="D23" s="172" t="s">
        <v>221</v>
      </c>
      <c r="E23" s="172">
        <v>2.4059025620257399E-5</v>
      </c>
      <c r="F23" s="172">
        <v>99</v>
      </c>
      <c r="G23" s="172">
        <v>28</v>
      </c>
      <c r="H23" s="172">
        <v>0</v>
      </c>
      <c r="I23" s="172">
        <v>35.5</v>
      </c>
    </row>
    <row r="24" spans="2:9" x14ac:dyDescent="0.3">
      <c r="B24" s="172" t="s">
        <v>185</v>
      </c>
      <c r="C24" s="172" t="s">
        <v>79</v>
      </c>
      <c r="D24" s="172" t="s">
        <v>218</v>
      </c>
      <c r="E24" s="172">
        <v>5.0898696247206397E-4</v>
      </c>
      <c r="F24" s="172">
        <v>91</v>
      </c>
      <c r="G24" s="172">
        <v>23.25</v>
      </c>
      <c r="H24" s="172">
        <v>31.25</v>
      </c>
      <c r="I24" s="172">
        <v>32</v>
      </c>
    </row>
    <row r="25" spans="2:9" hidden="1" x14ac:dyDescent="0.3">
      <c r="B25" s="172" t="s">
        <v>185</v>
      </c>
      <c r="C25" s="172" t="s">
        <v>79</v>
      </c>
      <c r="D25" s="172" t="s">
        <v>221</v>
      </c>
      <c r="E25" s="172">
        <v>8.74671372354911E-5</v>
      </c>
      <c r="F25" s="172">
        <v>92</v>
      </c>
      <c r="G25" s="172">
        <v>-0.25</v>
      </c>
      <c r="H25" s="172">
        <v>-0.25</v>
      </c>
      <c r="I25" s="172">
        <v>32</v>
      </c>
    </row>
    <row r="26" spans="2:9" hidden="1" x14ac:dyDescent="0.3">
      <c r="B26" s="172" t="s">
        <v>185</v>
      </c>
      <c r="C26" s="172" t="s">
        <v>80</v>
      </c>
      <c r="D26" s="172" t="s">
        <v>218</v>
      </c>
      <c r="E26" s="172">
        <v>5.3857949799241702E-4</v>
      </c>
      <c r="F26" s="172">
        <v>92</v>
      </c>
      <c r="G26" s="172">
        <v>-0.25</v>
      </c>
      <c r="H26" s="172">
        <v>-0.25</v>
      </c>
      <c r="I26" s="172">
        <v>32</v>
      </c>
    </row>
    <row r="27" spans="2:9" hidden="1" x14ac:dyDescent="0.3">
      <c r="B27" s="172" t="s">
        <v>185</v>
      </c>
      <c r="C27" s="172" t="s">
        <v>80</v>
      </c>
      <c r="D27" s="172" t="s">
        <v>221</v>
      </c>
      <c r="E27" s="172">
        <v>1.3445225124982701E-4</v>
      </c>
      <c r="F27" s="172">
        <v>99</v>
      </c>
      <c r="G27" s="172">
        <v>28</v>
      </c>
      <c r="H27" s="172">
        <v>0</v>
      </c>
      <c r="I27" s="172">
        <v>32</v>
      </c>
    </row>
    <row r="28" spans="2:9" hidden="1" x14ac:dyDescent="0.3">
      <c r="B28" s="172" t="s">
        <v>185</v>
      </c>
      <c r="C28" s="172" t="s">
        <v>81</v>
      </c>
      <c r="D28" s="172" t="s">
        <v>221</v>
      </c>
      <c r="E28" s="172">
        <v>6.3516214000160698E-4</v>
      </c>
      <c r="F28" s="172">
        <v>99</v>
      </c>
      <c r="G28" s="172">
        <v>28</v>
      </c>
      <c r="H28" s="172">
        <v>0</v>
      </c>
      <c r="I28" s="172">
        <v>32</v>
      </c>
    </row>
    <row r="29" spans="2:9" hidden="1" x14ac:dyDescent="0.3">
      <c r="B29" s="172" t="s">
        <v>185</v>
      </c>
      <c r="C29" s="172" t="s">
        <v>82</v>
      </c>
      <c r="D29" s="172" t="s">
        <v>221</v>
      </c>
      <c r="E29" s="172">
        <v>5.5445444937321996E-4</v>
      </c>
      <c r="F29" s="172">
        <v>92</v>
      </c>
      <c r="G29" s="172">
        <v>-0.25</v>
      </c>
      <c r="H29" s="172">
        <v>-0.25</v>
      </c>
      <c r="I29" s="172">
        <v>32</v>
      </c>
    </row>
    <row r="30" spans="2:9" hidden="1" x14ac:dyDescent="0.3">
      <c r="B30" s="172" t="s">
        <v>185</v>
      </c>
      <c r="C30" s="172" t="s">
        <v>246</v>
      </c>
      <c r="D30" s="172" t="s">
        <v>218</v>
      </c>
      <c r="E30" s="172">
        <v>4.1583049810462197E-5</v>
      </c>
      <c r="F30" s="172">
        <v>92</v>
      </c>
      <c r="G30" s="172">
        <v>-0.25</v>
      </c>
      <c r="H30" s="172">
        <v>-0.25</v>
      </c>
      <c r="I30" s="172">
        <v>32</v>
      </c>
    </row>
    <row r="31" spans="2:9" hidden="1" x14ac:dyDescent="0.3">
      <c r="B31" s="172" t="s">
        <v>185</v>
      </c>
      <c r="C31" s="172" t="s">
        <v>246</v>
      </c>
      <c r="D31" s="172" t="s">
        <v>221</v>
      </c>
      <c r="E31" s="172">
        <v>2.17867672609282E-5</v>
      </c>
      <c r="F31" s="172">
        <v>99</v>
      </c>
      <c r="G31" s="172">
        <v>28</v>
      </c>
      <c r="H31" s="172">
        <v>0</v>
      </c>
      <c r="I31" s="172">
        <v>32</v>
      </c>
    </row>
    <row r="32" spans="2:9" x14ac:dyDescent="0.3">
      <c r="B32" s="172" t="s">
        <v>183</v>
      </c>
      <c r="C32" s="172" t="s">
        <v>79</v>
      </c>
      <c r="D32" s="172" t="s">
        <v>218</v>
      </c>
      <c r="E32" s="172">
        <v>6.9814013317878796E-4</v>
      </c>
      <c r="F32" s="172">
        <v>91</v>
      </c>
      <c r="G32" s="172">
        <v>23.25</v>
      </c>
      <c r="H32" s="172">
        <v>31.25</v>
      </c>
      <c r="I32" s="172">
        <v>28.5</v>
      </c>
    </row>
    <row r="33" spans="2:9" hidden="1" x14ac:dyDescent="0.3">
      <c r="B33" s="172" t="s">
        <v>183</v>
      </c>
      <c r="C33" s="172" t="s">
        <v>79</v>
      </c>
      <c r="D33" s="172" t="s">
        <v>221</v>
      </c>
      <c r="E33" s="172">
        <v>1.2585056551567801E-4</v>
      </c>
      <c r="F33" s="172">
        <v>92</v>
      </c>
      <c r="G33" s="172">
        <v>-0.25</v>
      </c>
      <c r="H33" s="172">
        <v>-0.25</v>
      </c>
      <c r="I33" s="172">
        <v>28.5</v>
      </c>
    </row>
    <row r="34" spans="2:9" hidden="1" x14ac:dyDescent="0.3">
      <c r="B34" s="172" t="s">
        <v>183</v>
      </c>
      <c r="C34" s="172" t="s">
        <v>80</v>
      </c>
      <c r="D34" s="172" t="s">
        <v>218</v>
      </c>
      <c r="E34" s="172">
        <v>7.1530053290041703E-4</v>
      </c>
      <c r="F34" s="172">
        <v>92</v>
      </c>
      <c r="G34" s="172">
        <v>-0.25</v>
      </c>
      <c r="H34" s="172">
        <v>-0.25</v>
      </c>
      <c r="I34" s="172">
        <v>28.5</v>
      </c>
    </row>
    <row r="35" spans="2:9" hidden="1" x14ac:dyDescent="0.3">
      <c r="B35" s="172" t="s">
        <v>183</v>
      </c>
      <c r="C35" s="172" t="s">
        <v>80</v>
      </c>
      <c r="D35" s="172" t="s">
        <v>221</v>
      </c>
      <c r="E35" s="172">
        <v>1.66367669100511E-4</v>
      </c>
      <c r="F35" s="172">
        <v>99</v>
      </c>
      <c r="G35" s="172">
        <v>28</v>
      </c>
      <c r="H35" s="172">
        <v>0</v>
      </c>
      <c r="I35" s="172">
        <v>28.5</v>
      </c>
    </row>
    <row r="36" spans="2:9" hidden="1" x14ac:dyDescent="0.3">
      <c r="B36" s="172" t="s">
        <v>183</v>
      </c>
      <c r="C36" s="172" t="s">
        <v>81</v>
      </c>
      <c r="D36" s="172" t="s">
        <v>221</v>
      </c>
      <c r="E36" s="172">
        <v>8.3361936306191296E-4</v>
      </c>
      <c r="F36" s="172">
        <v>99</v>
      </c>
      <c r="G36" s="172">
        <v>28</v>
      </c>
      <c r="H36" s="172">
        <v>0</v>
      </c>
      <c r="I36" s="172">
        <v>28.5</v>
      </c>
    </row>
    <row r="37" spans="2:9" hidden="1" x14ac:dyDescent="0.3">
      <c r="B37" s="172" t="s">
        <v>183</v>
      </c>
      <c r="C37" s="172" t="s">
        <v>82</v>
      </c>
      <c r="D37" s="172" t="s">
        <v>221</v>
      </c>
      <c r="E37" s="172">
        <v>7.7061168512218797E-4</v>
      </c>
      <c r="F37" s="172">
        <v>92</v>
      </c>
      <c r="G37" s="172">
        <v>-0.25</v>
      </c>
      <c r="H37" s="172">
        <v>-0.25</v>
      </c>
      <c r="I37" s="172">
        <v>28.5</v>
      </c>
    </row>
    <row r="38" spans="2:9" hidden="1" x14ac:dyDescent="0.3">
      <c r="B38" s="172" t="s">
        <v>183</v>
      </c>
      <c r="C38" s="172" t="s">
        <v>246</v>
      </c>
      <c r="D38" s="172" t="s">
        <v>218</v>
      </c>
      <c r="E38" s="172">
        <v>4.0135898490390603E-5</v>
      </c>
      <c r="F38" s="172">
        <v>92</v>
      </c>
      <c r="G38" s="172">
        <v>-0.25</v>
      </c>
      <c r="H38" s="172">
        <v>-0.25</v>
      </c>
      <c r="I38" s="172">
        <v>28.5</v>
      </c>
    </row>
    <row r="39" spans="2:9" hidden="1" x14ac:dyDescent="0.3">
      <c r="B39" s="172" t="s">
        <v>183</v>
      </c>
      <c r="C39" s="172" t="s">
        <v>246</v>
      </c>
      <c r="D39" s="172" t="s">
        <v>221</v>
      </c>
      <c r="E39" s="172">
        <v>2.06187574809571E-5</v>
      </c>
      <c r="F39" s="172">
        <v>99</v>
      </c>
      <c r="G39" s="172">
        <v>28</v>
      </c>
      <c r="H39" s="172">
        <v>0</v>
      </c>
      <c r="I39" s="172">
        <v>28.5</v>
      </c>
    </row>
    <row r="40" spans="2:9" x14ac:dyDescent="0.3">
      <c r="B40" s="172" t="s">
        <v>181</v>
      </c>
      <c r="C40" s="172" t="s">
        <v>79</v>
      </c>
      <c r="D40" s="172" t="s">
        <v>218</v>
      </c>
      <c r="E40" s="172">
        <v>8.5811965750832097E-4</v>
      </c>
      <c r="F40" s="172">
        <v>91</v>
      </c>
      <c r="G40" s="172">
        <v>23.25</v>
      </c>
      <c r="H40" s="172">
        <v>31.25</v>
      </c>
      <c r="I40" s="172">
        <v>25</v>
      </c>
    </row>
    <row r="41" spans="2:9" hidden="1" x14ac:dyDescent="0.3">
      <c r="B41" s="172" t="s">
        <v>181</v>
      </c>
      <c r="C41" s="172" t="s">
        <v>79</v>
      </c>
      <c r="D41" s="172" t="s">
        <v>221</v>
      </c>
      <c r="E41" s="172">
        <v>1.5870452557242699E-4</v>
      </c>
      <c r="F41" s="172">
        <v>92</v>
      </c>
      <c r="G41" s="172">
        <v>-0.25</v>
      </c>
      <c r="H41" s="172">
        <v>-0.25</v>
      </c>
      <c r="I41" s="172">
        <v>25</v>
      </c>
    </row>
    <row r="42" spans="2:9" hidden="1" x14ac:dyDescent="0.3">
      <c r="B42" s="172" t="s">
        <v>181</v>
      </c>
      <c r="C42" s="172" t="s">
        <v>80</v>
      </c>
      <c r="D42" s="172" t="s">
        <v>218</v>
      </c>
      <c r="E42" s="172">
        <v>8.63465383589818E-4</v>
      </c>
      <c r="F42" s="172">
        <v>92</v>
      </c>
      <c r="G42" s="172">
        <v>-0.25</v>
      </c>
      <c r="H42" s="172">
        <v>-0.25</v>
      </c>
      <c r="I42" s="172">
        <v>25</v>
      </c>
    </row>
    <row r="43" spans="2:9" hidden="1" x14ac:dyDescent="0.3">
      <c r="B43" s="172" t="s">
        <v>181</v>
      </c>
      <c r="C43" s="172" t="s">
        <v>80</v>
      </c>
      <c r="D43" s="172" t="s">
        <v>221</v>
      </c>
      <c r="E43" s="172">
        <v>1.9242090444113199E-4</v>
      </c>
      <c r="F43" s="172">
        <v>85</v>
      </c>
      <c r="G43" s="172">
        <v>28</v>
      </c>
      <c r="H43" s="172">
        <v>4</v>
      </c>
      <c r="I43" s="172">
        <v>25</v>
      </c>
    </row>
    <row r="44" spans="2:9" hidden="1" x14ac:dyDescent="0.3">
      <c r="B44" s="172" t="s">
        <v>181</v>
      </c>
      <c r="C44" s="172" t="s">
        <v>81</v>
      </c>
      <c r="D44" s="172" t="s">
        <v>221</v>
      </c>
      <c r="E44" s="172">
        <v>9.9889190730650403E-4</v>
      </c>
      <c r="F44" s="172">
        <v>99</v>
      </c>
      <c r="G44" s="172">
        <v>28</v>
      </c>
      <c r="H44" s="172">
        <v>0</v>
      </c>
      <c r="I44" s="172">
        <v>25</v>
      </c>
    </row>
    <row r="45" spans="2:9" hidden="1" x14ac:dyDescent="0.3">
      <c r="B45" s="172" t="s">
        <v>181</v>
      </c>
      <c r="C45" s="172" t="s">
        <v>82</v>
      </c>
      <c r="D45" s="172" t="s">
        <v>221</v>
      </c>
      <c r="E45" s="172">
        <v>9.5319197636682597E-4</v>
      </c>
      <c r="F45" s="172">
        <v>92</v>
      </c>
      <c r="G45" s="172">
        <v>-0.25</v>
      </c>
      <c r="H45" s="172">
        <v>-0.25</v>
      </c>
      <c r="I45" s="172">
        <v>25</v>
      </c>
    </row>
    <row r="46" spans="2:9" hidden="1" x14ac:dyDescent="0.3">
      <c r="B46" s="172" t="s">
        <v>181</v>
      </c>
      <c r="C46" s="172" t="s">
        <v>246</v>
      </c>
      <c r="D46" s="172" t="s">
        <v>218</v>
      </c>
      <c r="E46" s="172">
        <v>3.7554716504009498E-5</v>
      </c>
      <c r="F46" s="172">
        <v>92</v>
      </c>
      <c r="G46" s="172">
        <v>-0.25</v>
      </c>
      <c r="H46" s="172">
        <v>-0.25</v>
      </c>
      <c r="I46" s="172">
        <v>25</v>
      </c>
    </row>
    <row r="47" spans="2:9" hidden="1" x14ac:dyDescent="0.3">
      <c r="B47" s="172" t="s">
        <v>181</v>
      </c>
      <c r="C47" s="172" t="s">
        <v>246</v>
      </c>
      <c r="D47" s="172" t="s">
        <v>221</v>
      </c>
      <c r="E47" s="172">
        <v>1.9129888592597401E-5</v>
      </c>
      <c r="F47" s="172">
        <v>99</v>
      </c>
      <c r="G47" s="172">
        <v>28</v>
      </c>
      <c r="H47" s="172">
        <v>0</v>
      </c>
      <c r="I47" s="172">
        <v>25</v>
      </c>
    </row>
    <row r="48" spans="2:9" x14ac:dyDescent="0.3">
      <c r="B48" s="172" t="s">
        <v>179</v>
      </c>
      <c r="C48" s="172" t="s">
        <v>79</v>
      </c>
      <c r="D48" s="172" t="s">
        <v>218</v>
      </c>
      <c r="E48" s="172">
        <v>9.829954649038671E-4</v>
      </c>
      <c r="F48" s="172">
        <v>91</v>
      </c>
      <c r="G48" s="172">
        <v>23.25</v>
      </c>
      <c r="H48" s="172">
        <v>31.25</v>
      </c>
      <c r="I48" s="172">
        <v>21.5</v>
      </c>
    </row>
    <row r="49" spans="2:9" hidden="1" x14ac:dyDescent="0.3">
      <c r="B49" s="172" t="s">
        <v>179</v>
      </c>
      <c r="C49" s="172" t="s">
        <v>80</v>
      </c>
      <c r="D49" s="172" t="s">
        <v>218</v>
      </c>
      <c r="E49" s="172">
        <v>9.7750662016480899E-4</v>
      </c>
      <c r="F49" s="172">
        <v>92</v>
      </c>
      <c r="G49" s="172">
        <v>-0.25</v>
      </c>
      <c r="H49" s="172">
        <v>-0.25</v>
      </c>
      <c r="I49" s="172">
        <v>21.5</v>
      </c>
    </row>
    <row r="50" spans="2:9" hidden="1" x14ac:dyDescent="0.3">
      <c r="B50" s="172" t="s">
        <v>179</v>
      </c>
      <c r="C50" s="172" t="s">
        <v>80</v>
      </c>
      <c r="D50" s="172" t="s">
        <v>221</v>
      </c>
      <c r="E50" s="172">
        <v>2.1121990819977701E-4</v>
      </c>
      <c r="F50" s="172">
        <v>99</v>
      </c>
      <c r="G50" s="172">
        <v>28</v>
      </c>
      <c r="H50" s="172">
        <v>0</v>
      </c>
      <c r="I50" s="172">
        <v>21.5</v>
      </c>
    </row>
    <row r="51" spans="2:9" hidden="1" x14ac:dyDescent="0.3">
      <c r="B51" s="172" t="s">
        <v>179</v>
      </c>
      <c r="C51" s="172" t="s">
        <v>81</v>
      </c>
      <c r="D51" s="172" t="s">
        <v>221</v>
      </c>
      <c r="E51" s="172">
        <v>1.1255669348653899E-3</v>
      </c>
      <c r="F51" s="172">
        <v>99</v>
      </c>
      <c r="G51" s="172">
        <v>28</v>
      </c>
      <c r="H51" s="172">
        <v>0</v>
      </c>
      <c r="I51" s="172">
        <v>21.5</v>
      </c>
    </row>
    <row r="52" spans="2:9" hidden="1" x14ac:dyDescent="0.3">
      <c r="B52" s="172" t="s">
        <v>179</v>
      </c>
      <c r="C52" s="172" t="s">
        <v>82</v>
      </c>
      <c r="D52" s="172" t="s">
        <v>221</v>
      </c>
      <c r="E52" s="172">
        <v>1.09486357538714E-3</v>
      </c>
      <c r="F52" s="172">
        <v>92</v>
      </c>
      <c r="G52" s="172">
        <v>-0.25</v>
      </c>
      <c r="H52" s="172">
        <v>-0.25</v>
      </c>
      <c r="I52" s="172">
        <v>21.5</v>
      </c>
    </row>
    <row r="53" spans="2:9" hidden="1" x14ac:dyDescent="0.3">
      <c r="B53" s="172" t="s">
        <v>179</v>
      </c>
      <c r="C53" s="172" t="s">
        <v>246</v>
      </c>
      <c r="D53" s="172" t="s">
        <v>218</v>
      </c>
      <c r="E53" s="172">
        <v>3.3980512520601198E-5</v>
      </c>
      <c r="F53" s="172">
        <v>92</v>
      </c>
      <c r="G53" s="172">
        <v>-0.25</v>
      </c>
      <c r="H53" s="172">
        <v>-0.25</v>
      </c>
      <c r="I53" s="172">
        <v>21.5</v>
      </c>
    </row>
    <row r="54" spans="2:9" hidden="1" x14ac:dyDescent="0.3">
      <c r="B54" s="172" t="s">
        <v>179</v>
      </c>
      <c r="C54" s="172" t="s">
        <v>246</v>
      </c>
      <c r="D54" s="172" t="s">
        <v>221</v>
      </c>
      <c r="E54" s="172">
        <v>1.7408118763379E-5</v>
      </c>
      <c r="F54" s="172">
        <v>99</v>
      </c>
      <c r="G54" s="172">
        <v>28</v>
      </c>
      <c r="H54" s="172">
        <v>0</v>
      </c>
      <c r="I54" s="172">
        <v>21.5</v>
      </c>
    </row>
    <row r="55" spans="2:9" x14ac:dyDescent="0.3">
      <c r="B55" s="172" t="s">
        <v>39</v>
      </c>
      <c r="C55" s="172" t="s">
        <v>79</v>
      </c>
      <c r="D55" s="172" t="s">
        <v>218</v>
      </c>
      <c r="E55" s="172">
        <v>1.0385241599503599E-3</v>
      </c>
      <c r="F55" s="172">
        <v>91</v>
      </c>
      <c r="G55" s="172">
        <v>23.25</v>
      </c>
      <c r="H55" s="172">
        <v>31.25</v>
      </c>
      <c r="I55" s="172">
        <v>18</v>
      </c>
    </row>
    <row r="56" spans="2:9" hidden="1" x14ac:dyDescent="0.3">
      <c r="B56" s="172" t="s">
        <v>39</v>
      </c>
      <c r="C56" s="172" t="s">
        <v>80</v>
      </c>
      <c r="D56" s="172" t="s">
        <v>218</v>
      </c>
      <c r="E56" s="172">
        <v>1.01759890805316E-3</v>
      </c>
      <c r="F56" s="172">
        <v>92</v>
      </c>
      <c r="G56" s="172">
        <v>-0.25</v>
      </c>
      <c r="H56" s="172">
        <v>-0.25</v>
      </c>
      <c r="I56" s="172">
        <v>18</v>
      </c>
    </row>
    <row r="57" spans="2:9" hidden="1" x14ac:dyDescent="0.3">
      <c r="B57" s="172" t="s">
        <v>39</v>
      </c>
      <c r="C57" s="172" t="s">
        <v>80</v>
      </c>
      <c r="D57" s="172" t="s">
        <v>221</v>
      </c>
      <c r="E57" s="172">
        <v>2.09920585092032E-4</v>
      </c>
      <c r="F57" s="172">
        <v>99</v>
      </c>
      <c r="G57" s="172">
        <v>28</v>
      </c>
      <c r="H57" s="172">
        <v>0</v>
      </c>
      <c r="I57" s="172">
        <v>18</v>
      </c>
    </row>
    <row r="58" spans="2:9" hidden="1" x14ac:dyDescent="0.3">
      <c r="B58" s="172" t="s">
        <v>39</v>
      </c>
      <c r="C58" s="172" t="s">
        <v>81</v>
      </c>
      <c r="D58" s="172" t="s">
        <v>221</v>
      </c>
      <c r="E58" s="172">
        <v>1.1809243541993999E-3</v>
      </c>
      <c r="F58" s="172">
        <v>99</v>
      </c>
      <c r="G58" s="172">
        <v>28</v>
      </c>
      <c r="H58" s="172">
        <v>0</v>
      </c>
      <c r="I58" s="172">
        <v>18</v>
      </c>
    </row>
    <row r="59" spans="2:9" hidden="1" x14ac:dyDescent="0.3">
      <c r="B59" s="172" t="s">
        <v>39</v>
      </c>
      <c r="C59" s="172" t="s">
        <v>82</v>
      </c>
      <c r="D59" s="172" t="s">
        <v>221</v>
      </c>
      <c r="E59" s="172">
        <v>1.1588446855402899E-3</v>
      </c>
      <c r="F59" s="172">
        <v>92</v>
      </c>
      <c r="G59" s="172">
        <v>-0.25</v>
      </c>
      <c r="H59" s="172">
        <v>-0.25</v>
      </c>
      <c r="I59" s="172">
        <v>18</v>
      </c>
    </row>
    <row r="60" spans="2:9" hidden="1" x14ac:dyDescent="0.3">
      <c r="B60" s="172" t="s">
        <v>39</v>
      </c>
      <c r="C60" s="172" t="s">
        <v>246</v>
      </c>
      <c r="D60" s="172" t="s">
        <v>218</v>
      </c>
      <c r="E60" s="172">
        <v>2.89404262857257E-5</v>
      </c>
      <c r="F60" s="172">
        <v>92</v>
      </c>
      <c r="G60" s="172">
        <v>-0.25</v>
      </c>
      <c r="H60" s="172">
        <v>-0.25</v>
      </c>
      <c r="I60" s="172">
        <v>18</v>
      </c>
    </row>
    <row r="61" spans="2:9" hidden="1" x14ac:dyDescent="0.3">
      <c r="B61" s="172" t="s">
        <v>39</v>
      </c>
      <c r="C61" s="172" t="s">
        <v>246</v>
      </c>
      <c r="D61" s="172" t="s">
        <v>221</v>
      </c>
      <c r="E61" s="172">
        <v>1.5642951060608801E-5</v>
      </c>
      <c r="F61" s="172">
        <v>99</v>
      </c>
      <c r="G61" s="172">
        <v>28</v>
      </c>
      <c r="H61" s="172">
        <v>0</v>
      </c>
      <c r="I61" s="172">
        <v>18</v>
      </c>
    </row>
    <row r="62" spans="2:9" x14ac:dyDescent="0.3">
      <c r="B62" s="172" t="s">
        <v>26</v>
      </c>
      <c r="C62" s="172" t="s">
        <v>79</v>
      </c>
      <c r="D62" s="172" t="s">
        <v>218</v>
      </c>
      <c r="E62" s="172">
        <v>1.0704638613889101E-3</v>
      </c>
      <c r="F62" s="172">
        <v>91</v>
      </c>
      <c r="G62" s="172">
        <v>23.25</v>
      </c>
      <c r="H62" s="172">
        <v>31.25</v>
      </c>
      <c r="I62" s="172">
        <v>14.5</v>
      </c>
    </row>
    <row r="63" spans="2:9" hidden="1" x14ac:dyDescent="0.3">
      <c r="B63" s="172" t="s">
        <v>26</v>
      </c>
      <c r="C63" s="172" t="s">
        <v>80</v>
      </c>
      <c r="D63" s="172" t="s">
        <v>218</v>
      </c>
      <c r="E63" s="172">
        <v>1.0344423607955701E-3</v>
      </c>
      <c r="F63" s="172">
        <v>92</v>
      </c>
      <c r="G63" s="172">
        <v>-0.25</v>
      </c>
      <c r="H63" s="172">
        <v>-0.25</v>
      </c>
      <c r="I63" s="172">
        <v>14.5</v>
      </c>
    </row>
    <row r="64" spans="2:9" hidden="1" x14ac:dyDescent="0.3">
      <c r="B64" s="172" t="s">
        <v>26</v>
      </c>
      <c r="C64" s="172" t="s">
        <v>80</v>
      </c>
      <c r="D64" s="172" t="s">
        <v>221</v>
      </c>
      <c r="E64" s="172">
        <v>2.03284627597469E-4</v>
      </c>
      <c r="F64" s="172">
        <v>85</v>
      </c>
      <c r="G64" s="172">
        <v>28</v>
      </c>
      <c r="H64" s="172">
        <v>4</v>
      </c>
      <c r="I64" s="172">
        <v>14.5</v>
      </c>
    </row>
    <row r="65" spans="2:9" hidden="1" x14ac:dyDescent="0.3">
      <c r="B65" s="172" t="s">
        <v>26</v>
      </c>
      <c r="C65" s="172" t="s">
        <v>81</v>
      </c>
      <c r="D65" s="172" t="s">
        <v>221</v>
      </c>
      <c r="E65" s="172">
        <v>1.21049056082739E-3</v>
      </c>
      <c r="F65" s="172">
        <v>99</v>
      </c>
      <c r="G65" s="172">
        <v>28</v>
      </c>
      <c r="H65" s="172">
        <v>0</v>
      </c>
      <c r="I65" s="172">
        <v>14.5</v>
      </c>
    </row>
    <row r="66" spans="2:9" hidden="1" x14ac:dyDescent="0.3">
      <c r="B66" s="172" t="s">
        <v>26</v>
      </c>
      <c r="C66" s="172" t="s">
        <v>82</v>
      </c>
      <c r="D66" s="172" t="s">
        <v>221</v>
      </c>
      <c r="E66" s="172">
        <v>1.1976758559095299E-3</v>
      </c>
      <c r="F66" s="172">
        <v>92</v>
      </c>
      <c r="G66" s="172">
        <v>-0.25</v>
      </c>
      <c r="H66" s="172">
        <v>-0.25</v>
      </c>
      <c r="I66" s="172">
        <v>14.5</v>
      </c>
    </row>
    <row r="67" spans="2:9" hidden="1" x14ac:dyDescent="0.3">
      <c r="B67" s="172" t="s">
        <v>26</v>
      </c>
      <c r="C67" s="172" t="s">
        <v>246</v>
      </c>
      <c r="D67" s="172" t="s">
        <v>218</v>
      </c>
      <c r="E67" s="172">
        <v>2.3073499168079701E-5</v>
      </c>
      <c r="F67" s="172">
        <v>92</v>
      </c>
      <c r="G67" s="172">
        <v>-0.25</v>
      </c>
      <c r="H67" s="172">
        <v>-0.25</v>
      </c>
      <c r="I67" s="172">
        <v>14.5</v>
      </c>
    </row>
    <row r="68" spans="2:9" hidden="1" x14ac:dyDescent="0.3">
      <c r="B68" s="172" t="s">
        <v>26</v>
      </c>
      <c r="C68" s="172" t="s">
        <v>246</v>
      </c>
      <c r="D68" s="172" t="s">
        <v>221</v>
      </c>
      <c r="E68" s="172">
        <v>1.35171876013631E-5</v>
      </c>
      <c r="F68" s="172">
        <v>99</v>
      </c>
      <c r="G68" s="172">
        <v>28</v>
      </c>
      <c r="H68" s="172">
        <v>0</v>
      </c>
      <c r="I68" s="172">
        <v>14.5</v>
      </c>
    </row>
    <row r="69" spans="2:9" x14ac:dyDescent="0.3">
      <c r="B69" s="172" t="s">
        <v>25</v>
      </c>
      <c r="C69" s="172" t="s">
        <v>79</v>
      </c>
      <c r="D69" s="172" t="s">
        <v>218</v>
      </c>
      <c r="E69" s="172">
        <v>1.12158366267139E-3</v>
      </c>
      <c r="F69" s="172">
        <v>91</v>
      </c>
      <c r="G69" s="172">
        <v>23.25</v>
      </c>
      <c r="H69" s="172">
        <v>31.25</v>
      </c>
      <c r="I69" s="172">
        <v>11</v>
      </c>
    </row>
    <row r="70" spans="2:9" hidden="1" x14ac:dyDescent="0.3">
      <c r="B70" s="172" t="s">
        <v>25</v>
      </c>
      <c r="C70" s="172" t="s">
        <v>80</v>
      </c>
      <c r="D70" s="172" t="s">
        <v>218</v>
      </c>
      <c r="E70" s="172">
        <v>1.07624302286926E-3</v>
      </c>
      <c r="F70" s="172">
        <v>92</v>
      </c>
      <c r="G70" s="172">
        <v>-0.25</v>
      </c>
      <c r="H70" s="172">
        <v>-0.25</v>
      </c>
      <c r="I70" s="172">
        <v>11</v>
      </c>
    </row>
    <row r="71" spans="2:9" hidden="1" x14ac:dyDescent="0.3">
      <c r="B71" s="172" t="s">
        <v>25</v>
      </c>
      <c r="C71" s="172" t="s">
        <v>80</v>
      </c>
      <c r="D71" s="172" t="s">
        <v>221</v>
      </c>
      <c r="E71" s="172">
        <v>2.0562046464914601E-4</v>
      </c>
      <c r="F71" s="172">
        <v>99</v>
      </c>
      <c r="G71" s="172">
        <v>28</v>
      </c>
      <c r="H71" s="172">
        <v>0</v>
      </c>
      <c r="I71" s="172">
        <v>11</v>
      </c>
    </row>
    <row r="72" spans="2:9" hidden="1" x14ac:dyDescent="0.3">
      <c r="B72" s="172" t="s">
        <v>25</v>
      </c>
      <c r="C72" s="172" t="s">
        <v>81</v>
      </c>
      <c r="D72" s="172" t="s">
        <v>221</v>
      </c>
      <c r="E72" s="172">
        <v>1.25385836815689E-3</v>
      </c>
      <c r="F72" s="172">
        <v>99</v>
      </c>
      <c r="G72" s="172">
        <v>28</v>
      </c>
      <c r="H72" s="172">
        <v>0</v>
      </c>
      <c r="I72" s="172">
        <v>11</v>
      </c>
    </row>
    <row r="73" spans="2:9" hidden="1" x14ac:dyDescent="0.3">
      <c r="B73" s="172" t="s">
        <v>25</v>
      </c>
      <c r="C73" s="172" t="s">
        <v>82</v>
      </c>
      <c r="D73" s="172" t="s">
        <v>221</v>
      </c>
      <c r="E73" s="172">
        <v>1.2574056131302699E-3</v>
      </c>
      <c r="F73" s="172">
        <v>92</v>
      </c>
      <c r="G73" s="172">
        <v>-0.25</v>
      </c>
      <c r="H73" s="172">
        <v>-0.25</v>
      </c>
      <c r="I73" s="172">
        <v>11</v>
      </c>
    </row>
    <row r="74" spans="2:9" hidden="1" x14ac:dyDescent="0.3">
      <c r="B74" s="172" t="s">
        <v>25</v>
      </c>
      <c r="C74" s="172" t="s">
        <v>246</v>
      </c>
      <c r="D74" s="172" t="s">
        <v>218</v>
      </c>
      <c r="E74" s="172">
        <v>1.6883404980231402E-5</v>
      </c>
      <c r="F74" s="172">
        <v>92</v>
      </c>
      <c r="G74" s="172">
        <v>-0.25</v>
      </c>
      <c r="H74" s="172">
        <v>-0.25</v>
      </c>
      <c r="I74" s="172">
        <v>11</v>
      </c>
    </row>
    <row r="75" spans="2:9" hidden="1" x14ac:dyDescent="0.3">
      <c r="B75" s="172" t="s">
        <v>25</v>
      </c>
      <c r="C75" s="172" t="s">
        <v>246</v>
      </c>
      <c r="D75" s="172" t="s">
        <v>221</v>
      </c>
      <c r="E75" s="172">
        <v>1.06395124186606E-5</v>
      </c>
      <c r="F75" s="172">
        <v>99</v>
      </c>
      <c r="G75" s="172">
        <v>28</v>
      </c>
      <c r="H75" s="172">
        <v>0</v>
      </c>
      <c r="I75" s="172">
        <v>11</v>
      </c>
    </row>
    <row r="76" spans="2:9" x14ac:dyDescent="0.3">
      <c r="B76" s="172" t="s">
        <v>24</v>
      </c>
      <c r="C76" s="172" t="s">
        <v>79</v>
      </c>
      <c r="D76" s="172" t="s">
        <v>218</v>
      </c>
      <c r="E76" s="172">
        <v>1.1310609943379899E-3</v>
      </c>
      <c r="F76" s="172">
        <v>91</v>
      </c>
      <c r="G76" s="172">
        <v>23.25</v>
      </c>
      <c r="H76" s="172">
        <v>31.25</v>
      </c>
      <c r="I76" s="172">
        <v>7.5</v>
      </c>
    </row>
    <row r="77" spans="2:9" hidden="1" x14ac:dyDescent="0.3">
      <c r="B77" s="172" t="s">
        <v>24</v>
      </c>
      <c r="C77" s="172" t="s">
        <v>80</v>
      </c>
      <c r="D77" s="172" t="s">
        <v>218</v>
      </c>
      <c r="E77" s="172">
        <v>1.08370122622849E-3</v>
      </c>
      <c r="F77" s="172">
        <v>92</v>
      </c>
      <c r="G77" s="172">
        <v>-0.25</v>
      </c>
      <c r="H77" s="172">
        <v>-0.25</v>
      </c>
      <c r="I77" s="172">
        <v>7.5</v>
      </c>
    </row>
    <row r="78" spans="2:9" hidden="1" x14ac:dyDescent="0.3">
      <c r="B78" s="172" t="s">
        <v>24</v>
      </c>
      <c r="C78" s="172" t="s">
        <v>80</v>
      </c>
      <c r="D78" s="172" t="s">
        <v>221</v>
      </c>
      <c r="E78" s="172">
        <v>2.0322244058488401E-4</v>
      </c>
      <c r="F78" s="172">
        <v>99</v>
      </c>
      <c r="G78" s="172">
        <v>28</v>
      </c>
      <c r="H78" s="172">
        <v>0</v>
      </c>
      <c r="I78" s="172">
        <v>7.5</v>
      </c>
    </row>
    <row r="79" spans="2:9" hidden="1" x14ac:dyDescent="0.3">
      <c r="B79" s="172" t="s">
        <v>24</v>
      </c>
      <c r="C79" s="172" t="s">
        <v>81</v>
      </c>
      <c r="D79" s="172" t="s">
        <v>221</v>
      </c>
      <c r="E79" s="172">
        <v>1.2452995753301E-3</v>
      </c>
      <c r="F79" s="172">
        <v>99</v>
      </c>
      <c r="G79" s="172">
        <v>28</v>
      </c>
      <c r="H79" s="172">
        <v>0</v>
      </c>
      <c r="I79" s="172">
        <v>7.5</v>
      </c>
    </row>
    <row r="80" spans="2:9" hidden="1" x14ac:dyDescent="0.3">
      <c r="B80" s="172" t="s">
        <v>24</v>
      </c>
      <c r="C80" s="172" t="s">
        <v>82</v>
      </c>
      <c r="D80" s="172" t="s">
        <v>221</v>
      </c>
      <c r="E80" s="172">
        <v>1.25965094418649E-3</v>
      </c>
      <c r="F80" s="172">
        <v>92</v>
      </c>
      <c r="G80" s="172">
        <v>-0.25</v>
      </c>
      <c r="H80" s="172">
        <v>-0.25</v>
      </c>
      <c r="I80" s="172">
        <v>7.5</v>
      </c>
    </row>
    <row r="81" spans="2:9" hidden="1" x14ac:dyDescent="0.3">
      <c r="B81" s="172" t="s">
        <v>24</v>
      </c>
      <c r="C81" s="172" t="s">
        <v>246</v>
      </c>
      <c r="D81" s="172" t="s">
        <v>218</v>
      </c>
      <c r="E81" s="172">
        <v>1.01679173196337E-5</v>
      </c>
      <c r="F81" s="172">
        <v>92</v>
      </c>
      <c r="G81" s="172">
        <v>-0.25</v>
      </c>
      <c r="H81" s="172">
        <v>-0.25</v>
      </c>
      <c r="I81" s="172">
        <v>7.5</v>
      </c>
    </row>
    <row r="82" spans="2:9" hidden="1" x14ac:dyDescent="0.3">
      <c r="B82" s="172" t="s">
        <v>24</v>
      </c>
      <c r="C82" s="172" t="s">
        <v>246</v>
      </c>
      <c r="D82" s="172" t="s">
        <v>221</v>
      </c>
      <c r="E82" s="172">
        <v>7.7865054061319908E-6</v>
      </c>
      <c r="F82" s="172">
        <v>99</v>
      </c>
      <c r="G82" s="172">
        <v>28</v>
      </c>
      <c r="H82" s="172">
        <v>0</v>
      </c>
      <c r="I82" s="172">
        <v>7.5</v>
      </c>
    </row>
    <row r="83" spans="2:9" x14ac:dyDescent="0.3">
      <c r="B83" s="172" t="s">
        <v>22</v>
      </c>
      <c r="C83" s="172" t="s">
        <v>79</v>
      </c>
      <c r="D83" s="172" t="s">
        <v>218</v>
      </c>
      <c r="E83" s="172">
        <v>8.2576756390245201E-4</v>
      </c>
      <c r="F83" s="172">
        <v>28</v>
      </c>
      <c r="G83" s="172">
        <v>19</v>
      </c>
      <c r="H83" s="172">
        <v>31</v>
      </c>
      <c r="I83" s="172">
        <v>4</v>
      </c>
    </row>
    <row r="84" spans="2:9" hidden="1" x14ac:dyDescent="0.3">
      <c r="B84" s="172" t="s">
        <v>22</v>
      </c>
      <c r="C84" s="172" t="s">
        <v>80</v>
      </c>
      <c r="D84" s="172" t="s">
        <v>218</v>
      </c>
      <c r="E84" s="172">
        <v>8.1158345716958501E-4</v>
      </c>
      <c r="F84" s="172">
        <v>99</v>
      </c>
      <c r="G84" s="172">
        <v>28</v>
      </c>
      <c r="H84" s="172">
        <v>0</v>
      </c>
      <c r="I84" s="172">
        <v>4</v>
      </c>
    </row>
    <row r="85" spans="2:9" hidden="1" x14ac:dyDescent="0.3">
      <c r="B85" s="172" t="s">
        <v>22</v>
      </c>
      <c r="C85" s="172" t="s">
        <v>80</v>
      </c>
      <c r="D85" s="172" t="s">
        <v>221</v>
      </c>
      <c r="E85" s="172">
        <v>1.5980911546861101E-4</v>
      </c>
      <c r="F85" s="172">
        <v>99</v>
      </c>
      <c r="G85" s="172">
        <v>28</v>
      </c>
      <c r="H85" s="172">
        <v>0</v>
      </c>
      <c r="I85" s="172">
        <v>4</v>
      </c>
    </row>
    <row r="86" spans="2:9" hidden="1" x14ac:dyDescent="0.3">
      <c r="B86" s="172" t="s">
        <v>22</v>
      </c>
      <c r="C86" s="172" t="s">
        <v>81</v>
      </c>
      <c r="D86" s="172" t="s">
        <v>221</v>
      </c>
      <c r="E86" s="172">
        <v>8.8648446520956498E-4</v>
      </c>
      <c r="F86" s="172">
        <v>99</v>
      </c>
      <c r="G86" s="172">
        <v>28</v>
      </c>
      <c r="H86" s="172">
        <v>0</v>
      </c>
      <c r="I86" s="172">
        <v>4</v>
      </c>
    </row>
    <row r="87" spans="2:9" hidden="1" x14ac:dyDescent="0.3">
      <c r="B87" s="172" t="s">
        <v>22</v>
      </c>
      <c r="C87" s="172" t="s">
        <v>82</v>
      </c>
      <c r="D87" s="172" t="s">
        <v>221</v>
      </c>
      <c r="E87" s="172">
        <v>8.7541428012004601E-4</v>
      </c>
      <c r="F87" s="172">
        <v>32</v>
      </c>
      <c r="G87" s="172">
        <v>0</v>
      </c>
      <c r="H87" s="172">
        <v>25</v>
      </c>
      <c r="I87" s="172">
        <v>4</v>
      </c>
    </row>
    <row r="88" spans="2:9" hidden="1" x14ac:dyDescent="0.3">
      <c r="B88" s="172" t="s">
        <v>22</v>
      </c>
      <c r="C88" s="172" t="s">
        <v>246</v>
      </c>
      <c r="D88" s="172" t="s">
        <v>218</v>
      </c>
      <c r="E88" s="172">
        <v>3.3401575384912399E-6</v>
      </c>
      <c r="F88" s="172">
        <v>99</v>
      </c>
      <c r="G88" s="172">
        <v>28</v>
      </c>
      <c r="H88" s="172">
        <v>0</v>
      </c>
      <c r="I88" s="172">
        <v>4</v>
      </c>
    </row>
    <row r="89" spans="2:9" hidden="1" x14ac:dyDescent="0.3">
      <c r="B89" s="172" t="s">
        <v>22</v>
      </c>
      <c r="C89" s="172" t="s">
        <v>246</v>
      </c>
      <c r="D89" s="172" t="s">
        <v>221</v>
      </c>
      <c r="E89" s="172">
        <v>3.2294940065762198E-6</v>
      </c>
      <c r="F89" s="172">
        <v>99</v>
      </c>
      <c r="G89" s="172">
        <v>28</v>
      </c>
      <c r="H89" s="172">
        <v>0</v>
      </c>
      <c r="I89" s="172">
        <v>4</v>
      </c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2.8323869297776502E-4</v>
      </c>
      <c r="F138" s="172">
        <v>85</v>
      </c>
      <c r="G138" s="172">
        <v>28</v>
      </c>
      <c r="H138" s="172">
        <v>4</v>
      </c>
      <c r="I138" s="172">
        <v>38.5</v>
      </c>
    </row>
    <row r="139" spans="2:9" hidden="1" x14ac:dyDescent="0.3">
      <c r="B139" s="172" t="s">
        <v>189</v>
      </c>
      <c r="C139" s="172" t="s">
        <v>79</v>
      </c>
      <c r="D139" s="172" t="s">
        <v>221</v>
      </c>
      <c r="E139" s="172">
        <v>4.19434238971062E-5</v>
      </c>
      <c r="F139" s="172">
        <v>20</v>
      </c>
      <c r="G139" s="172">
        <v>23</v>
      </c>
      <c r="H139" s="172">
        <v>0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218</v>
      </c>
      <c r="E140" s="172">
        <v>3.3317429108988499E-4</v>
      </c>
      <c r="F140" s="172">
        <v>20</v>
      </c>
      <c r="G140" s="172">
        <v>23</v>
      </c>
      <c r="H140" s="172">
        <v>0</v>
      </c>
      <c r="I140" s="172">
        <v>38.5</v>
      </c>
    </row>
    <row r="141" spans="2:9" hidden="1" x14ac:dyDescent="0.3">
      <c r="B141" s="172" t="s">
        <v>189</v>
      </c>
      <c r="C141" s="172" t="s">
        <v>80</v>
      </c>
      <c r="D141" s="172" t="s">
        <v>221</v>
      </c>
      <c r="E141" s="172">
        <v>1.04047966472289E-4</v>
      </c>
      <c r="F141" s="172">
        <v>99</v>
      </c>
      <c r="G141" s="172">
        <v>28</v>
      </c>
      <c r="H141" s="172">
        <v>0</v>
      </c>
      <c r="I141" s="172">
        <v>38.5</v>
      </c>
    </row>
    <row r="142" spans="2:9" hidden="1" x14ac:dyDescent="0.3">
      <c r="B142" s="172" t="s">
        <v>189</v>
      </c>
      <c r="C142" s="172" t="s">
        <v>81</v>
      </c>
      <c r="D142" s="172" t="s">
        <v>218</v>
      </c>
      <c r="E142" s="172">
        <v>1.3086135707737501E-4</v>
      </c>
      <c r="F142" s="172">
        <v>20</v>
      </c>
      <c r="G142" s="172">
        <v>23</v>
      </c>
      <c r="H142" s="172">
        <v>0</v>
      </c>
      <c r="I142" s="172">
        <v>38.5</v>
      </c>
    </row>
    <row r="143" spans="2:9" hidden="1" x14ac:dyDescent="0.3">
      <c r="B143" s="172" t="s">
        <v>189</v>
      </c>
      <c r="C143" s="172" t="s">
        <v>81</v>
      </c>
      <c r="D143" s="172" t="s">
        <v>221</v>
      </c>
      <c r="E143" s="172">
        <v>4.5778979480174498E-4</v>
      </c>
      <c r="F143" s="172">
        <v>99</v>
      </c>
      <c r="G143" s="172">
        <v>28</v>
      </c>
      <c r="H143" s="172">
        <v>0</v>
      </c>
      <c r="I143" s="172">
        <v>38.5</v>
      </c>
    </row>
    <row r="144" spans="2:9" hidden="1" x14ac:dyDescent="0.3">
      <c r="B144" s="172" t="s">
        <v>189</v>
      </c>
      <c r="C144" s="172" t="s">
        <v>82</v>
      </c>
      <c r="D144" s="172" t="s">
        <v>218</v>
      </c>
      <c r="E144" s="172">
        <v>7.8998525382879405E-5</v>
      </c>
      <c r="F144" s="172">
        <v>20</v>
      </c>
      <c r="G144" s="172">
        <v>23</v>
      </c>
      <c r="H144" s="172">
        <v>0</v>
      </c>
      <c r="I144" s="172">
        <v>38.5</v>
      </c>
    </row>
    <row r="145" spans="2:9" hidden="1" x14ac:dyDescent="0.3">
      <c r="B145" s="172" t="s">
        <v>189</v>
      </c>
      <c r="C145" s="172" t="s">
        <v>82</v>
      </c>
      <c r="D145" s="172" t="s">
        <v>221</v>
      </c>
      <c r="E145" s="172">
        <v>3.9268769196779E-4</v>
      </c>
      <c r="F145" s="172">
        <v>99</v>
      </c>
      <c r="G145" s="172">
        <v>28</v>
      </c>
      <c r="H145" s="172">
        <v>0</v>
      </c>
      <c r="I145" s="172">
        <v>38.5</v>
      </c>
    </row>
    <row r="146" spans="2:9" hidden="1" x14ac:dyDescent="0.3">
      <c r="B146" s="172" t="s">
        <v>189</v>
      </c>
      <c r="C146" s="172" t="s">
        <v>246</v>
      </c>
      <c r="D146" s="172" t="s">
        <v>218</v>
      </c>
      <c r="E146" s="172">
        <v>1.5945039875312801E-4</v>
      </c>
      <c r="F146" s="172">
        <v>20</v>
      </c>
      <c r="G146" s="172">
        <v>23</v>
      </c>
      <c r="H146" s="172">
        <v>0</v>
      </c>
      <c r="I146" s="172">
        <v>38.5</v>
      </c>
    </row>
    <row r="147" spans="2:9" hidden="1" x14ac:dyDescent="0.3">
      <c r="B147" s="172" t="s">
        <v>187</v>
      </c>
      <c r="C147" s="172" t="s">
        <v>79</v>
      </c>
      <c r="D147" s="172" t="s">
        <v>218</v>
      </c>
      <c r="E147" s="172">
        <v>3.0972363066108301E-4</v>
      </c>
      <c r="F147" s="172">
        <v>91</v>
      </c>
      <c r="G147" s="172">
        <v>23.25</v>
      </c>
      <c r="H147" s="172">
        <v>31.25</v>
      </c>
      <c r="I147" s="172">
        <v>35.5</v>
      </c>
    </row>
    <row r="148" spans="2:9" hidden="1" x14ac:dyDescent="0.3">
      <c r="B148" s="172" t="s">
        <v>187</v>
      </c>
      <c r="C148" s="172" t="s">
        <v>79</v>
      </c>
      <c r="D148" s="172" t="s">
        <v>221</v>
      </c>
      <c r="E148" s="172">
        <v>4.8509425957481702E-5</v>
      </c>
      <c r="F148" s="172">
        <v>92</v>
      </c>
      <c r="G148" s="172">
        <v>-0.25</v>
      </c>
      <c r="H148" s="172">
        <v>-0.25</v>
      </c>
      <c r="I148" s="172">
        <v>35.5</v>
      </c>
    </row>
    <row r="149" spans="2:9" x14ac:dyDescent="0.3">
      <c r="B149" s="172" t="s">
        <v>187</v>
      </c>
      <c r="C149" s="172" t="s">
        <v>80</v>
      </c>
      <c r="D149" s="172" t="s">
        <v>218</v>
      </c>
      <c r="E149" s="172">
        <v>3.4799227375707E-4</v>
      </c>
      <c r="F149" s="172">
        <v>92</v>
      </c>
      <c r="G149" s="172">
        <v>-0.25</v>
      </c>
      <c r="H149" s="172">
        <v>-0.25</v>
      </c>
      <c r="I149" s="172">
        <v>35.5</v>
      </c>
    </row>
    <row r="150" spans="2:9" hidden="1" x14ac:dyDescent="0.3">
      <c r="B150" s="172" t="s">
        <v>187</v>
      </c>
      <c r="C150" s="172" t="s">
        <v>80</v>
      </c>
      <c r="D150" s="172" t="s">
        <v>221</v>
      </c>
      <c r="E150" s="172">
        <v>9.7693244444047199E-5</v>
      </c>
      <c r="F150" s="172">
        <v>99</v>
      </c>
      <c r="G150" s="172">
        <v>28</v>
      </c>
      <c r="H150" s="172">
        <v>0</v>
      </c>
      <c r="I150" s="172">
        <v>35.5</v>
      </c>
    </row>
    <row r="151" spans="2:9" hidden="1" x14ac:dyDescent="0.3">
      <c r="B151" s="172" t="s">
        <v>187</v>
      </c>
      <c r="C151" s="172" t="s">
        <v>81</v>
      </c>
      <c r="D151" s="172" t="s">
        <v>221</v>
      </c>
      <c r="E151" s="172">
        <v>4.1889370431332499E-4</v>
      </c>
      <c r="F151" s="172">
        <v>99</v>
      </c>
      <c r="G151" s="172">
        <v>28</v>
      </c>
      <c r="H151" s="172">
        <v>0</v>
      </c>
      <c r="I151" s="172">
        <v>35.5</v>
      </c>
    </row>
    <row r="152" spans="2:9" hidden="1" x14ac:dyDescent="0.3">
      <c r="B152" s="172" t="s">
        <v>187</v>
      </c>
      <c r="C152" s="172" t="s">
        <v>82</v>
      </c>
      <c r="D152" s="172" t="s">
        <v>218</v>
      </c>
      <c r="E152" s="172">
        <v>4.7085286061547599E-5</v>
      </c>
      <c r="F152" s="172">
        <v>92</v>
      </c>
      <c r="G152" s="172">
        <v>-0.25</v>
      </c>
      <c r="H152" s="172">
        <v>-0.25</v>
      </c>
      <c r="I152" s="172">
        <v>35.5</v>
      </c>
    </row>
    <row r="153" spans="2:9" hidden="1" x14ac:dyDescent="0.3">
      <c r="B153" s="172" t="s">
        <v>187</v>
      </c>
      <c r="C153" s="172" t="s">
        <v>82</v>
      </c>
      <c r="D153" s="172" t="s">
        <v>221</v>
      </c>
      <c r="E153" s="172">
        <v>3.4906472573913101E-4</v>
      </c>
      <c r="F153" s="172">
        <v>99</v>
      </c>
      <c r="G153" s="172">
        <v>28</v>
      </c>
      <c r="H153" s="172">
        <v>0</v>
      </c>
      <c r="I153" s="172">
        <v>35.5</v>
      </c>
    </row>
    <row r="154" spans="2:9" hidden="1" x14ac:dyDescent="0.3">
      <c r="B154" s="172" t="s">
        <v>187</v>
      </c>
      <c r="C154" s="172" t="s">
        <v>246</v>
      </c>
      <c r="D154" s="172" t="s">
        <v>218</v>
      </c>
      <c r="E154" s="172">
        <v>4.1481662635555203E-5</v>
      </c>
      <c r="F154" s="172">
        <v>92</v>
      </c>
      <c r="G154" s="172">
        <v>-0.25</v>
      </c>
      <c r="H154" s="172">
        <v>-0.25</v>
      </c>
      <c r="I154" s="172">
        <v>35.5</v>
      </c>
    </row>
    <row r="155" spans="2:9" hidden="1" x14ac:dyDescent="0.3">
      <c r="B155" s="172" t="s">
        <v>187</v>
      </c>
      <c r="C155" s="172" t="s">
        <v>246</v>
      </c>
      <c r="D155" s="172" t="s">
        <v>221</v>
      </c>
      <c r="E155" s="172">
        <v>2.4059025620257399E-5</v>
      </c>
      <c r="F155" s="172">
        <v>99</v>
      </c>
      <c r="G155" s="172">
        <v>28</v>
      </c>
      <c r="H155" s="172">
        <v>0</v>
      </c>
      <c r="I155" s="172">
        <v>35.5</v>
      </c>
    </row>
    <row r="156" spans="2:9" hidden="1" x14ac:dyDescent="0.3">
      <c r="B156" s="172" t="s">
        <v>185</v>
      </c>
      <c r="C156" s="172" t="s">
        <v>79</v>
      </c>
      <c r="D156" s="172" t="s">
        <v>218</v>
      </c>
      <c r="E156" s="172">
        <v>5.0898696247206397E-4</v>
      </c>
      <c r="F156" s="172">
        <v>91</v>
      </c>
      <c r="G156" s="172">
        <v>23.25</v>
      </c>
      <c r="H156" s="172">
        <v>31.25</v>
      </c>
      <c r="I156" s="172">
        <v>32</v>
      </c>
    </row>
    <row r="157" spans="2:9" hidden="1" x14ac:dyDescent="0.3">
      <c r="B157" s="172" t="s">
        <v>185</v>
      </c>
      <c r="C157" s="172" t="s">
        <v>79</v>
      </c>
      <c r="D157" s="172" t="s">
        <v>221</v>
      </c>
      <c r="E157" s="172">
        <v>8.74671372354911E-5</v>
      </c>
      <c r="F157" s="172">
        <v>92</v>
      </c>
      <c r="G157" s="172">
        <v>-0.25</v>
      </c>
      <c r="H157" s="172">
        <v>-0.25</v>
      </c>
      <c r="I157" s="172">
        <v>32</v>
      </c>
    </row>
    <row r="158" spans="2:9" x14ac:dyDescent="0.3">
      <c r="B158" s="172" t="s">
        <v>185</v>
      </c>
      <c r="C158" s="172" t="s">
        <v>80</v>
      </c>
      <c r="D158" s="172" t="s">
        <v>218</v>
      </c>
      <c r="E158" s="172">
        <v>5.3857949799241702E-4</v>
      </c>
      <c r="F158" s="172">
        <v>92</v>
      </c>
      <c r="G158" s="172">
        <v>-0.25</v>
      </c>
      <c r="H158" s="172">
        <v>-0.25</v>
      </c>
      <c r="I158" s="172">
        <v>32</v>
      </c>
    </row>
    <row r="159" spans="2:9" hidden="1" x14ac:dyDescent="0.3">
      <c r="B159" s="172" t="s">
        <v>185</v>
      </c>
      <c r="C159" s="172" t="s">
        <v>80</v>
      </c>
      <c r="D159" s="172" t="s">
        <v>221</v>
      </c>
      <c r="E159" s="172">
        <v>1.3445225124982701E-4</v>
      </c>
      <c r="F159" s="172">
        <v>99</v>
      </c>
      <c r="G159" s="172">
        <v>28</v>
      </c>
      <c r="H159" s="172">
        <v>0</v>
      </c>
      <c r="I159" s="172">
        <v>32</v>
      </c>
    </row>
    <row r="160" spans="2:9" hidden="1" x14ac:dyDescent="0.3">
      <c r="B160" s="172" t="s">
        <v>185</v>
      </c>
      <c r="C160" s="172" t="s">
        <v>81</v>
      </c>
      <c r="D160" s="172" t="s">
        <v>221</v>
      </c>
      <c r="E160" s="172">
        <v>6.3516214000160698E-4</v>
      </c>
      <c r="F160" s="172">
        <v>99</v>
      </c>
      <c r="G160" s="172">
        <v>28</v>
      </c>
      <c r="H160" s="172">
        <v>0</v>
      </c>
      <c r="I160" s="172">
        <v>32</v>
      </c>
    </row>
    <row r="161" spans="2:9" hidden="1" x14ac:dyDescent="0.3">
      <c r="B161" s="172" t="s">
        <v>185</v>
      </c>
      <c r="C161" s="172" t="s">
        <v>82</v>
      </c>
      <c r="D161" s="172" t="s">
        <v>221</v>
      </c>
      <c r="E161" s="172">
        <v>5.5445444937321996E-4</v>
      </c>
      <c r="F161" s="172">
        <v>92</v>
      </c>
      <c r="G161" s="172">
        <v>-0.25</v>
      </c>
      <c r="H161" s="172">
        <v>-0.25</v>
      </c>
      <c r="I161" s="172">
        <v>32</v>
      </c>
    </row>
    <row r="162" spans="2:9" hidden="1" x14ac:dyDescent="0.3">
      <c r="B162" s="172" t="s">
        <v>185</v>
      </c>
      <c r="C162" s="172" t="s">
        <v>246</v>
      </c>
      <c r="D162" s="172" t="s">
        <v>218</v>
      </c>
      <c r="E162" s="172">
        <v>4.1583049810462197E-5</v>
      </c>
      <c r="F162" s="172">
        <v>92</v>
      </c>
      <c r="G162" s="172">
        <v>-0.25</v>
      </c>
      <c r="H162" s="172">
        <v>-0.25</v>
      </c>
      <c r="I162" s="172">
        <v>32</v>
      </c>
    </row>
    <row r="163" spans="2:9" hidden="1" x14ac:dyDescent="0.3">
      <c r="B163" s="172" t="s">
        <v>185</v>
      </c>
      <c r="C163" s="172" t="s">
        <v>246</v>
      </c>
      <c r="D163" s="172" t="s">
        <v>221</v>
      </c>
      <c r="E163" s="172">
        <v>2.17867672609282E-5</v>
      </c>
      <c r="F163" s="172">
        <v>99</v>
      </c>
      <c r="G163" s="172">
        <v>28</v>
      </c>
      <c r="H163" s="172">
        <v>0</v>
      </c>
      <c r="I163" s="172">
        <v>32</v>
      </c>
    </row>
    <row r="164" spans="2:9" hidden="1" x14ac:dyDescent="0.3">
      <c r="B164" s="172" t="s">
        <v>183</v>
      </c>
      <c r="C164" s="172" t="s">
        <v>79</v>
      </c>
      <c r="D164" s="172" t="s">
        <v>218</v>
      </c>
      <c r="E164" s="172">
        <v>6.9814013317878796E-4</v>
      </c>
      <c r="F164" s="172">
        <v>91</v>
      </c>
      <c r="G164" s="172">
        <v>23.25</v>
      </c>
      <c r="H164" s="172">
        <v>31.25</v>
      </c>
      <c r="I164" s="172">
        <v>28.5</v>
      </c>
    </row>
    <row r="165" spans="2:9" hidden="1" x14ac:dyDescent="0.3">
      <c r="B165" s="172" t="s">
        <v>183</v>
      </c>
      <c r="C165" s="172" t="s">
        <v>79</v>
      </c>
      <c r="D165" s="172" t="s">
        <v>221</v>
      </c>
      <c r="E165" s="172">
        <v>1.2585056551567801E-4</v>
      </c>
      <c r="F165" s="172">
        <v>92</v>
      </c>
      <c r="G165" s="172">
        <v>-0.25</v>
      </c>
      <c r="H165" s="172">
        <v>-0.25</v>
      </c>
      <c r="I165" s="172">
        <v>28.5</v>
      </c>
    </row>
    <row r="166" spans="2:9" x14ac:dyDescent="0.3">
      <c r="B166" s="172" t="s">
        <v>183</v>
      </c>
      <c r="C166" s="172" t="s">
        <v>80</v>
      </c>
      <c r="D166" s="172" t="s">
        <v>218</v>
      </c>
      <c r="E166" s="172">
        <v>7.1530053290041703E-4</v>
      </c>
      <c r="F166" s="172">
        <v>92</v>
      </c>
      <c r="G166" s="172">
        <v>-0.25</v>
      </c>
      <c r="H166" s="172">
        <v>-0.25</v>
      </c>
      <c r="I166" s="172">
        <v>28.5</v>
      </c>
    </row>
    <row r="167" spans="2:9" hidden="1" x14ac:dyDescent="0.3">
      <c r="B167" s="172" t="s">
        <v>183</v>
      </c>
      <c r="C167" s="172" t="s">
        <v>80</v>
      </c>
      <c r="D167" s="172" t="s">
        <v>221</v>
      </c>
      <c r="E167" s="172">
        <v>1.66367669100511E-4</v>
      </c>
      <c r="F167" s="172">
        <v>99</v>
      </c>
      <c r="G167" s="172">
        <v>28</v>
      </c>
      <c r="H167" s="172">
        <v>0</v>
      </c>
      <c r="I167" s="172">
        <v>28.5</v>
      </c>
    </row>
    <row r="168" spans="2:9" hidden="1" x14ac:dyDescent="0.3">
      <c r="B168" s="172" t="s">
        <v>183</v>
      </c>
      <c r="C168" s="172" t="s">
        <v>81</v>
      </c>
      <c r="D168" s="172" t="s">
        <v>221</v>
      </c>
      <c r="E168" s="172">
        <v>8.3361936306191296E-4</v>
      </c>
      <c r="F168" s="172">
        <v>99</v>
      </c>
      <c r="G168" s="172">
        <v>28</v>
      </c>
      <c r="H168" s="172">
        <v>0</v>
      </c>
      <c r="I168" s="172">
        <v>28.5</v>
      </c>
    </row>
    <row r="169" spans="2:9" hidden="1" x14ac:dyDescent="0.3">
      <c r="B169" s="172" t="s">
        <v>183</v>
      </c>
      <c r="C169" s="172" t="s">
        <v>82</v>
      </c>
      <c r="D169" s="172" t="s">
        <v>221</v>
      </c>
      <c r="E169" s="172">
        <v>7.7061168512218797E-4</v>
      </c>
      <c r="F169" s="172">
        <v>92</v>
      </c>
      <c r="G169" s="172">
        <v>-0.25</v>
      </c>
      <c r="H169" s="172">
        <v>-0.25</v>
      </c>
      <c r="I169" s="172">
        <v>28.5</v>
      </c>
    </row>
    <row r="170" spans="2:9" hidden="1" x14ac:dyDescent="0.3">
      <c r="B170" s="172" t="s">
        <v>183</v>
      </c>
      <c r="C170" s="172" t="s">
        <v>246</v>
      </c>
      <c r="D170" s="172" t="s">
        <v>218</v>
      </c>
      <c r="E170" s="172">
        <v>4.0135898490390603E-5</v>
      </c>
      <c r="F170" s="172">
        <v>92</v>
      </c>
      <c r="G170" s="172">
        <v>-0.25</v>
      </c>
      <c r="H170" s="172">
        <v>-0.25</v>
      </c>
      <c r="I170" s="172">
        <v>28.5</v>
      </c>
    </row>
    <row r="171" spans="2:9" hidden="1" x14ac:dyDescent="0.3">
      <c r="B171" s="172" t="s">
        <v>183</v>
      </c>
      <c r="C171" s="172" t="s">
        <v>246</v>
      </c>
      <c r="D171" s="172" t="s">
        <v>221</v>
      </c>
      <c r="E171" s="172">
        <v>2.06187574809571E-5</v>
      </c>
      <c r="F171" s="172">
        <v>99</v>
      </c>
      <c r="G171" s="172">
        <v>28</v>
      </c>
      <c r="H171" s="172">
        <v>0</v>
      </c>
      <c r="I171" s="172">
        <v>28.5</v>
      </c>
    </row>
    <row r="172" spans="2:9" hidden="1" x14ac:dyDescent="0.3">
      <c r="B172" s="172" t="s">
        <v>181</v>
      </c>
      <c r="C172" s="172" t="s">
        <v>79</v>
      </c>
      <c r="D172" s="172" t="s">
        <v>218</v>
      </c>
      <c r="E172" s="172">
        <v>8.5811965750832097E-4</v>
      </c>
      <c r="F172" s="172">
        <v>91</v>
      </c>
      <c r="G172" s="172">
        <v>23.25</v>
      </c>
      <c r="H172" s="172">
        <v>31.25</v>
      </c>
      <c r="I172" s="172">
        <v>25</v>
      </c>
    </row>
    <row r="173" spans="2:9" hidden="1" x14ac:dyDescent="0.3">
      <c r="B173" s="172" t="s">
        <v>181</v>
      </c>
      <c r="C173" s="172" t="s">
        <v>79</v>
      </c>
      <c r="D173" s="172" t="s">
        <v>221</v>
      </c>
      <c r="E173" s="172">
        <v>1.5870452557242699E-4</v>
      </c>
      <c r="F173" s="172">
        <v>92</v>
      </c>
      <c r="G173" s="172">
        <v>-0.25</v>
      </c>
      <c r="H173" s="172">
        <v>-0.25</v>
      </c>
      <c r="I173" s="172">
        <v>25</v>
      </c>
    </row>
    <row r="174" spans="2:9" x14ac:dyDescent="0.3">
      <c r="B174" s="172" t="s">
        <v>181</v>
      </c>
      <c r="C174" s="172" t="s">
        <v>80</v>
      </c>
      <c r="D174" s="172" t="s">
        <v>218</v>
      </c>
      <c r="E174" s="172">
        <v>8.63465383589818E-4</v>
      </c>
      <c r="F174" s="172">
        <v>92</v>
      </c>
      <c r="G174" s="172">
        <v>-0.25</v>
      </c>
      <c r="H174" s="172">
        <v>-0.25</v>
      </c>
      <c r="I174" s="172">
        <v>25</v>
      </c>
    </row>
    <row r="175" spans="2:9" hidden="1" x14ac:dyDescent="0.3">
      <c r="B175" s="172" t="s">
        <v>181</v>
      </c>
      <c r="C175" s="172" t="s">
        <v>80</v>
      </c>
      <c r="D175" s="172" t="s">
        <v>221</v>
      </c>
      <c r="E175" s="172">
        <v>1.9242090444113199E-4</v>
      </c>
      <c r="F175" s="172">
        <v>85</v>
      </c>
      <c r="G175" s="172">
        <v>28</v>
      </c>
      <c r="H175" s="172">
        <v>4</v>
      </c>
      <c r="I175" s="172">
        <v>25</v>
      </c>
    </row>
    <row r="176" spans="2:9" hidden="1" x14ac:dyDescent="0.3">
      <c r="B176" s="172" t="s">
        <v>181</v>
      </c>
      <c r="C176" s="172" t="s">
        <v>81</v>
      </c>
      <c r="D176" s="172" t="s">
        <v>221</v>
      </c>
      <c r="E176" s="172">
        <v>9.9889190730650403E-4</v>
      </c>
      <c r="F176" s="172">
        <v>99</v>
      </c>
      <c r="G176" s="172">
        <v>28</v>
      </c>
      <c r="H176" s="172">
        <v>0</v>
      </c>
      <c r="I176" s="172">
        <v>25</v>
      </c>
    </row>
    <row r="177" spans="2:9" hidden="1" x14ac:dyDescent="0.3">
      <c r="B177" s="172" t="s">
        <v>181</v>
      </c>
      <c r="C177" s="172" t="s">
        <v>82</v>
      </c>
      <c r="D177" s="172" t="s">
        <v>221</v>
      </c>
      <c r="E177" s="172">
        <v>9.5319197636682597E-4</v>
      </c>
      <c r="F177" s="172">
        <v>92</v>
      </c>
      <c r="G177" s="172">
        <v>-0.25</v>
      </c>
      <c r="H177" s="172">
        <v>-0.25</v>
      </c>
      <c r="I177" s="172">
        <v>25</v>
      </c>
    </row>
    <row r="178" spans="2:9" hidden="1" x14ac:dyDescent="0.3">
      <c r="B178" s="172" t="s">
        <v>181</v>
      </c>
      <c r="C178" s="172" t="s">
        <v>246</v>
      </c>
      <c r="D178" s="172" t="s">
        <v>218</v>
      </c>
      <c r="E178" s="172">
        <v>3.7554716504009498E-5</v>
      </c>
      <c r="F178" s="172">
        <v>92</v>
      </c>
      <c r="G178" s="172">
        <v>-0.25</v>
      </c>
      <c r="H178" s="172">
        <v>-0.25</v>
      </c>
      <c r="I178" s="172">
        <v>25</v>
      </c>
    </row>
    <row r="179" spans="2:9" hidden="1" x14ac:dyDescent="0.3">
      <c r="B179" s="172" t="s">
        <v>181</v>
      </c>
      <c r="C179" s="172" t="s">
        <v>246</v>
      </c>
      <c r="D179" s="172" t="s">
        <v>221</v>
      </c>
      <c r="E179" s="172">
        <v>1.9129888592597401E-5</v>
      </c>
      <c r="F179" s="172">
        <v>99</v>
      </c>
      <c r="G179" s="172">
        <v>28</v>
      </c>
      <c r="H179" s="172">
        <v>0</v>
      </c>
      <c r="I179" s="172">
        <v>25</v>
      </c>
    </row>
    <row r="180" spans="2:9" hidden="1" x14ac:dyDescent="0.3">
      <c r="B180" s="172" t="s">
        <v>179</v>
      </c>
      <c r="C180" s="172" t="s">
        <v>79</v>
      </c>
      <c r="D180" s="172" t="s">
        <v>218</v>
      </c>
      <c r="E180" s="172">
        <v>9.829954649038671E-4</v>
      </c>
      <c r="F180" s="172">
        <v>91</v>
      </c>
      <c r="G180" s="172">
        <v>23.25</v>
      </c>
      <c r="H180" s="172">
        <v>31.25</v>
      </c>
      <c r="I180" s="172">
        <v>21.5</v>
      </c>
    </row>
    <row r="181" spans="2:9" x14ac:dyDescent="0.3">
      <c r="B181" s="172" t="s">
        <v>179</v>
      </c>
      <c r="C181" s="172" t="s">
        <v>80</v>
      </c>
      <c r="D181" s="172" t="s">
        <v>218</v>
      </c>
      <c r="E181" s="172">
        <v>9.7750662016480899E-4</v>
      </c>
      <c r="F181" s="172">
        <v>92</v>
      </c>
      <c r="G181" s="172">
        <v>-0.25</v>
      </c>
      <c r="H181" s="172">
        <v>-0.25</v>
      </c>
      <c r="I181" s="172">
        <v>21.5</v>
      </c>
    </row>
    <row r="182" spans="2:9" hidden="1" x14ac:dyDescent="0.3">
      <c r="B182" s="172" t="s">
        <v>179</v>
      </c>
      <c r="C182" s="172" t="s">
        <v>80</v>
      </c>
      <c r="D182" s="172" t="s">
        <v>221</v>
      </c>
      <c r="E182" s="172">
        <v>2.1121990819977701E-4</v>
      </c>
      <c r="F182" s="172">
        <v>99</v>
      </c>
      <c r="G182" s="172">
        <v>28</v>
      </c>
      <c r="H182" s="172">
        <v>0</v>
      </c>
      <c r="I182" s="172">
        <v>21.5</v>
      </c>
    </row>
    <row r="183" spans="2:9" hidden="1" x14ac:dyDescent="0.3">
      <c r="B183" s="172" t="s">
        <v>179</v>
      </c>
      <c r="C183" s="172" t="s">
        <v>81</v>
      </c>
      <c r="D183" s="172" t="s">
        <v>221</v>
      </c>
      <c r="E183" s="172">
        <v>1.1255669348653899E-3</v>
      </c>
      <c r="F183" s="172">
        <v>99</v>
      </c>
      <c r="G183" s="172">
        <v>28</v>
      </c>
      <c r="H183" s="172">
        <v>0</v>
      </c>
      <c r="I183" s="172">
        <v>21.5</v>
      </c>
    </row>
    <row r="184" spans="2:9" hidden="1" x14ac:dyDescent="0.3">
      <c r="B184" s="172" t="s">
        <v>179</v>
      </c>
      <c r="C184" s="172" t="s">
        <v>82</v>
      </c>
      <c r="D184" s="172" t="s">
        <v>221</v>
      </c>
      <c r="E184" s="172">
        <v>1.09486357538714E-3</v>
      </c>
      <c r="F184" s="172">
        <v>92</v>
      </c>
      <c r="G184" s="172">
        <v>-0.25</v>
      </c>
      <c r="H184" s="172">
        <v>-0.25</v>
      </c>
      <c r="I184" s="172">
        <v>21.5</v>
      </c>
    </row>
    <row r="185" spans="2:9" hidden="1" x14ac:dyDescent="0.3">
      <c r="B185" s="172" t="s">
        <v>179</v>
      </c>
      <c r="C185" s="172" t="s">
        <v>246</v>
      </c>
      <c r="D185" s="172" t="s">
        <v>218</v>
      </c>
      <c r="E185" s="172">
        <v>3.3980512520601198E-5</v>
      </c>
      <c r="F185" s="172">
        <v>92</v>
      </c>
      <c r="G185" s="172">
        <v>-0.25</v>
      </c>
      <c r="H185" s="172">
        <v>-0.25</v>
      </c>
      <c r="I185" s="172">
        <v>21.5</v>
      </c>
    </row>
    <row r="186" spans="2:9" hidden="1" x14ac:dyDescent="0.3">
      <c r="B186" s="172" t="s">
        <v>179</v>
      </c>
      <c r="C186" s="172" t="s">
        <v>246</v>
      </c>
      <c r="D186" s="172" t="s">
        <v>221</v>
      </c>
      <c r="E186" s="172">
        <v>1.7408118763379E-5</v>
      </c>
      <c r="F186" s="172">
        <v>99</v>
      </c>
      <c r="G186" s="172">
        <v>28</v>
      </c>
      <c r="H186" s="172">
        <v>0</v>
      </c>
      <c r="I186" s="172">
        <v>21.5</v>
      </c>
    </row>
    <row r="187" spans="2:9" hidden="1" x14ac:dyDescent="0.3">
      <c r="B187" s="172" t="s">
        <v>39</v>
      </c>
      <c r="C187" s="172" t="s">
        <v>79</v>
      </c>
      <c r="D187" s="172" t="s">
        <v>218</v>
      </c>
      <c r="E187" s="172">
        <v>1.0385241599503599E-3</v>
      </c>
      <c r="F187" s="172">
        <v>91</v>
      </c>
      <c r="G187" s="172">
        <v>23.25</v>
      </c>
      <c r="H187" s="172">
        <v>31.25</v>
      </c>
      <c r="I187" s="172">
        <v>18</v>
      </c>
    </row>
    <row r="188" spans="2:9" x14ac:dyDescent="0.3">
      <c r="B188" s="172" t="s">
        <v>39</v>
      </c>
      <c r="C188" s="172" t="s">
        <v>80</v>
      </c>
      <c r="D188" s="172" t="s">
        <v>218</v>
      </c>
      <c r="E188" s="172">
        <v>1.01759890805316E-3</v>
      </c>
      <c r="F188" s="172">
        <v>92</v>
      </c>
      <c r="G188" s="172">
        <v>-0.25</v>
      </c>
      <c r="H188" s="172">
        <v>-0.25</v>
      </c>
      <c r="I188" s="172">
        <v>18</v>
      </c>
    </row>
    <row r="189" spans="2:9" hidden="1" x14ac:dyDescent="0.3">
      <c r="B189" s="172" t="s">
        <v>39</v>
      </c>
      <c r="C189" s="172" t="s">
        <v>80</v>
      </c>
      <c r="D189" s="172" t="s">
        <v>221</v>
      </c>
      <c r="E189" s="172">
        <v>2.09920585092032E-4</v>
      </c>
      <c r="F189" s="172">
        <v>99</v>
      </c>
      <c r="G189" s="172">
        <v>28</v>
      </c>
      <c r="H189" s="172">
        <v>0</v>
      </c>
      <c r="I189" s="172">
        <v>18</v>
      </c>
    </row>
    <row r="190" spans="2:9" hidden="1" x14ac:dyDescent="0.3">
      <c r="B190" s="172" t="s">
        <v>39</v>
      </c>
      <c r="C190" s="172" t="s">
        <v>81</v>
      </c>
      <c r="D190" s="172" t="s">
        <v>221</v>
      </c>
      <c r="E190" s="172">
        <v>1.1809243541993999E-3</v>
      </c>
      <c r="F190" s="172">
        <v>99</v>
      </c>
      <c r="G190" s="172">
        <v>28</v>
      </c>
      <c r="H190" s="172">
        <v>0</v>
      </c>
      <c r="I190" s="172">
        <v>18</v>
      </c>
    </row>
    <row r="191" spans="2:9" hidden="1" x14ac:dyDescent="0.3">
      <c r="B191" s="172" t="s">
        <v>39</v>
      </c>
      <c r="C191" s="172" t="s">
        <v>82</v>
      </c>
      <c r="D191" s="172" t="s">
        <v>221</v>
      </c>
      <c r="E191" s="172">
        <v>1.1588446855402899E-3</v>
      </c>
      <c r="F191" s="172">
        <v>92</v>
      </c>
      <c r="G191" s="172">
        <v>-0.25</v>
      </c>
      <c r="H191" s="172">
        <v>-0.25</v>
      </c>
      <c r="I191" s="172">
        <v>18</v>
      </c>
    </row>
    <row r="192" spans="2:9" hidden="1" x14ac:dyDescent="0.3">
      <c r="B192" s="172" t="s">
        <v>39</v>
      </c>
      <c r="C192" s="172" t="s">
        <v>246</v>
      </c>
      <c r="D192" s="172" t="s">
        <v>218</v>
      </c>
      <c r="E192" s="172">
        <v>2.89404262857257E-5</v>
      </c>
      <c r="F192" s="172">
        <v>92</v>
      </c>
      <c r="G192" s="172">
        <v>-0.25</v>
      </c>
      <c r="H192" s="172">
        <v>-0.25</v>
      </c>
      <c r="I192" s="172">
        <v>18</v>
      </c>
    </row>
    <row r="193" spans="2:9" hidden="1" x14ac:dyDescent="0.3">
      <c r="B193" s="172" t="s">
        <v>39</v>
      </c>
      <c r="C193" s="172" t="s">
        <v>246</v>
      </c>
      <c r="D193" s="172" t="s">
        <v>221</v>
      </c>
      <c r="E193" s="172">
        <v>1.5642951060608801E-5</v>
      </c>
      <c r="F193" s="172">
        <v>99</v>
      </c>
      <c r="G193" s="172">
        <v>28</v>
      </c>
      <c r="H193" s="172">
        <v>0</v>
      </c>
      <c r="I193" s="172">
        <v>18</v>
      </c>
    </row>
    <row r="194" spans="2:9" hidden="1" x14ac:dyDescent="0.3">
      <c r="B194" s="172" t="s">
        <v>26</v>
      </c>
      <c r="C194" s="172" t="s">
        <v>79</v>
      </c>
      <c r="D194" s="172" t="s">
        <v>218</v>
      </c>
      <c r="E194" s="172">
        <v>1.0704638613889101E-3</v>
      </c>
      <c r="F194" s="172">
        <v>91</v>
      </c>
      <c r="G194" s="172">
        <v>23.25</v>
      </c>
      <c r="H194" s="172">
        <v>31.25</v>
      </c>
      <c r="I194" s="172">
        <v>14.5</v>
      </c>
    </row>
    <row r="195" spans="2:9" x14ac:dyDescent="0.3">
      <c r="B195" s="172" t="s">
        <v>26</v>
      </c>
      <c r="C195" s="172" t="s">
        <v>80</v>
      </c>
      <c r="D195" s="172" t="s">
        <v>218</v>
      </c>
      <c r="E195" s="172">
        <v>1.0344423607955701E-3</v>
      </c>
      <c r="F195" s="172">
        <v>92</v>
      </c>
      <c r="G195" s="172">
        <v>-0.25</v>
      </c>
      <c r="H195" s="172">
        <v>-0.25</v>
      </c>
      <c r="I195" s="172">
        <v>14.5</v>
      </c>
    </row>
    <row r="196" spans="2:9" hidden="1" x14ac:dyDescent="0.3">
      <c r="B196" s="172" t="s">
        <v>26</v>
      </c>
      <c r="C196" s="172" t="s">
        <v>80</v>
      </c>
      <c r="D196" s="172" t="s">
        <v>221</v>
      </c>
      <c r="E196" s="172">
        <v>2.03284627597469E-4</v>
      </c>
      <c r="F196" s="172">
        <v>85</v>
      </c>
      <c r="G196" s="172">
        <v>28</v>
      </c>
      <c r="H196" s="172">
        <v>4</v>
      </c>
      <c r="I196" s="172">
        <v>14.5</v>
      </c>
    </row>
    <row r="197" spans="2:9" hidden="1" x14ac:dyDescent="0.3">
      <c r="B197" s="172" t="s">
        <v>26</v>
      </c>
      <c r="C197" s="172" t="s">
        <v>81</v>
      </c>
      <c r="D197" s="172" t="s">
        <v>221</v>
      </c>
      <c r="E197" s="172">
        <v>1.21049056082739E-3</v>
      </c>
      <c r="F197" s="172">
        <v>99</v>
      </c>
      <c r="G197" s="172">
        <v>28</v>
      </c>
      <c r="H197" s="172">
        <v>0</v>
      </c>
      <c r="I197" s="172">
        <v>14.5</v>
      </c>
    </row>
    <row r="198" spans="2:9" hidden="1" x14ac:dyDescent="0.3">
      <c r="B198" s="172" t="s">
        <v>26</v>
      </c>
      <c r="C198" s="172" t="s">
        <v>82</v>
      </c>
      <c r="D198" s="172" t="s">
        <v>221</v>
      </c>
      <c r="E198" s="172">
        <v>1.1976758559095299E-3</v>
      </c>
      <c r="F198" s="172">
        <v>92</v>
      </c>
      <c r="G198" s="172">
        <v>-0.25</v>
      </c>
      <c r="H198" s="172">
        <v>-0.25</v>
      </c>
      <c r="I198" s="172">
        <v>14.5</v>
      </c>
    </row>
    <row r="199" spans="2:9" hidden="1" x14ac:dyDescent="0.3">
      <c r="B199" s="172" t="s">
        <v>26</v>
      </c>
      <c r="C199" s="172" t="s">
        <v>246</v>
      </c>
      <c r="D199" s="172" t="s">
        <v>218</v>
      </c>
      <c r="E199" s="172">
        <v>2.3073499168079701E-5</v>
      </c>
      <c r="F199" s="172">
        <v>92</v>
      </c>
      <c r="G199" s="172">
        <v>-0.25</v>
      </c>
      <c r="H199" s="172">
        <v>-0.25</v>
      </c>
      <c r="I199" s="172">
        <v>14.5</v>
      </c>
    </row>
    <row r="200" spans="2:9" hidden="1" x14ac:dyDescent="0.3">
      <c r="B200" s="172" t="s">
        <v>26</v>
      </c>
      <c r="C200" s="172" t="s">
        <v>246</v>
      </c>
      <c r="D200" s="172" t="s">
        <v>221</v>
      </c>
      <c r="E200" s="172">
        <v>1.35171876013631E-5</v>
      </c>
      <c r="F200" s="172">
        <v>99</v>
      </c>
      <c r="G200" s="172">
        <v>28</v>
      </c>
      <c r="H200" s="172">
        <v>0</v>
      </c>
      <c r="I200" s="172">
        <v>14.5</v>
      </c>
    </row>
    <row r="201" spans="2:9" hidden="1" x14ac:dyDescent="0.3">
      <c r="B201" s="172" t="s">
        <v>25</v>
      </c>
      <c r="C201" s="172" t="s">
        <v>79</v>
      </c>
      <c r="D201" s="172" t="s">
        <v>218</v>
      </c>
      <c r="E201" s="172">
        <v>1.12158366267139E-3</v>
      </c>
      <c r="F201" s="172">
        <v>91</v>
      </c>
      <c r="G201" s="172">
        <v>23.25</v>
      </c>
      <c r="H201" s="172">
        <v>31.25</v>
      </c>
      <c r="I201" s="172">
        <v>11</v>
      </c>
    </row>
    <row r="202" spans="2:9" x14ac:dyDescent="0.3">
      <c r="B202" s="172" t="s">
        <v>25</v>
      </c>
      <c r="C202" s="172" t="s">
        <v>80</v>
      </c>
      <c r="D202" s="172" t="s">
        <v>218</v>
      </c>
      <c r="E202" s="172">
        <v>1.07624302286926E-3</v>
      </c>
      <c r="F202" s="172">
        <v>92</v>
      </c>
      <c r="G202" s="172">
        <v>-0.25</v>
      </c>
      <c r="H202" s="172">
        <v>-0.25</v>
      </c>
      <c r="I202" s="172">
        <v>11</v>
      </c>
    </row>
    <row r="203" spans="2:9" hidden="1" x14ac:dyDescent="0.3">
      <c r="B203" s="172" t="s">
        <v>25</v>
      </c>
      <c r="C203" s="172" t="s">
        <v>80</v>
      </c>
      <c r="D203" s="172" t="s">
        <v>221</v>
      </c>
      <c r="E203" s="172">
        <v>2.0562046464914601E-4</v>
      </c>
      <c r="F203" s="172">
        <v>99</v>
      </c>
      <c r="G203" s="172">
        <v>28</v>
      </c>
      <c r="H203" s="172">
        <v>0</v>
      </c>
      <c r="I203" s="172">
        <v>11</v>
      </c>
    </row>
    <row r="204" spans="2:9" hidden="1" x14ac:dyDescent="0.3">
      <c r="B204" s="172" t="s">
        <v>25</v>
      </c>
      <c r="C204" s="172" t="s">
        <v>81</v>
      </c>
      <c r="D204" s="172" t="s">
        <v>221</v>
      </c>
      <c r="E204" s="172">
        <v>1.25385836815689E-3</v>
      </c>
      <c r="F204" s="172">
        <v>99</v>
      </c>
      <c r="G204" s="172">
        <v>28</v>
      </c>
      <c r="H204" s="172">
        <v>0</v>
      </c>
      <c r="I204" s="172">
        <v>11</v>
      </c>
    </row>
    <row r="205" spans="2:9" hidden="1" x14ac:dyDescent="0.3">
      <c r="B205" s="172" t="s">
        <v>25</v>
      </c>
      <c r="C205" s="172" t="s">
        <v>82</v>
      </c>
      <c r="D205" s="172" t="s">
        <v>221</v>
      </c>
      <c r="E205" s="172">
        <v>1.2574056131302699E-3</v>
      </c>
      <c r="F205" s="172">
        <v>92</v>
      </c>
      <c r="G205" s="172">
        <v>-0.25</v>
      </c>
      <c r="H205" s="172">
        <v>-0.25</v>
      </c>
      <c r="I205" s="172">
        <v>11</v>
      </c>
    </row>
    <row r="206" spans="2:9" hidden="1" x14ac:dyDescent="0.3">
      <c r="B206" s="172" t="s">
        <v>25</v>
      </c>
      <c r="C206" s="172" t="s">
        <v>246</v>
      </c>
      <c r="D206" s="172" t="s">
        <v>218</v>
      </c>
      <c r="E206" s="172">
        <v>1.6883404980231402E-5</v>
      </c>
      <c r="F206" s="172">
        <v>92</v>
      </c>
      <c r="G206" s="172">
        <v>-0.25</v>
      </c>
      <c r="H206" s="172">
        <v>-0.25</v>
      </c>
      <c r="I206" s="172">
        <v>11</v>
      </c>
    </row>
    <row r="207" spans="2:9" hidden="1" x14ac:dyDescent="0.3">
      <c r="B207" s="172" t="s">
        <v>25</v>
      </c>
      <c r="C207" s="172" t="s">
        <v>246</v>
      </c>
      <c r="D207" s="172" t="s">
        <v>221</v>
      </c>
      <c r="E207" s="172">
        <v>1.06395124186606E-5</v>
      </c>
      <c r="F207" s="172">
        <v>99</v>
      </c>
      <c r="G207" s="172">
        <v>28</v>
      </c>
      <c r="H207" s="172">
        <v>0</v>
      </c>
      <c r="I207" s="172">
        <v>11</v>
      </c>
    </row>
    <row r="208" spans="2:9" hidden="1" x14ac:dyDescent="0.3">
      <c r="B208" s="172" t="s">
        <v>24</v>
      </c>
      <c r="C208" s="172" t="s">
        <v>79</v>
      </c>
      <c r="D208" s="172" t="s">
        <v>218</v>
      </c>
      <c r="E208" s="172">
        <v>1.1310609943379899E-3</v>
      </c>
      <c r="F208" s="172">
        <v>91</v>
      </c>
      <c r="G208" s="172">
        <v>23.25</v>
      </c>
      <c r="H208" s="172">
        <v>31.25</v>
      </c>
      <c r="I208" s="172">
        <v>7.5</v>
      </c>
    </row>
    <row r="209" spans="2:9" x14ac:dyDescent="0.3">
      <c r="B209" s="172" t="s">
        <v>24</v>
      </c>
      <c r="C209" s="172" t="s">
        <v>80</v>
      </c>
      <c r="D209" s="172" t="s">
        <v>218</v>
      </c>
      <c r="E209" s="172">
        <v>1.08370122622849E-3</v>
      </c>
      <c r="F209" s="172">
        <v>92</v>
      </c>
      <c r="G209" s="172">
        <v>-0.25</v>
      </c>
      <c r="H209" s="172">
        <v>-0.25</v>
      </c>
      <c r="I209" s="172">
        <v>7.5</v>
      </c>
    </row>
    <row r="210" spans="2:9" hidden="1" x14ac:dyDescent="0.3">
      <c r="B210" s="172" t="s">
        <v>24</v>
      </c>
      <c r="C210" s="172" t="s">
        <v>80</v>
      </c>
      <c r="D210" s="172" t="s">
        <v>221</v>
      </c>
      <c r="E210" s="172">
        <v>2.0322244058488401E-4</v>
      </c>
      <c r="F210" s="172">
        <v>99</v>
      </c>
      <c r="G210" s="172">
        <v>28</v>
      </c>
      <c r="H210" s="172">
        <v>0</v>
      </c>
      <c r="I210" s="172">
        <v>7.5</v>
      </c>
    </row>
    <row r="211" spans="2:9" hidden="1" x14ac:dyDescent="0.3">
      <c r="B211" s="172" t="s">
        <v>24</v>
      </c>
      <c r="C211" s="172" t="s">
        <v>81</v>
      </c>
      <c r="D211" s="172" t="s">
        <v>221</v>
      </c>
      <c r="E211" s="172">
        <v>1.2452995753301E-3</v>
      </c>
      <c r="F211" s="172">
        <v>99</v>
      </c>
      <c r="G211" s="172">
        <v>28</v>
      </c>
      <c r="H211" s="172">
        <v>0</v>
      </c>
      <c r="I211" s="172">
        <v>7.5</v>
      </c>
    </row>
    <row r="212" spans="2:9" hidden="1" x14ac:dyDescent="0.3">
      <c r="B212" s="172" t="s">
        <v>24</v>
      </c>
      <c r="C212" s="172" t="s">
        <v>82</v>
      </c>
      <c r="D212" s="172" t="s">
        <v>221</v>
      </c>
      <c r="E212" s="172">
        <v>1.25965094418649E-3</v>
      </c>
      <c r="F212" s="172">
        <v>92</v>
      </c>
      <c r="G212" s="172">
        <v>-0.25</v>
      </c>
      <c r="H212" s="172">
        <v>-0.25</v>
      </c>
      <c r="I212" s="172">
        <v>7.5</v>
      </c>
    </row>
    <row r="213" spans="2:9" hidden="1" x14ac:dyDescent="0.3">
      <c r="B213" s="172" t="s">
        <v>24</v>
      </c>
      <c r="C213" s="172" t="s">
        <v>246</v>
      </c>
      <c r="D213" s="172" t="s">
        <v>218</v>
      </c>
      <c r="E213" s="172">
        <v>1.01679173196337E-5</v>
      </c>
      <c r="F213" s="172">
        <v>92</v>
      </c>
      <c r="G213" s="172">
        <v>-0.25</v>
      </c>
      <c r="H213" s="172">
        <v>-0.25</v>
      </c>
      <c r="I213" s="172">
        <v>7.5</v>
      </c>
    </row>
    <row r="214" spans="2:9" hidden="1" x14ac:dyDescent="0.3">
      <c r="B214" s="172" t="s">
        <v>24</v>
      </c>
      <c r="C214" s="172" t="s">
        <v>246</v>
      </c>
      <c r="D214" s="172" t="s">
        <v>221</v>
      </c>
      <c r="E214" s="172">
        <v>7.7865054061319908E-6</v>
      </c>
      <c r="F214" s="172">
        <v>99</v>
      </c>
      <c r="G214" s="172">
        <v>28</v>
      </c>
      <c r="H214" s="172">
        <v>0</v>
      </c>
      <c r="I214" s="172">
        <v>7.5</v>
      </c>
    </row>
    <row r="215" spans="2:9" hidden="1" x14ac:dyDescent="0.3">
      <c r="B215" s="172" t="s">
        <v>22</v>
      </c>
      <c r="C215" s="172" t="s">
        <v>79</v>
      </c>
      <c r="D215" s="172" t="s">
        <v>218</v>
      </c>
      <c r="E215" s="172">
        <v>8.2576756390245201E-4</v>
      </c>
      <c r="F215" s="172">
        <v>28</v>
      </c>
      <c r="G215" s="172">
        <v>19</v>
      </c>
      <c r="H215" s="172">
        <v>31</v>
      </c>
      <c r="I215" s="172">
        <v>4</v>
      </c>
    </row>
    <row r="216" spans="2:9" x14ac:dyDescent="0.3">
      <c r="B216" s="172" t="s">
        <v>22</v>
      </c>
      <c r="C216" s="172" t="s">
        <v>80</v>
      </c>
      <c r="D216" s="172" t="s">
        <v>218</v>
      </c>
      <c r="E216" s="172">
        <v>8.1158345716958501E-4</v>
      </c>
      <c r="F216" s="172">
        <v>99</v>
      </c>
      <c r="G216" s="172">
        <v>28</v>
      </c>
      <c r="H216" s="172">
        <v>0</v>
      </c>
      <c r="I216" s="172">
        <v>4</v>
      </c>
    </row>
    <row r="217" spans="2:9" hidden="1" x14ac:dyDescent="0.3">
      <c r="B217" s="172" t="s">
        <v>22</v>
      </c>
      <c r="C217" s="172" t="s">
        <v>80</v>
      </c>
      <c r="D217" s="172" t="s">
        <v>221</v>
      </c>
      <c r="E217" s="172">
        <v>1.5980911546861101E-4</v>
      </c>
      <c r="F217" s="172">
        <v>99</v>
      </c>
      <c r="G217" s="172">
        <v>28</v>
      </c>
      <c r="H217" s="172">
        <v>0</v>
      </c>
      <c r="I217" s="172">
        <v>4</v>
      </c>
    </row>
    <row r="218" spans="2:9" hidden="1" x14ac:dyDescent="0.3">
      <c r="B218" s="172" t="s">
        <v>22</v>
      </c>
      <c r="C218" s="172" t="s">
        <v>81</v>
      </c>
      <c r="D218" s="172" t="s">
        <v>221</v>
      </c>
      <c r="E218" s="172">
        <v>8.8648446520956498E-4</v>
      </c>
      <c r="F218" s="172">
        <v>99</v>
      </c>
      <c r="G218" s="172">
        <v>28</v>
      </c>
      <c r="H218" s="172">
        <v>0</v>
      </c>
      <c r="I218" s="172">
        <v>4</v>
      </c>
    </row>
    <row r="219" spans="2:9" hidden="1" x14ac:dyDescent="0.3">
      <c r="B219" s="172" t="s">
        <v>22</v>
      </c>
      <c r="C219" s="172" t="s">
        <v>82</v>
      </c>
      <c r="D219" s="172" t="s">
        <v>221</v>
      </c>
      <c r="E219" s="172">
        <v>8.7541428012004601E-4</v>
      </c>
      <c r="F219" s="172">
        <v>32</v>
      </c>
      <c r="G219" s="172">
        <v>0</v>
      </c>
      <c r="H219" s="172">
        <v>25</v>
      </c>
      <c r="I219" s="172">
        <v>4</v>
      </c>
    </row>
    <row r="220" spans="2:9" hidden="1" x14ac:dyDescent="0.3">
      <c r="B220" s="172" t="s">
        <v>22</v>
      </c>
      <c r="C220" s="172" t="s">
        <v>246</v>
      </c>
      <c r="D220" s="172" t="s">
        <v>218</v>
      </c>
      <c r="E220" s="172">
        <v>3.3401575384912399E-6</v>
      </c>
      <c r="F220" s="172">
        <v>99</v>
      </c>
      <c r="G220" s="172">
        <v>28</v>
      </c>
      <c r="H220" s="172">
        <v>0</v>
      </c>
      <c r="I220" s="172">
        <v>4</v>
      </c>
    </row>
    <row r="221" spans="2:9" hidden="1" x14ac:dyDescent="0.3">
      <c r="B221" s="172" t="s">
        <v>22</v>
      </c>
      <c r="C221" s="172" t="s">
        <v>246</v>
      </c>
      <c r="D221" s="172" t="s">
        <v>221</v>
      </c>
      <c r="E221" s="172">
        <v>3.2294940065762198E-6</v>
      </c>
      <c r="F221" s="172">
        <v>99</v>
      </c>
      <c r="G221" s="172">
        <v>28</v>
      </c>
      <c r="H221" s="172">
        <v>0</v>
      </c>
      <c r="I221" s="172">
        <v>4</v>
      </c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2.8323869297776502E-4</v>
      </c>
      <c r="F270" s="172">
        <v>85</v>
      </c>
      <c r="G270" s="172">
        <v>28</v>
      </c>
      <c r="H270" s="172">
        <v>4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221</v>
      </c>
      <c r="E271" s="172">
        <v>4.19434238971062E-5</v>
      </c>
      <c r="F271" s="172">
        <v>20</v>
      </c>
      <c r="G271" s="172">
        <v>23</v>
      </c>
      <c r="H271" s="172">
        <v>0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218</v>
      </c>
      <c r="E272" s="172">
        <v>3.3317429108988499E-4</v>
      </c>
      <c r="F272" s="172">
        <v>20</v>
      </c>
      <c r="G272" s="172">
        <v>23</v>
      </c>
      <c r="H272" s="172">
        <v>0</v>
      </c>
      <c r="I272" s="172">
        <v>38.5</v>
      </c>
    </row>
    <row r="273" spans="2:9" hidden="1" x14ac:dyDescent="0.3">
      <c r="B273" s="172" t="s">
        <v>189</v>
      </c>
      <c r="C273" s="172" t="s">
        <v>80</v>
      </c>
      <c r="D273" s="172" t="s">
        <v>221</v>
      </c>
      <c r="E273" s="172">
        <v>1.04047966472289E-4</v>
      </c>
      <c r="F273" s="172">
        <v>99</v>
      </c>
      <c r="G273" s="172">
        <v>28</v>
      </c>
      <c r="H273" s="172">
        <v>0</v>
      </c>
      <c r="I273" s="172">
        <v>38.5</v>
      </c>
    </row>
    <row r="274" spans="2:9" hidden="1" x14ac:dyDescent="0.3">
      <c r="B274" s="172" t="s">
        <v>189</v>
      </c>
      <c r="C274" s="172" t="s">
        <v>81</v>
      </c>
      <c r="D274" s="172" t="s">
        <v>218</v>
      </c>
      <c r="E274" s="172">
        <v>1.3086135707737501E-4</v>
      </c>
      <c r="F274" s="172">
        <v>20</v>
      </c>
      <c r="G274" s="172">
        <v>23</v>
      </c>
      <c r="H274" s="172">
        <v>0</v>
      </c>
      <c r="I274" s="172">
        <v>38.5</v>
      </c>
    </row>
    <row r="275" spans="2:9" x14ac:dyDescent="0.3">
      <c r="B275" s="172" t="s">
        <v>189</v>
      </c>
      <c r="C275" s="172" t="s">
        <v>81</v>
      </c>
      <c r="D275" s="172" t="s">
        <v>221</v>
      </c>
      <c r="E275" s="172">
        <v>4.5778979480174498E-4</v>
      </c>
      <c r="F275" s="172">
        <v>99</v>
      </c>
      <c r="G275" s="172">
        <v>28</v>
      </c>
      <c r="H275" s="172">
        <v>0</v>
      </c>
      <c r="I275" s="172">
        <v>38.5</v>
      </c>
    </row>
    <row r="276" spans="2:9" hidden="1" x14ac:dyDescent="0.3">
      <c r="B276" s="172" t="s">
        <v>189</v>
      </c>
      <c r="C276" s="172" t="s">
        <v>82</v>
      </c>
      <c r="D276" s="172" t="s">
        <v>218</v>
      </c>
      <c r="E276" s="172">
        <v>7.8998525382879405E-5</v>
      </c>
      <c r="F276" s="172">
        <v>20</v>
      </c>
      <c r="G276" s="172">
        <v>23</v>
      </c>
      <c r="H276" s="172">
        <v>0</v>
      </c>
      <c r="I276" s="172">
        <v>38.5</v>
      </c>
    </row>
    <row r="277" spans="2:9" hidden="1" x14ac:dyDescent="0.3">
      <c r="B277" s="172" t="s">
        <v>189</v>
      </c>
      <c r="C277" s="172" t="s">
        <v>82</v>
      </c>
      <c r="D277" s="172" t="s">
        <v>221</v>
      </c>
      <c r="E277" s="172">
        <v>3.9268769196779E-4</v>
      </c>
      <c r="F277" s="172">
        <v>99</v>
      </c>
      <c r="G277" s="172">
        <v>28</v>
      </c>
      <c r="H277" s="172">
        <v>0</v>
      </c>
      <c r="I277" s="172">
        <v>38.5</v>
      </c>
    </row>
    <row r="278" spans="2:9" hidden="1" x14ac:dyDescent="0.3">
      <c r="B278" s="172" t="s">
        <v>189</v>
      </c>
      <c r="C278" s="172" t="s">
        <v>246</v>
      </c>
      <c r="D278" s="172" t="s">
        <v>218</v>
      </c>
      <c r="E278" s="172">
        <v>1.5945039875312801E-4</v>
      </c>
      <c r="F278" s="172">
        <v>20</v>
      </c>
      <c r="G278" s="172">
        <v>23</v>
      </c>
      <c r="H278" s="172">
        <v>0</v>
      </c>
      <c r="I278" s="172">
        <v>38.5</v>
      </c>
    </row>
    <row r="279" spans="2:9" hidden="1" x14ac:dyDescent="0.3">
      <c r="B279" s="172" t="s">
        <v>187</v>
      </c>
      <c r="C279" s="172" t="s">
        <v>79</v>
      </c>
      <c r="D279" s="172" t="s">
        <v>218</v>
      </c>
      <c r="E279" s="172">
        <v>3.0972363066108301E-4</v>
      </c>
      <c r="F279" s="172">
        <v>91</v>
      </c>
      <c r="G279" s="172">
        <v>23.25</v>
      </c>
      <c r="H279" s="172">
        <v>31.25</v>
      </c>
      <c r="I279" s="172">
        <v>35.5</v>
      </c>
    </row>
    <row r="280" spans="2:9" hidden="1" x14ac:dyDescent="0.3">
      <c r="B280" s="172" t="s">
        <v>187</v>
      </c>
      <c r="C280" s="172" t="s">
        <v>79</v>
      </c>
      <c r="D280" s="172" t="s">
        <v>221</v>
      </c>
      <c r="E280" s="172">
        <v>4.8509425957481702E-5</v>
      </c>
      <c r="F280" s="172">
        <v>92</v>
      </c>
      <c r="G280" s="172">
        <v>-0.25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80</v>
      </c>
      <c r="D281" s="172" t="s">
        <v>218</v>
      </c>
      <c r="E281" s="172">
        <v>3.4799227375707E-4</v>
      </c>
      <c r="F281" s="172">
        <v>92</v>
      </c>
      <c r="G281" s="172">
        <v>-0.25</v>
      </c>
      <c r="H281" s="172">
        <v>-0.25</v>
      </c>
      <c r="I281" s="172">
        <v>35.5</v>
      </c>
    </row>
    <row r="282" spans="2:9" hidden="1" x14ac:dyDescent="0.3">
      <c r="B282" s="172" t="s">
        <v>187</v>
      </c>
      <c r="C282" s="172" t="s">
        <v>80</v>
      </c>
      <c r="D282" s="172" t="s">
        <v>221</v>
      </c>
      <c r="E282" s="172">
        <v>9.7693244444047199E-5</v>
      </c>
      <c r="F282" s="172">
        <v>99</v>
      </c>
      <c r="G282" s="172">
        <v>28</v>
      </c>
      <c r="H282" s="172">
        <v>0</v>
      </c>
      <c r="I282" s="172">
        <v>35.5</v>
      </c>
    </row>
    <row r="283" spans="2:9" x14ac:dyDescent="0.3">
      <c r="B283" s="172" t="s">
        <v>187</v>
      </c>
      <c r="C283" s="172" t="s">
        <v>81</v>
      </c>
      <c r="D283" s="172" t="s">
        <v>221</v>
      </c>
      <c r="E283" s="172">
        <v>4.1889370431332499E-4</v>
      </c>
      <c r="F283" s="172">
        <v>99</v>
      </c>
      <c r="G283" s="172">
        <v>28</v>
      </c>
      <c r="H283" s="172">
        <v>0</v>
      </c>
      <c r="I283" s="172">
        <v>35.5</v>
      </c>
    </row>
    <row r="284" spans="2:9" hidden="1" x14ac:dyDescent="0.3">
      <c r="B284" s="172" t="s">
        <v>187</v>
      </c>
      <c r="C284" s="172" t="s">
        <v>82</v>
      </c>
      <c r="D284" s="172" t="s">
        <v>218</v>
      </c>
      <c r="E284" s="172">
        <v>4.7085286061547599E-5</v>
      </c>
      <c r="F284" s="172">
        <v>92</v>
      </c>
      <c r="G284" s="172">
        <v>-0.25</v>
      </c>
      <c r="H284" s="172">
        <v>-0.25</v>
      </c>
      <c r="I284" s="172">
        <v>35.5</v>
      </c>
    </row>
    <row r="285" spans="2:9" hidden="1" x14ac:dyDescent="0.3">
      <c r="B285" s="172" t="s">
        <v>187</v>
      </c>
      <c r="C285" s="172" t="s">
        <v>82</v>
      </c>
      <c r="D285" s="172" t="s">
        <v>221</v>
      </c>
      <c r="E285" s="172">
        <v>3.4906472573913101E-4</v>
      </c>
      <c r="F285" s="172">
        <v>99</v>
      </c>
      <c r="G285" s="172">
        <v>28</v>
      </c>
      <c r="H285" s="172">
        <v>0</v>
      </c>
      <c r="I285" s="172">
        <v>35.5</v>
      </c>
    </row>
    <row r="286" spans="2:9" hidden="1" x14ac:dyDescent="0.3">
      <c r="B286" s="172" t="s">
        <v>187</v>
      </c>
      <c r="C286" s="172" t="s">
        <v>246</v>
      </c>
      <c r="D286" s="172" t="s">
        <v>218</v>
      </c>
      <c r="E286" s="172">
        <v>4.1481662635555203E-5</v>
      </c>
      <c r="F286" s="172">
        <v>92</v>
      </c>
      <c r="G286" s="172">
        <v>-0.25</v>
      </c>
      <c r="H286" s="172">
        <v>-0.25</v>
      </c>
      <c r="I286" s="172">
        <v>35.5</v>
      </c>
    </row>
    <row r="287" spans="2:9" hidden="1" x14ac:dyDescent="0.3">
      <c r="B287" s="172" t="s">
        <v>187</v>
      </c>
      <c r="C287" s="172" t="s">
        <v>246</v>
      </c>
      <c r="D287" s="172" t="s">
        <v>221</v>
      </c>
      <c r="E287" s="172">
        <v>2.4059025620257399E-5</v>
      </c>
      <c r="F287" s="172">
        <v>99</v>
      </c>
      <c r="G287" s="172">
        <v>28</v>
      </c>
      <c r="H287" s="172">
        <v>0</v>
      </c>
      <c r="I287" s="172">
        <v>35.5</v>
      </c>
    </row>
    <row r="288" spans="2:9" hidden="1" x14ac:dyDescent="0.3">
      <c r="B288" s="172" t="s">
        <v>185</v>
      </c>
      <c r="C288" s="172" t="s">
        <v>79</v>
      </c>
      <c r="D288" s="172" t="s">
        <v>218</v>
      </c>
      <c r="E288" s="172">
        <v>5.0898696247206397E-4</v>
      </c>
      <c r="F288" s="172">
        <v>91</v>
      </c>
      <c r="G288" s="172">
        <v>23.25</v>
      </c>
      <c r="H288" s="172">
        <v>31.25</v>
      </c>
      <c r="I288" s="172">
        <v>32</v>
      </c>
    </row>
    <row r="289" spans="2:9" hidden="1" x14ac:dyDescent="0.3">
      <c r="B289" s="172" t="s">
        <v>185</v>
      </c>
      <c r="C289" s="172" t="s">
        <v>79</v>
      </c>
      <c r="D289" s="172" t="s">
        <v>221</v>
      </c>
      <c r="E289" s="172">
        <v>8.74671372354911E-5</v>
      </c>
      <c r="F289" s="172">
        <v>92</v>
      </c>
      <c r="G289" s="172">
        <v>-0.25</v>
      </c>
      <c r="H289" s="172">
        <v>-0.25</v>
      </c>
      <c r="I289" s="172">
        <v>32</v>
      </c>
    </row>
    <row r="290" spans="2:9" hidden="1" x14ac:dyDescent="0.3">
      <c r="B290" s="172" t="s">
        <v>185</v>
      </c>
      <c r="C290" s="172" t="s">
        <v>80</v>
      </c>
      <c r="D290" s="172" t="s">
        <v>218</v>
      </c>
      <c r="E290" s="172">
        <v>5.3857949799241702E-4</v>
      </c>
      <c r="F290" s="172">
        <v>92</v>
      </c>
      <c r="G290" s="172">
        <v>-0.25</v>
      </c>
      <c r="H290" s="172">
        <v>-0.25</v>
      </c>
      <c r="I290" s="172">
        <v>32</v>
      </c>
    </row>
    <row r="291" spans="2:9" hidden="1" x14ac:dyDescent="0.3">
      <c r="B291" s="172" t="s">
        <v>185</v>
      </c>
      <c r="C291" s="172" t="s">
        <v>80</v>
      </c>
      <c r="D291" s="172" t="s">
        <v>221</v>
      </c>
      <c r="E291" s="172">
        <v>1.3445225124982701E-4</v>
      </c>
      <c r="F291" s="172">
        <v>99</v>
      </c>
      <c r="G291" s="172">
        <v>28</v>
      </c>
      <c r="H291" s="172">
        <v>0</v>
      </c>
      <c r="I291" s="172">
        <v>32</v>
      </c>
    </row>
    <row r="292" spans="2:9" x14ac:dyDescent="0.3">
      <c r="B292" s="172" t="s">
        <v>185</v>
      </c>
      <c r="C292" s="172" t="s">
        <v>81</v>
      </c>
      <c r="D292" s="172" t="s">
        <v>221</v>
      </c>
      <c r="E292" s="172">
        <v>6.3516214000160698E-4</v>
      </c>
      <c r="F292" s="172">
        <v>99</v>
      </c>
      <c r="G292" s="172">
        <v>28</v>
      </c>
      <c r="H292" s="172">
        <v>0</v>
      </c>
      <c r="I292" s="172">
        <v>32</v>
      </c>
    </row>
    <row r="293" spans="2:9" hidden="1" x14ac:dyDescent="0.3">
      <c r="B293" s="172" t="s">
        <v>185</v>
      </c>
      <c r="C293" s="172" t="s">
        <v>82</v>
      </c>
      <c r="D293" s="172" t="s">
        <v>221</v>
      </c>
      <c r="E293" s="172">
        <v>5.5445444937321996E-4</v>
      </c>
      <c r="F293" s="172">
        <v>92</v>
      </c>
      <c r="G293" s="172">
        <v>-0.25</v>
      </c>
      <c r="H293" s="172">
        <v>-0.25</v>
      </c>
      <c r="I293" s="172">
        <v>32</v>
      </c>
    </row>
    <row r="294" spans="2:9" hidden="1" x14ac:dyDescent="0.3">
      <c r="B294" s="172" t="s">
        <v>185</v>
      </c>
      <c r="C294" s="172" t="s">
        <v>246</v>
      </c>
      <c r="D294" s="172" t="s">
        <v>218</v>
      </c>
      <c r="E294" s="172">
        <v>4.1583049810462197E-5</v>
      </c>
      <c r="F294" s="172">
        <v>92</v>
      </c>
      <c r="G294" s="172">
        <v>-0.25</v>
      </c>
      <c r="H294" s="172">
        <v>-0.25</v>
      </c>
      <c r="I294" s="172">
        <v>32</v>
      </c>
    </row>
    <row r="295" spans="2:9" hidden="1" x14ac:dyDescent="0.3">
      <c r="B295" s="172" t="s">
        <v>185</v>
      </c>
      <c r="C295" s="172" t="s">
        <v>246</v>
      </c>
      <c r="D295" s="172" t="s">
        <v>221</v>
      </c>
      <c r="E295" s="172">
        <v>2.17867672609282E-5</v>
      </c>
      <c r="F295" s="172">
        <v>99</v>
      </c>
      <c r="G295" s="172">
        <v>28</v>
      </c>
      <c r="H295" s="172">
        <v>0</v>
      </c>
      <c r="I295" s="172">
        <v>32</v>
      </c>
    </row>
    <row r="296" spans="2:9" hidden="1" x14ac:dyDescent="0.3">
      <c r="B296" s="172" t="s">
        <v>183</v>
      </c>
      <c r="C296" s="172" t="s">
        <v>79</v>
      </c>
      <c r="D296" s="172" t="s">
        <v>218</v>
      </c>
      <c r="E296" s="172">
        <v>6.9814013317878796E-4</v>
      </c>
      <c r="F296" s="172">
        <v>91</v>
      </c>
      <c r="G296" s="172">
        <v>23.25</v>
      </c>
      <c r="H296" s="172">
        <v>31.25</v>
      </c>
      <c r="I296" s="172">
        <v>28.5</v>
      </c>
    </row>
    <row r="297" spans="2:9" hidden="1" x14ac:dyDescent="0.3">
      <c r="B297" s="172" t="s">
        <v>183</v>
      </c>
      <c r="C297" s="172" t="s">
        <v>79</v>
      </c>
      <c r="D297" s="172" t="s">
        <v>221</v>
      </c>
      <c r="E297" s="172">
        <v>1.2585056551567801E-4</v>
      </c>
      <c r="F297" s="172">
        <v>92</v>
      </c>
      <c r="G297" s="172">
        <v>-0.25</v>
      </c>
      <c r="H297" s="172">
        <v>-0.25</v>
      </c>
      <c r="I297" s="172">
        <v>28.5</v>
      </c>
    </row>
    <row r="298" spans="2:9" hidden="1" x14ac:dyDescent="0.3">
      <c r="B298" s="172" t="s">
        <v>183</v>
      </c>
      <c r="C298" s="172" t="s">
        <v>80</v>
      </c>
      <c r="D298" s="172" t="s">
        <v>218</v>
      </c>
      <c r="E298" s="172">
        <v>7.1530053290041703E-4</v>
      </c>
      <c r="F298" s="172">
        <v>92</v>
      </c>
      <c r="G298" s="172">
        <v>-0.25</v>
      </c>
      <c r="H298" s="172">
        <v>-0.25</v>
      </c>
      <c r="I298" s="172">
        <v>28.5</v>
      </c>
    </row>
    <row r="299" spans="2:9" hidden="1" x14ac:dyDescent="0.3">
      <c r="B299" s="172" t="s">
        <v>183</v>
      </c>
      <c r="C299" s="172" t="s">
        <v>80</v>
      </c>
      <c r="D299" s="172" t="s">
        <v>221</v>
      </c>
      <c r="E299" s="172">
        <v>1.66367669100511E-4</v>
      </c>
      <c r="F299" s="172">
        <v>99</v>
      </c>
      <c r="G299" s="172">
        <v>28</v>
      </c>
      <c r="H299" s="172">
        <v>0</v>
      </c>
      <c r="I299" s="172">
        <v>28.5</v>
      </c>
    </row>
    <row r="300" spans="2:9" x14ac:dyDescent="0.3">
      <c r="B300" s="172" t="s">
        <v>183</v>
      </c>
      <c r="C300" s="172" t="s">
        <v>81</v>
      </c>
      <c r="D300" s="172" t="s">
        <v>221</v>
      </c>
      <c r="E300" s="172">
        <v>8.3361936306191296E-4</v>
      </c>
      <c r="F300" s="172">
        <v>99</v>
      </c>
      <c r="G300" s="172">
        <v>28</v>
      </c>
      <c r="H300" s="172">
        <v>0</v>
      </c>
      <c r="I300" s="172">
        <v>28.5</v>
      </c>
    </row>
    <row r="301" spans="2:9" hidden="1" x14ac:dyDescent="0.3">
      <c r="B301" s="172" t="s">
        <v>183</v>
      </c>
      <c r="C301" s="172" t="s">
        <v>82</v>
      </c>
      <c r="D301" s="172" t="s">
        <v>221</v>
      </c>
      <c r="E301" s="172">
        <v>7.7061168512218797E-4</v>
      </c>
      <c r="F301" s="172">
        <v>92</v>
      </c>
      <c r="G301" s="172">
        <v>-0.25</v>
      </c>
      <c r="H301" s="172">
        <v>-0.25</v>
      </c>
      <c r="I301" s="172">
        <v>28.5</v>
      </c>
    </row>
    <row r="302" spans="2:9" hidden="1" x14ac:dyDescent="0.3">
      <c r="B302" s="172" t="s">
        <v>183</v>
      </c>
      <c r="C302" s="172" t="s">
        <v>246</v>
      </c>
      <c r="D302" s="172" t="s">
        <v>218</v>
      </c>
      <c r="E302" s="172">
        <v>4.0135898490390603E-5</v>
      </c>
      <c r="F302" s="172">
        <v>92</v>
      </c>
      <c r="G302" s="172">
        <v>-0.25</v>
      </c>
      <c r="H302" s="172">
        <v>-0.25</v>
      </c>
      <c r="I302" s="172">
        <v>28.5</v>
      </c>
    </row>
    <row r="303" spans="2:9" hidden="1" x14ac:dyDescent="0.3">
      <c r="B303" s="172" t="s">
        <v>183</v>
      </c>
      <c r="C303" s="172" t="s">
        <v>246</v>
      </c>
      <c r="D303" s="172" t="s">
        <v>221</v>
      </c>
      <c r="E303" s="172">
        <v>2.06187574809571E-5</v>
      </c>
      <c r="F303" s="172">
        <v>99</v>
      </c>
      <c r="G303" s="172">
        <v>28</v>
      </c>
      <c r="H303" s="172">
        <v>0</v>
      </c>
      <c r="I303" s="172">
        <v>28.5</v>
      </c>
    </row>
    <row r="304" spans="2:9" hidden="1" x14ac:dyDescent="0.3">
      <c r="B304" s="172" t="s">
        <v>181</v>
      </c>
      <c r="C304" s="172" t="s">
        <v>79</v>
      </c>
      <c r="D304" s="172" t="s">
        <v>218</v>
      </c>
      <c r="E304" s="172">
        <v>8.5811965750832097E-4</v>
      </c>
      <c r="F304" s="172">
        <v>91</v>
      </c>
      <c r="G304" s="172">
        <v>23.25</v>
      </c>
      <c r="H304" s="172">
        <v>31.25</v>
      </c>
      <c r="I304" s="172">
        <v>25</v>
      </c>
    </row>
    <row r="305" spans="2:9" hidden="1" x14ac:dyDescent="0.3">
      <c r="B305" s="172" t="s">
        <v>181</v>
      </c>
      <c r="C305" s="172" t="s">
        <v>79</v>
      </c>
      <c r="D305" s="172" t="s">
        <v>221</v>
      </c>
      <c r="E305" s="172">
        <v>1.5870452557242699E-4</v>
      </c>
      <c r="F305" s="172">
        <v>92</v>
      </c>
      <c r="G305" s="172">
        <v>-0.25</v>
      </c>
      <c r="H305" s="172">
        <v>-0.25</v>
      </c>
      <c r="I305" s="172">
        <v>25</v>
      </c>
    </row>
    <row r="306" spans="2:9" hidden="1" x14ac:dyDescent="0.3">
      <c r="B306" s="172" t="s">
        <v>181</v>
      </c>
      <c r="C306" s="172" t="s">
        <v>80</v>
      </c>
      <c r="D306" s="172" t="s">
        <v>218</v>
      </c>
      <c r="E306" s="172">
        <v>8.63465383589818E-4</v>
      </c>
      <c r="F306" s="172">
        <v>92</v>
      </c>
      <c r="G306" s="172">
        <v>-0.25</v>
      </c>
      <c r="H306" s="172">
        <v>-0.25</v>
      </c>
      <c r="I306" s="172">
        <v>25</v>
      </c>
    </row>
    <row r="307" spans="2:9" hidden="1" x14ac:dyDescent="0.3">
      <c r="B307" s="172" t="s">
        <v>181</v>
      </c>
      <c r="C307" s="172" t="s">
        <v>80</v>
      </c>
      <c r="D307" s="172" t="s">
        <v>221</v>
      </c>
      <c r="E307" s="172">
        <v>1.9242090444113199E-4</v>
      </c>
      <c r="F307" s="172">
        <v>85</v>
      </c>
      <c r="G307" s="172">
        <v>28</v>
      </c>
      <c r="H307" s="172">
        <v>4</v>
      </c>
      <c r="I307" s="172">
        <v>25</v>
      </c>
    </row>
    <row r="308" spans="2:9" x14ac:dyDescent="0.3">
      <c r="B308" s="172" t="s">
        <v>181</v>
      </c>
      <c r="C308" s="172" t="s">
        <v>81</v>
      </c>
      <c r="D308" s="172" t="s">
        <v>221</v>
      </c>
      <c r="E308" s="172">
        <v>9.9889190730650403E-4</v>
      </c>
      <c r="F308" s="172">
        <v>99</v>
      </c>
      <c r="G308" s="172">
        <v>28</v>
      </c>
      <c r="H308" s="172">
        <v>0</v>
      </c>
      <c r="I308" s="172">
        <v>25</v>
      </c>
    </row>
    <row r="309" spans="2:9" hidden="1" x14ac:dyDescent="0.3">
      <c r="B309" s="172" t="s">
        <v>181</v>
      </c>
      <c r="C309" s="172" t="s">
        <v>82</v>
      </c>
      <c r="D309" s="172" t="s">
        <v>221</v>
      </c>
      <c r="E309" s="172">
        <v>9.5319197636682597E-4</v>
      </c>
      <c r="F309" s="172">
        <v>92</v>
      </c>
      <c r="G309" s="172">
        <v>-0.25</v>
      </c>
      <c r="H309" s="172">
        <v>-0.25</v>
      </c>
      <c r="I309" s="172">
        <v>25</v>
      </c>
    </row>
    <row r="310" spans="2:9" hidden="1" x14ac:dyDescent="0.3">
      <c r="B310" s="172" t="s">
        <v>181</v>
      </c>
      <c r="C310" s="172" t="s">
        <v>246</v>
      </c>
      <c r="D310" s="172" t="s">
        <v>218</v>
      </c>
      <c r="E310" s="172">
        <v>3.7554716504009498E-5</v>
      </c>
      <c r="F310" s="172">
        <v>92</v>
      </c>
      <c r="G310" s="172">
        <v>-0.25</v>
      </c>
      <c r="H310" s="172">
        <v>-0.25</v>
      </c>
      <c r="I310" s="172">
        <v>25</v>
      </c>
    </row>
    <row r="311" spans="2:9" hidden="1" x14ac:dyDescent="0.3">
      <c r="B311" s="172" t="s">
        <v>181</v>
      </c>
      <c r="C311" s="172" t="s">
        <v>246</v>
      </c>
      <c r="D311" s="172" t="s">
        <v>221</v>
      </c>
      <c r="E311" s="172">
        <v>1.9129888592597401E-5</v>
      </c>
      <c r="F311" s="172">
        <v>99</v>
      </c>
      <c r="G311" s="172">
        <v>28</v>
      </c>
      <c r="H311" s="172">
        <v>0</v>
      </c>
      <c r="I311" s="172">
        <v>25</v>
      </c>
    </row>
    <row r="312" spans="2:9" hidden="1" x14ac:dyDescent="0.3">
      <c r="B312" s="172" t="s">
        <v>179</v>
      </c>
      <c r="C312" s="172" t="s">
        <v>79</v>
      </c>
      <c r="D312" s="172" t="s">
        <v>218</v>
      </c>
      <c r="E312" s="172">
        <v>9.829954649038671E-4</v>
      </c>
      <c r="F312" s="172">
        <v>91</v>
      </c>
      <c r="G312" s="172">
        <v>23.25</v>
      </c>
      <c r="H312" s="172">
        <v>31.25</v>
      </c>
      <c r="I312" s="172">
        <v>21.5</v>
      </c>
    </row>
    <row r="313" spans="2:9" hidden="1" x14ac:dyDescent="0.3">
      <c r="B313" s="172" t="s">
        <v>179</v>
      </c>
      <c r="C313" s="172" t="s">
        <v>80</v>
      </c>
      <c r="D313" s="172" t="s">
        <v>218</v>
      </c>
      <c r="E313" s="172">
        <v>9.7750662016480899E-4</v>
      </c>
      <c r="F313" s="172">
        <v>92</v>
      </c>
      <c r="G313" s="172">
        <v>-0.25</v>
      </c>
      <c r="H313" s="172">
        <v>-0.25</v>
      </c>
      <c r="I313" s="172">
        <v>21.5</v>
      </c>
    </row>
    <row r="314" spans="2:9" hidden="1" x14ac:dyDescent="0.3">
      <c r="B314" s="172" t="s">
        <v>179</v>
      </c>
      <c r="C314" s="172" t="s">
        <v>80</v>
      </c>
      <c r="D314" s="172" t="s">
        <v>221</v>
      </c>
      <c r="E314" s="172">
        <v>2.1121990819977701E-4</v>
      </c>
      <c r="F314" s="172">
        <v>99</v>
      </c>
      <c r="G314" s="172">
        <v>28</v>
      </c>
      <c r="H314" s="172">
        <v>0</v>
      </c>
      <c r="I314" s="172">
        <v>21.5</v>
      </c>
    </row>
    <row r="315" spans="2:9" x14ac:dyDescent="0.3">
      <c r="B315" s="172" t="s">
        <v>179</v>
      </c>
      <c r="C315" s="172" t="s">
        <v>81</v>
      </c>
      <c r="D315" s="172" t="s">
        <v>221</v>
      </c>
      <c r="E315" s="172">
        <v>1.1255669348653899E-3</v>
      </c>
      <c r="F315" s="172">
        <v>99</v>
      </c>
      <c r="G315" s="172">
        <v>28</v>
      </c>
      <c r="H315" s="172">
        <v>0</v>
      </c>
      <c r="I315" s="172">
        <v>21.5</v>
      </c>
    </row>
    <row r="316" spans="2:9" hidden="1" x14ac:dyDescent="0.3">
      <c r="B316" s="172" t="s">
        <v>179</v>
      </c>
      <c r="C316" s="172" t="s">
        <v>82</v>
      </c>
      <c r="D316" s="172" t="s">
        <v>221</v>
      </c>
      <c r="E316" s="172">
        <v>1.09486357538714E-3</v>
      </c>
      <c r="F316" s="172">
        <v>92</v>
      </c>
      <c r="G316" s="172">
        <v>-0.25</v>
      </c>
      <c r="H316" s="172">
        <v>-0.25</v>
      </c>
      <c r="I316" s="172">
        <v>21.5</v>
      </c>
    </row>
    <row r="317" spans="2:9" hidden="1" x14ac:dyDescent="0.3">
      <c r="B317" s="172" t="s">
        <v>179</v>
      </c>
      <c r="C317" s="172" t="s">
        <v>246</v>
      </c>
      <c r="D317" s="172" t="s">
        <v>218</v>
      </c>
      <c r="E317" s="172">
        <v>3.3980512520601198E-5</v>
      </c>
      <c r="F317" s="172">
        <v>92</v>
      </c>
      <c r="G317" s="172">
        <v>-0.25</v>
      </c>
      <c r="H317" s="172">
        <v>-0.25</v>
      </c>
      <c r="I317" s="172">
        <v>21.5</v>
      </c>
    </row>
    <row r="318" spans="2:9" hidden="1" x14ac:dyDescent="0.3">
      <c r="B318" s="172" t="s">
        <v>179</v>
      </c>
      <c r="C318" s="172" t="s">
        <v>246</v>
      </c>
      <c r="D318" s="172" t="s">
        <v>221</v>
      </c>
      <c r="E318" s="172">
        <v>1.7408118763379E-5</v>
      </c>
      <c r="F318" s="172">
        <v>99</v>
      </c>
      <c r="G318" s="172">
        <v>28</v>
      </c>
      <c r="H318" s="172">
        <v>0</v>
      </c>
      <c r="I318" s="172">
        <v>21.5</v>
      </c>
    </row>
    <row r="319" spans="2:9" hidden="1" x14ac:dyDescent="0.3">
      <c r="B319" s="172" t="s">
        <v>39</v>
      </c>
      <c r="C319" s="172" t="s">
        <v>79</v>
      </c>
      <c r="D319" s="172" t="s">
        <v>218</v>
      </c>
      <c r="E319" s="172">
        <v>1.0385241599503599E-3</v>
      </c>
      <c r="F319" s="172">
        <v>91</v>
      </c>
      <c r="G319" s="172">
        <v>23.25</v>
      </c>
      <c r="H319" s="172">
        <v>31.25</v>
      </c>
      <c r="I319" s="172">
        <v>18</v>
      </c>
    </row>
    <row r="320" spans="2:9" hidden="1" x14ac:dyDescent="0.3">
      <c r="B320" s="172" t="s">
        <v>39</v>
      </c>
      <c r="C320" s="172" t="s">
        <v>80</v>
      </c>
      <c r="D320" s="172" t="s">
        <v>218</v>
      </c>
      <c r="E320" s="172">
        <v>1.01759890805316E-3</v>
      </c>
      <c r="F320" s="172">
        <v>92</v>
      </c>
      <c r="G320" s="172">
        <v>-0.25</v>
      </c>
      <c r="H320" s="172">
        <v>-0.25</v>
      </c>
      <c r="I320" s="172">
        <v>18</v>
      </c>
    </row>
    <row r="321" spans="2:9" hidden="1" x14ac:dyDescent="0.3">
      <c r="B321" s="172" t="s">
        <v>39</v>
      </c>
      <c r="C321" s="172" t="s">
        <v>80</v>
      </c>
      <c r="D321" s="172" t="s">
        <v>221</v>
      </c>
      <c r="E321" s="172">
        <v>2.09920585092032E-4</v>
      </c>
      <c r="F321" s="172">
        <v>99</v>
      </c>
      <c r="G321" s="172">
        <v>28</v>
      </c>
      <c r="H321" s="172">
        <v>0</v>
      </c>
      <c r="I321" s="172">
        <v>18</v>
      </c>
    </row>
    <row r="322" spans="2:9" x14ac:dyDescent="0.3">
      <c r="B322" s="172" t="s">
        <v>39</v>
      </c>
      <c r="C322" s="172" t="s">
        <v>81</v>
      </c>
      <c r="D322" s="172" t="s">
        <v>221</v>
      </c>
      <c r="E322" s="172">
        <v>1.1809243541993999E-3</v>
      </c>
      <c r="F322" s="172">
        <v>99</v>
      </c>
      <c r="G322" s="172">
        <v>28</v>
      </c>
      <c r="H322" s="172">
        <v>0</v>
      </c>
      <c r="I322" s="172">
        <v>18</v>
      </c>
    </row>
    <row r="323" spans="2:9" hidden="1" x14ac:dyDescent="0.3">
      <c r="B323" s="172" t="s">
        <v>39</v>
      </c>
      <c r="C323" s="172" t="s">
        <v>82</v>
      </c>
      <c r="D323" s="172" t="s">
        <v>221</v>
      </c>
      <c r="E323" s="172">
        <v>1.1588446855402899E-3</v>
      </c>
      <c r="F323" s="172">
        <v>92</v>
      </c>
      <c r="G323" s="172">
        <v>-0.25</v>
      </c>
      <c r="H323" s="172">
        <v>-0.25</v>
      </c>
      <c r="I323" s="172">
        <v>18</v>
      </c>
    </row>
    <row r="324" spans="2:9" hidden="1" x14ac:dyDescent="0.3">
      <c r="B324" s="172" t="s">
        <v>39</v>
      </c>
      <c r="C324" s="172" t="s">
        <v>246</v>
      </c>
      <c r="D324" s="172" t="s">
        <v>218</v>
      </c>
      <c r="E324" s="172">
        <v>2.89404262857257E-5</v>
      </c>
      <c r="F324" s="172">
        <v>92</v>
      </c>
      <c r="G324" s="172">
        <v>-0.25</v>
      </c>
      <c r="H324" s="172">
        <v>-0.25</v>
      </c>
      <c r="I324" s="172">
        <v>18</v>
      </c>
    </row>
    <row r="325" spans="2:9" hidden="1" x14ac:dyDescent="0.3">
      <c r="B325" s="172" t="s">
        <v>39</v>
      </c>
      <c r="C325" s="172" t="s">
        <v>246</v>
      </c>
      <c r="D325" s="172" t="s">
        <v>221</v>
      </c>
      <c r="E325" s="172">
        <v>1.5642951060608801E-5</v>
      </c>
      <c r="F325" s="172">
        <v>99</v>
      </c>
      <c r="G325" s="172">
        <v>28</v>
      </c>
      <c r="H325" s="172">
        <v>0</v>
      </c>
      <c r="I325" s="172">
        <v>18</v>
      </c>
    </row>
    <row r="326" spans="2:9" hidden="1" x14ac:dyDescent="0.3">
      <c r="B326" s="172" t="s">
        <v>26</v>
      </c>
      <c r="C326" s="172" t="s">
        <v>79</v>
      </c>
      <c r="D326" s="172" t="s">
        <v>218</v>
      </c>
      <c r="E326" s="172">
        <v>1.0704638613889101E-3</v>
      </c>
      <c r="F326" s="172">
        <v>91</v>
      </c>
      <c r="G326" s="172">
        <v>23.25</v>
      </c>
      <c r="H326" s="172">
        <v>31.25</v>
      </c>
      <c r="I326" s="172">
        <v>14.5</v>
      </c>
    </row>
    <row r="327" spans="2:9" hidden="1" x14ac:dyDescent="0.3">
      <c r="B327" s="172" t="s">
        <v>26</v>
      </c>
      <c r="C327" s="172" t="s">
        <v>80</v>
      </c>
      <c r="D327" s="172" t="s">
        <v>218</v>
      </c>
      <c r="E327" s="172">
        <v>1.0344423607955701E-3</v>
      </c>
      <c r="F327" s="172">
        <v>92</v>
      </c>
      <c r="G327" s="172">
        <v>-0.25</v>
      </c>
      <c r="H327" s="172">
        <v>-0.25</v>
      </c>
      <c r="I327" s="172">
        <v>14.5</v>
      </c>
    </row>
    <row r="328" spans="2:9" hidden="1" x14ac:dyDescent="0.3">
      <c r="B328" s="172" t="s">
        <v>26</v>
      </c>
      <c r="C328" s="172" t="s">
        <v>80</v>
      </c>
      <c r="D328" s="172" t="s">
        <v>221</v>
      </c>
      <c r="E328" s="172">
        <v>2.03284627597469E-4</v>
      </c>
      <c r="F328" s="172">
        <v>85</v>
      </c>
      <c r="G328" s="172">
        <v>28</v>
      </c>
      <c r="H328" s="172">
        <v>4</v>
      </c>
      <c r="I328" s="172">
        <v>14.5</v>
      </c>
    </row>
    <row r="329" spans="2:9" x14ac:dyDescent="0.3">
      <c r="B329" s="172" t="s">
        <v>26</v>
      </c>
      <c r="C329" s="172" t="s">
        <v>81</v>
      </c>
      <c r="D329" s="172" t="s">
        <v>221</v>
      </c>
      <c r="E329" s="172">
        <v>1.21049056082739E-3</v>
      </c>
      <c r="F329" s="172">
        <v>99</v>
      </c>
      <c r="G329" s="172">
        <v>28</v>
      </c>
      <c r="H329" s="172">
        <v>0</v>
      </c>
      <c r="I329" s="172">
        <v>14.5</v>
      </c>
    </row>
    <row r="330" spans="2:9" hidden="1" x14ac:dyDescent="0.3">
      <c r="B330" s="172" t="s">
        <v>26</v>
      </c>
      <c r="C330" s="172" t="s">
        <v>82</v>
      </c>
      <c r="D330" s="172" t="s">
        <v>221</v>
      </c>
      <c r="E330" s="172">
        <v>1.1976758559095299E-3</v>
      </c>
      <c r="F330" s="172">
        <v>92</v>
      </c>
      <c r="G330" s="172">
        <v>-0.25</v>
      </c>
      <c r="H330" s="172">
        <v>-0.25</v>
      </c>
      <c r="I330" s="172">
        <v>14.5</v>
      </c>
    </row>
    <row r="331" spans="2:9" hidden="1" x14ac:dyDescent="0.3">
      <c r="B331" s="172" t="s">
        <v>26</v>
      </c>
      <c r="C331" s="172" t="s">
        <v>246</v>
      </c>
      <c r="D331" s="172" t="s">
        <v>218</v>
      </c>
      <c r="E331" s="172">
        <v>2.3073499168079701E-5</v>
      </c>
      <c r="F331" s="172">
        <v>92</v>
      </c>
      <c r="G331" s="172">
        <v>-0.25</v>
      </c>
      <c r="H331" s="172">
        <v>-0.25</v>
      </c>
      <c r="I331" s="172">
        <v>14.5</v>
      </c>
    </row>
    <row r="332" spans="2:9" hidden="1" x14ac:dyDescent="0.3">
      <c r="B332" s="172" t="s">
        <v>26</v>
      </c>
      <c r="C332" s="172" t="s">
        <v>246</v>
      </c>
      <c r="D332" s="172" t="s">
        <v>221</v>
      </c>
      <c r="E332" s="172">
        <v>1.35171876013631E-5</v>
      </c>
      <c r="F332" s="172">
        <v>99</v>
      </c>
      <c r="G332" s="172">
        <v>28</v>
      </c>
      <c r="H332" s="172">
        <v>0</v>
      </c>
      <c r="I332" s="172">
        <v>14.5</v>
      </c>
    </row>
    <row r="333" spans="2:9" hidden="1" x14ac:dyDescent="0.3">
      <c r="B333" s="172" t="s">
        <v>25</v>
      </c>
      <c r="C333" s="172" t="s">
        <v>79</v>
      </c>
      <c r="D333" s="172" t="s">
        <v>218</v>
      </c>
      <c r="E333" s="172">
        <v>1.12158366267139E-3</v>
      </c>
      <c r="F333" s="172">
        <v>91</v>
      </c>
      <c r="G333" s="172">
        <v>23.25</v>
      </c>
      <c r="H333" s="172">
        <v>31.25</v>
      </c>
      <c r="I333" s="172">
        <v>11</v>
      </c>
    </row>
    <row r="334" spans="2:9" hidden="1" x14ac:dyDescent="0.3">
      <c r="B334" s="172" t="s">
        <v>25</v>
      </c>
      <c r="C334" s="172" t="s">
        <v>80</v>
      </c>
      <c r="D334" s="172" t="s">
        <v>218</v>
      </c>
      <c r="E334" s="172">
        <v>1.07624302286926E-3</v>
      </c>
      <c r="F334" s="172">
        <v>92</v>
      </c>
      <c r="G334" s="172">
        <v>-0.25</v>
      </c>
      <c r="H334" s="172">
        <v>-0.25</v>
      </c>
      <c r="I334" s="172">
        <v>11</v>
      </c>
    </row>
    <row r="335" spans="2:9" hidden="1" x14ac:dyDescent="0.3">
      <c r="B335" s="172" t="s">
        <v>25</v>
      </c>
      <c r="C335" s="172" t="s">
        <v>80</v>
      </c>
      <c r="D335" s="172" t="s">
        <v>221</v>
      </c>
      <c r="E335" s="172">
        <v>2.0562046464914601E-4</v>
      </c>
      <c r="F335" s="172">
        <v>99</v>
      </c>
      <c r="G335" s="172">
        <v>28</v>
      </c>
      <c r="H335" s="172">
        <v>0</v>
      </c>
      <c r="I335" s="172">
        <v>11</v>
      </c>
    </row>
    <row r="336" spans="2:9" x14ac:dyDescent="0.3">
      <c r="B336" s="172" t="s">
        <v>25</v>
      </c>
      <c r="C336" s="172" t="s">
        <v>81</v>
      </c>
      <c r="D336" s="172" t="s">
        <v>221</v>
      </c>
      <c r="E336" s="172">
        <v>1.25385836815689E-3</v>
      </c>
      <c r="F336" s="172">
        <v>99</v>
      </c>
      <c r="G336" s="172">
        <v>28</v>
      </c>
      <c r="H336" s="172">
        <v>0</v>
      </c>
      <c r="I336" s="172">
        <v>11</v>
      </c>
    </row>
    <row r="337" spans="2:9" hidden="1" x14ac:dyDescent="0.3">
      <c r="B337" s="172" t="s">
        <v>25</v>
      </c>
      <c r="C337" s="172" t="s">
        <v>82</v>
      </c>
      <c r="D337" s="172" t="s">
        <v>221</v>
      </c>
      <c r="E337" s="172">
        <v>1.2574056131302699E-3</v>
      </c>
      <c r="F337" s="172">
        <v>92</v>
      </c>
      <c r="G337" s="172">
        <v>-0.25</v>
      </c>
      <c r="H337" s="172">
        <v>-0.25</v>
      </c>
      <c r="I337" s="172">
        <v>11</v>
      </c>
    </row>
    <row r="338" spans="2:9" hidden="1" x14ac:dyDescent="0.3">
      <c r="B338" s="172" t="s">
        <v>25</v>
      </c>
      <c r="C338" s="172" t="s">
        <v>246</v>
      </c>
      <c r="D338" s="172" t="s">
        <v>218</v>
      </c>
      <c r="E338" s="172">
        <v>1.6883404980231402E-5</v>
      </c>
      <c r="F338" s="172">
        <v>92</v>
      </c>
      <c r="G338" s="172">
        <v>-0.25</v>
      </c>
      <c r="H338" s="172">
        <v>-0.25</v>
      </c>
      <c r="I338" s="172">
        <v>11</v>
      </c>
    </row>
    <row r="339" spans="2:9" s="172" customFormat="1" hidden="1" x14ac:dyDescent="0.3">
      <c r="B339" s="172" t="s">
        <v>25</v>
      </c>
      <c r="C339" s="172" t="s">
        <v>246</v>
      </c>
      <c r="D339" s="172" t="s">
        <v>221</v>
      </c>
      <c r="E339" s="172">
        <v>1.06395124186606E-5</v>
      </c>
      <c r="F339" s="172">
        <v>99</v>
      </c>
      <c r="G339" s="172">
        <v>28</v>
      </c>
      <c r="H339" s="172">
        <v>0</v>
      </c>
      <c r="I339" s="172">
        <v>11</v>
      </c>
    </row>
    <row r="340" spans="2:9" hidden="1" x14ac:dyDescent="0.3">
      <c r="B340" s="172" t="s">
        <v>24</v>
      </c>
      <c r="C340" s="172" t="s">
        <v>79</v>
      </c>
      <c r="D340" s="172" t="s">
        <v>218</v>
      </c>
      <c r="E340" s="172">
        <v>1.1310609943379899E-3</v>
      </c>
      <c r="F340" s="172">
        <v>91</v>
      </c>
      <c r="G340" s="172">
        <v>23.25</v>
      </c>
      <c r="H340" s="172">
        <v>31.25</v>
      </c>
      <c r="I340" s="172">
        <v>7.5</v>
      </c>
    </row>
    <row r="341" spans="2:9" hidden="1" x14ac:dyDescent="0.3">
      <c r="B341" s="172" t="s">
        <v>24</v>
      </c>
      <c r="C341" s="172" t="s">
        <v>80</v>
      </c>
      <c r="D341" s="172" t="s">
        <v>218</v>
      </c>
      <c r="E341" s="172">
        <v>1.08370122622849E-3</v>
      </c>
      <c r="F341" s="172">
        <v>92</v>
      </c>
      <c r="G341" s="172">
        <v>-0.25</v>
      </c>
      <c r="H341" s="172">
        <v>-0.25</v>
      </c>
      <c r="I341" s="172">
        <v>7.5</v>
      </c>
    </row>
    <row r="342" spans="2:9" hidden="1" x14ac:dyDescent="0.3">
      <c r="B342" s="172" t="s">
        <v>24</v>
      </c>
      <c r="C342" s="172" t="s">
        <v>80</v>
      </c>
      <c r="D342" s="172" t="s">
        <v>221</v>
      </c>
      <c r="E342" s="172">
        <v>2.0322244058488401E-4</v>
      </c>
      <c r="F342" s="172">
        <v>99</v>
      </c>
      <c r="G342" s="172">
        <v>28</v>
      </c>
      <c r="H342" s="172">
        <v>0</v>
      </c>
      <c r="I342" s="172">
        <v>7.5</v>
      </c>
    </row>
    <row r="343" spans="2:9" s="172" customFormat="1" x14ac:dyDescent="0.3">
      <c r="B343" s="172" t="s">
        <v>24</v>
      </c>
      <c r="C343" s="172" t="s">
        <v>81</v>
      </c>
      <c r="D343" s="172" t="s">
        <v>221</v>
      </c>
      <c r="E343" s="172">
        <v>1.2452995753301E-3</v>
      </c>
      <c r="F343" s="172">
        <v>99</v>
      </c>
      <c r="G343" s="172">
        <v>28</v>
      </c>
      <c r="H343" s="172">
        <v>0</v>
      </c>
      <c r="I343" s="172">
        <v>7.5</v>
      </c>
    </row>
    <row r="344" spans="2:9" hidden="1" x14ac:dyDescent="0.3">
      <c r="B344" s="172" t="s">
        <v>24</v>
      </c>
      <c r="C344" s="172" t="s">
        <v>82</v>
      </c>
      <c r="D344" s="172" t="s">
        <v>221</v>
      </c>
      <c r="E344" s="172">
        <v>1.25965094418649E-3</v>
      </c>
      <c r="F344" s="172">
        <v>92</v>
      </c>
      <c r="G344" s="172">
        <v>-0.25</v>
      </c>
      <c r="H344" s="172">
        <v>-0.25</v>
      </c>
      <c r="I344" s="172">
        <v>7.5</v>
      </c>
    </row>
    <row r="345" spans="2:9" hidden="1" x14ac:dyDescent="0.3">
      <c r="B345" s="172" t="s">
        <v>24</v>
      </c>
      <c r="C345" s="172" t="s">
        <v>246</v>
      </c>
      <c r="D345" s="172" t="s">
        <v>218</v>
      </c>
      <c r="E345" s="172">
        <v>1.01679173196337E-5</v>
      </c>
      <c r="F345" s="172">
        <v>92</v>
      </c>
      <c r="G345" s="172">
        <v>-0.25</v>
      </c>
      <c r="H345" s="172">
        <v>-0.25</v>
      </c>
      <c r="I345" s="172">
        <v>7.5</v>
      </c>
    </row>
    <row r="346" spans="2:9" hidden="1" x14ac:dyDescent="0.3">
      <c r="B346" s="172" t="s">
        <v>24</v>
      </c>
      <c r="C346" s="172" t="s">
        <v>246</v>
      </c>
      <c r="D346" s="172" t="s">
        <v>221</v>
      </c>
      <c r="E346" s="172">
        <v>7.7865054061319908E-6</v>
      </c>
      <c r="F346" s="172">
        <v>99</v>
      </c>
      <c r="G346" s="172">
        <v>28</v>
      </c>
      <c r="H346" s="172">
        <v>0</v>
      </c>
      <c r="I346" s="172">
        <v>7.5</v>
      </c>
    </row>
    <row r="347" spans="2:9" s="172" customFormat="1" hidden="1" x14ac:dyDescent="0.3">
      <c r="B347" s="172" t="s">
        <v>22</v>
      </c>
      <c r="C347" s="172" t="s">
        <v>79</v>
      </c>
      <c r="D347" s="172" t="s">
        <v>218</v>
      </c>
      <c r="E347" s="172">
        <v>8.2576756390245201E-4</v>
      </c>
      <c r="F347" s="172">
        <v>28</v>
      </c>
      <c r="G347" s="172">
        <v>19</v>
      </c>
      <c r="H347" s="172">
        <v>31</v>
      </c>
      <c r="I347" s="172">
        <v>4</v>
      </c>
    </row>
    <row r="348" spans="2:9" hidden="1" x14ac:dyDescent="0.3">
      <c r="B348" s="172" t="s">
        <v>22</v>
      </c>
      <c r="C348" s="172" t="s">
        <v>80</v>
      </c>
      <c r="D348" s="172" t="s">
        <v>218</v>
      </c>
      <c r="E348" s="172">
        <v>8.1158345716958501E-4</v>
      </c>
      <c r="F348" s="172">
        <v>99</v>
      </c>
      <c r="G348" s="172">
        <v>28</v>
      </c>
      <c r="H348" s="172">
        <v>0</v>
      </c>
      <c r="I348" s="172">
        <v>4</v>
      </c>
    </row>
    <row r="349" spans="2:9" hidden="1" x14ac:dyDescent="0.3">
      <c r="B349" s="172" t="s">
        <v>22</v>
      </c>
      <c r="C349" s="172" t="s">
        <v>80</v>
      </c>
      <c r="D349" s="172" t="s">
        <v>221</v>
      </c>
      <c r="E349" s="172">
        <v>1.5980911546861101E-4</v>
      </c>
      <c r="F349" s="172">
        <v>99</v>
      </c>
      <c r="G349" s="172">
        <v>28</v>
      </c>
      <c r="H349" s="172">
        <v>0</v>
      </c>
      <c r="I349" s="172">
        <v>4</v>
      </c>
    </row>
    <row r="350" spans="2:9" x14ac:dyDescent="0.3">
      <c r="B350" s="172" t="s">
        <v>22</v>
      </c>
      <c r="C350" s="172" t="s">
        <v>81</v>
      </c>
      <c r="D350" s="172" t="s">
        <v>221</v>
      </c>
      <c r="E350" s="172">
        <v>8.8648446520956498E-4</v>
      </c>
      <c r="F350" s="172">
        <v>99</v>
      </c>
      <c r="G350" s="172">
        <v>28</v>
      </c>
      <c r="H350" s="172">
        <v>0</v>
      </c>
      <c r="I350" s="172">
        <v>4</v>
      </c>
    </row>
    <row r="351" spans="2:9" s="172" customFormat="1" hidden="1" x14ac:dyDescent="0.3">
      <c r="B351" s="172" t="s">
        <v>22</v>
      </c>
      <c r="C351" s="172" t="s">
        <v>82</v>
      </c>
      <c r="D351" s="172" t="s">
        <v>221</v>
      </c>
      <c r="E351" s="172">
        <v>8.7541428012004601E-4</v>
      </c>
      <c r="F351" s="172">
        <v>32</v>
      </c>
      <c r="G351" s="172">
        <v>0</v>
      </c>
      <c r="H351" s="172">
        <v>25</v>
      </c>
      <c r="I351" s="172">
        <v>4</v>
      </c>
    </row>
    <row r="352" spans="2:9" hidden="1" x14ac:dyDescent="0.3">
      <c r="B352" s="172" t="s">
        <v>22</v>
      </c>
      <c r="C352" s="172" t="s">
        <v>246</v>
      </c>
      <c r="D352" s="172" t="s">
        <v>218</v>
      </c>
      <c r="E352" s="172">
        <v>3.3401575384912399E-6</v>
      </c>
      <c r="F352" s="172">
        <v>99</v>
      </c>
      <c r="G352" s="172">
        <v>28</v>
      </c>
      <c r="H352" s="172">
        <v>0</v>
      </c>
      <c r="I352" s="172">
        <v>4</v>
      </c>
    </row>
    <row r="353" spans="2:9" hidden="1" x14ac:dyDescent="0.3">
      <c r="B353" s="172" t="s">
        <v>22</v>
      </c>
      <c r="C353" s="172" t="s">
        <v>246</v>
      </c>
      <c r="D353" s="172" t="s">
        <v>221</v>
      </c>
      <c r="E353" s="172">
        <v>3.2294940065762198E-6</v>
      </c>
      <c r="F353" s="172">
        <v>99</v>
      </c>
      <c r="G353" s="172">
        <v>28</v>
      </c>
      <c r="H353" s="172">
        <v>0</v>
      </c>
      <c r="I353" s="172">
        <v>4</v>
      </c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2.8323869297776502E-4</v>
      </c>
      <c r="F402" s="172">
        <v>85</v>
      </c>
      <c r="G402" s="172">
        <v>28</v>
      </c>
      <c r="H402" s="172">
        <v>4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221</v>
      </c>
      <c r="E403" s="172">
        <v>4.19434238971062E-5</v>
      </c>
      <c r="F403" s="172">
        <v>20</v>
      </c>
      <c r="G403" s="172">
        <v>23</v>
      </c>
      <c r="H403" s="172">
        <v>0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218</v>
      </c>
      <c r="E404" s="172">
        <v>3.3317429108988499E-4</v>
      </c>
      <c r="F404" s="172">
        <v>20</v>
      </c>
      <c r="G404" s="172">
        <v>23</v>
      </c>
      <c r="H404" s="172">
        <v>0</v>
      </c>
      <c r="I404" s="172">
        <v>38.5</v>
      </c>
    </row>
    <row r="405" spans="2:9" hidden="1" x14ac:dyDescent="0.3">
      <c r="B405" s="172" t="s">
        <v>189</v>
      </c>
      <c r="C405" s="172" t="s">
        <v>80</v>
      </c>
      <c r="D405" s="172" t="s">
        <v>221</v>
      </c>
      <c r="E405" s="172">
        <v>1.04047966472289E-4</v>
      </c>
      <c r="F405" s="172">
        <v>99</v>
      </c>
      <c r="G405" s="172">
        <v>28</v>
      </c>
      <c r="H405" s="172">
        <v>0</v>
      </c>
      <c r="I405" s="172">
        <v>38.5</v>
      </c>
    </row>
    <row r="406" spans="2:9" hidden="1" x14ac:dyDescent="0.3">
      <c r="B406" s="172" t="s">
        <v>189</v>
      </c>
      <c r="C406" s="172" t="s">
        <v>81</v>
      </c>
      <c r="D406" s="172" t="s">
        <v>218</v>
      </c>
      <c r="E406" s="172">
        <v>1.3086135707737501E-4</v>
      </c>
      <c r="F406" s="172">
        <v>20</v>
      </c>
      <c r="G406" s="172">
        <v>23</v>
      </c>
      <c r="H406" s="172">
        <v>0</v>
      </c>
      <c r="I406" s="172">
        <v>38.5</v>
      </c>
    </row>
    <row r="407" spans="2:9" hidden="1" x14ac:dyDescent="0.3">
      <c r="B407" s="172" t="s">
        <v>189</v>
      </c>
      <c r="C407" s="172" t="s">
        <v>81</v>
      </c>
      <c r="D407" s="172" t="s">
        <v>221</v>
      </c>
      <c r="E407" s="172">
        <v>4.5778979480174498E-4</v>
      </c>
      <c r="F407" s="172">
        <v>99</v>
      </c>
      <c r="G407" s="172">
        <v>28</v>
      </c>
      <c r="H407" s="172">
        <v>0</v>
      </c>
      <c r="I407" s="172">
        <v>38.5</v>
      </c>
    </row>
    <row r="408" spans="2:9" hidden="1" x14ac:dyDescent="0.3">
      <c r="B408" s="172" t="s">
        <v>189</v>
      </c>
      <c r="C408" s="172" t="s">
        <v>82</v>
      </c>
      <c r="D408" s="172" t="s">
        <v>218</v>
      </c>
      <c r="E408" s="172">
        <v>7.8998525382879405E-5</v>
      </c>
      <c r="F408" s="172">
        <v>20</v>
      </c>
      <c r="G408" s="172">
        <v>23</v>
      </c>
      <c r="H408" s="172">
        <v>0</v>
      </c>
      <c r="I408" s="172">
        <v>38.5</v>
      </c>
    </row>
    <row r="409" spans="2:9" x14ac:dyDescent="0.3">
      <c r="B409" s="172" t="s">
        <v>189</v>
      </c>
      <c r="C409" s="172" t="s">
        <v>82</v>
      </c>
      <c r="D409" s="172" t="s">
        <v>221</v>
      </c>
      <c r="E409" s="172">
        <v>3.9268769196779E-4</v>
      </c>
      <c r="F409" s="172">
        <v>99</v>
      </c>
      <c r="G409" s="172">
        <v>28</v>
      </c>
      <c r="H409" s="172">
        <v>0</v>
      </c>
      <c r="I409" s="172">
        <v>38.5</v>
      </c>
    </row>
    <row r="410" spans="2:9" hidden="1" x14ac:dyDescent="0.3">
      <c r="B410" s="172" t="s">
        <v>189</v>
      </c>
      <c r="C410" s="172" t="s">
        <v>246</v>
      </c>
      <c r="D410" s="172" t="s">
        <v>218</v>
      </c>
      <c r="E410" s="172">
        <v>1.5945039875312801E-4</v>
      </c>
      <c r="F410" s="172">
        <v>20</v>
      </c>
      <c r="G410" s="172">
        <v>23</v>
      </c>
      <c r="H410" s="172">
        <v>0</v>
      </c>
      <c r="I410" s="172">
        <v>38.5</v>
      </c>
    </row>
    <row r="411" spans="2:9" hidden="1" x14ac:dyDescent="0.3">
      <c r="B411" s="172" t="s">
        <v>187</v>
      </c>
      <c r="C411" s="172" t="s">
        <v>79</v>
      </c>
      <c r="D411" s="172" t="s">
        <v>218</v>
      </c>
      <c r="E411" s="172">
        <v>3.0972363066108301E-4</v>
      </c>
      <c r="F411" s="172">
        <v>91</v>
      </c>
      <c r="G411" s="172">
        <v>23.25</v>
      </c>
      <c r="H411" s="172">
        <v>31.25</v>
      </c>
      <c r="I411" s="172">
        <v>35.5</v>
      </c>
    </row>
    <row r="412" spans="2:9" hidden="1" x14ac:dyDescent="0.3">
      <c r="B412" s="172" t="s">
        <v>187</v>
      </c>
      <c r="C412" s="172" t="s">
        <v>79</v>
      </c>
      <c r="D412" s="172" t="s">
        <v>221</v>
      </c>
      <c r="E412" s="172">
        <v>4.8509425957481702E-5</v>
      </c>
      <c r="F412" s="172">
        <v>92</v>
      </c>
      <c r="G412" s="172">
        <v>-0.25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80</v>
      </c>
      <c r="D413" s="172" t="s">
        <v>218</v>
      </c>
      <c r="E413" s="172">
        <v>3.4799227375707E-4</v>
      </c>
      <c r="F413" s="172">
        <v>92</v>
      </c>
      <c r="G413" s="172">
        <v>-0.25</v>
      </c>
      <c r="H413" s="172">
        <v>-0.25</v>
      </c>
      <c r="I413" s="172">
        <v>35.5</v>
      </c>
    </row>
    <row r="414" spans="2:9" hidden="1" x14ac:dyDescent="0.3">
      <c r="B414" s="172" t="s">
        <v>187</v>
      </c>
      <c r="C414" s="172" t="s">
        <v>80</v>
      </c>
      <c r="D414" s="172" t="s">
        <v>221</v>
      </c>
      <c r="E414" s="172">
        <v>9.7693244444047199E-5</v>
      </c>
      <c r="F414" s="172">
        <v>99</v>
      </c>
      <c r="G414" s="172">
        <v>28</v>
      </c>
      <c r="H414" s="172">
        <v>0</v>
      </c>
      <c r="I414" s="172">
        <v>35.5</v>
      </c>
    </row>
    <row r="415" spans="2:9" hidden="1" x14ac:dyDescent="0.3">
      <c r="B415" s="172" t="s">
        <v>187</v>
      </c>
      <c r="C415" s="172" t="s">
        <v>81</v>
      </c>
      <c r="D415" s="172" t="s">
        <v>221</v>
      </c>
      <c r="E415" s="172">
        <v>4.1889370431332499E-4</v>
      </c>
      <c r="F415" s="172">
        <v>99</v>
      </c>
      <c r="G415" s="172">
        <v>28</v>
      </c>
      <c r="H415" s="172">
        <v>0</v>
      </c>
      <c r="I415" s="172">
        <v>35.5</v>
      </c>
    </row>
    <row r="416" spans="2:9" hidden="1" x14ac:dyDescent="0.3">
      <c r="B416" s="172" t="s">
        <v>187</v>
      </c>
      <c r="C416" s="172" t="s">
        <v>82</v>
      </c>
      <c r="D416" s="172" t="s">
        <v>218</v>
      </c>
      <c r="E416" s="172">
        <v>4.7085286061547599E-5</v>
      </c>
      <c r="F416" s="172">
        <v>92</v>
      </c>
      <c r="G416" s="172">
        <v>-0.25</v>
      </c>
      <c r="H416" s="172">
        <v>-0.25</v>
      </c>
      <c r="I416" s="172">
        <v>35.5</v>
      </c>
    </row>
    <row r="417" spans="2:9" x14ac:dyDescent="0.3">
      <c r="B417" s="172" t="s">
        <v>187</v>
      </c>
      <c r="C417" s="172" t="s">
        <v>82</v>
      </c>
      <c r="D417" s="172" t="s">
        <v>221</v>
      </c>
      <c r="E417" s="172">
        <v>3.4906472573913101E-4</v>
      </c>
      <c r="F417" s="172">
        <v>99</v>
      </c>
      <c r="G417" s="172">
        <v>28</v>
      </c>
      <c r="H417" s="172">
        <v>0</v>
      </c>
      <c r="I417" s="172">
        <v>35.5</v>
      </c>
    </row>
    <row r="418" spans="2:9" hidden="1" x14ac:dyDescent="0.3">
      <c r="B418" s="172" t="s">
        <v>187</v>
      </c>
      <c r="C418" s="172" t="s">
        <v>246</v>
      </c>
      <c r="D418" s="172" t="s">
        <v>218</v>
      </c>
      <c r="E418" s="172">
        <v>4.1481662635555203E-5</v>
      </c>
      <c r="F418" s="172">
        <v>92</v>
      </c>
      <c r="G418" s="172">
        <v>-0.25</v>
      </c>
      <c r="H418" s="172">
        <v>-0.25</v>
      </c>
      <c r="I418" s="172">
        <v>35.5</v>
      </c>
    </row>
    <row r="419" spans="2:9" hidden="1" x14ac:dyDescent="0.3">
      <c r="B419" s="172" t="s">
        <v>187</v>
      </c>
      <c r="C419" s="172" t="s">
        <v>246</v>
      </c>
      <c r="D419" s="172" t="s">
        <v>221</v>
      </c>
      <c r="E419" s="172">
        <v>2.4059025620257399E-5</v>
      </c>
      <c r="F419" s="172">
        <v>99</v>
      </c>
      <c r="G419" s="172">
        <v>28</v>
      </c>
      <c r="H419" s="172">
        <v>0</v>
      </c>
      <c r="I419" s="172">
        <v>35.5</v>
      </c>
    </row>
    <row r="420" spans="2:9" hidden="1" x14ac:dyDescent="0.3">
      <c r="B420" s="172" t="s">
        <v>185</v>
      </c>
      <c r="C420" s="172" t="s">
        <v>79</v>
      </c>
      <c r="D420" s="172" t="s">
        <v>218</v>
      </c>
      <c r="E420" s="172">
        <v>5.0898696247206397E-4</v>
      </c>
      <c r="F420" s="172">
        <v>91</v>
      </c>
      <c r="G420" s="172">
        <v>23.25</v>
      </c>
      <c r="H420" s="172">
        <v>31.25</v>
      </c>
      <c r="I420" s="172">
        <v>32</v>
      </c>
    </row>
    <row r="421" spans="2:9" hidden="1" x14ac:dyDescent="0.3">
      <c r="B421" s="172" t="s">
        <v>185</v>
      </c>
      <c r="C421" s="172" t="s">
        <v>79</v>
      </c>
      <c r="D421" s="172" t="s">
        <v>221</v>
      </c>
      <c r="E421" s="172">
        <v>8.74671372354911E-5</v>
      </c>
      <c r="F421" s="172">
        <v>92</v>
      </c>
      <c r="G421" s="172">
        <v>-0.25</v>
      </c>
      <c r="H421" s="172">
        <v>-0.25</v>
      </c>
      <c r="I421" s="172">
        <v>32</v>
      </c>
    </row>
    <row r="422" spans="2:9" hidden="1" x14ac:dyDescent="0.3">
      <c r="B422" s="172" t="s">
        <v>185</v>
      </c>
      <c r="C422" s="172" t="s">
        <v>80</v>
      </c>
      <c r="D422" s="172" t="s">
        <v>218</v>
      </c>
      <c r="E422" s="172">
        <v>5.3857949799241702E-4</v>
      </c>
      <c r="F422" s="172">
        <v>92</v>
      </c>
      <c r="G422" s="172">
        <v>-0.25</v>
      </c>
      <c r="H422" s="172">
        <v>-0.25</v>
      </c>
      <c r="I422" s="172">
        <v>32</v>
      </c>
    </row>
    <row r="423" spans="2:9" hidden="1" x14ac:dyDescent="0.3">
      <c r="B423" s="172" t="s">
        <v>185</v>
      </c>
      <c r="C423" s="172" t="s">
        <v>80</v>
      </c>
      <c r="D423" s="172" t="s">
        <v>221</v>
      </c>
      <c r="E423" s="172">
        <v>1.3445225124982701E-4</v>
      </c>
      <c r="F423" s="172">
        <v>99</v>
      </c>
      <c r="G423" s="172">
        <v>28</v>
      </c>
      <c r="H423" s="172">
        <v>0</v>
      </c>
      <c r="I423" s="172">
        <v>32</v>
      </c>
    </row>
    <row r="424" spans="2:9" hidden="1" x14ac:dyDescent="0.3">
      <c r="B424" s="172" t="s">
        <v>185</v>
      </c>
      <c r="C424" s="172" t="s">
        <v>81</v>
      </c>
      <c r="D424" s="172" t="s">
        <v>221</v>
      </c>
      <c r="E424" s="172">
        <v>6.3516214000160698E-4</v>
      </c>
      <c r="F424" s="172">
        <v>99</v>
      </c>
      <c r="G424" s="172">
        <v>28</v>
      </c>
      <c r="H424" s="172">
        <v>0</v>
      </c>
      <c r="I424" s="172">
        <v>32</v>
      </c>
    </row>
    <row r="425" spans="2:9" x14ac:dyDescent="0.3">
      <c r="B425" s="172" t="s">
        <v>185</v>
      </c>
      <c r="C425" s="172" t="s">
        <v>82</v>
      </c>
      <c r="D425" s="172" t="s">
        <v>221</v>
      </c>
      <c r="E425" s="172">
        <v>5.5445444937321996E-4</v>
      </c>
      <c r="F425" s="172">
        <v>92</v>
      </c>
      <c r="G425" s="172">
        <v>-0.25</v>
      </c>
      <c r="H425" s="172">
        <v>-0.25</v>
      </c>
      <c r="I425" s="172">
        <v>32</v>
      </c>
    </row>
    <row r="426" spans="2:9" hidden="1" x14ac:dyDescent="0.3">
      <c r="B426" s="172" t="s">
        <v>185</v>
      </c>
      <c r="C426" s="172" t="s">
        <v>246</v>
      </c>
      <c r="D426" s="172" t="s">
        <v>218</v>
      </c>
      <c r="E426" s="172">
        <v>4.1583049810462197E-5</v>
      </c>
      <c r="F426" s="172">
        <v>92</v>
      </c>
      <c r="G426" s="172">
        <v>-0.25</v>
      </c>
      <c r="H426" s="172">
        <v>-0.25</v>
      </c>
      <c r="I426" s="172">
        <v>32</v>
      </c>
    </row>
    <row r="427" spans="2:9" hidden="1" x14ac:dyDescent="0.3">
      <c r="B427" s="172" t="s">
        <v>185</v>
      </c>
      <c r="C427" s="172" t="s">
        <v>246</v>
      </c>
      <c r="D427" s="172" t="s">
        <v>221</v>
      </c>
      <c r="E427" s="172">
        <v>2.17867672609282E-5</v>
      </c>
      <c r="F427" s="172">
        <v>99</v>
      </c>
      <c r="G427" s="172">
        <v>28</v>
      </c>
      <c r="H427" s="172">
        <v>0</v>
      </c>
      <c r="I427" s="172">
        <v>32</v>
      </c>
    </row>
    <row r="428" spans="2:9" hidden="1" x14ac:dyDescent="0.3">
      <c r="B428" s="172" t="s">
        <v>183</v>
      </c>
      <c r="C428" s="172" t="s">
        <v>79</v>
      </c>
      <c r="D428" s="172" t="s">
        <v>218</v>
      </c>
      <c r="E428" s="172">
        <v>6.9814013317878796E-4</v>
      </c>
      <c r="F428" s="172">
        <v>91</v>
      </c>
      <c r="G428" s="172">
        <v>23.25</v>
      </c>
      <c r="H428" s="172">
        <v>31.25</v>
      </c>
      <c r="I428" s="172">
        <v>28.5</v>
      </c>
    </row>
    <row r="429" spans="2:9" hidden="1" x14ac:dyDescent="0.3">
      <c r="B429" s="172" t="s">
        <v>183</v>
      </c>
      <c r="C429" s="172" t="s">
        <v>79</v>
      </c>
      <c r="D429" s="172" t="s">
        <v>221</v>
      </c>
      <c r="E429" s="172">
        <v>1.2585056551567801E-4</v>
      </c>
      <c r="F429" s="172">
        <v>92</v>
      </c>
      <c r="G429" s="172">
        <v>-0.25</v>
      </c>
      <c r="H429" s="172">
        <v>-0.25</v>
      </c>
      <c r="I429" s="172">
        <v>28.5</v>
      </c>
    </row>
    <row r="430" spans="2:9" hidden="1" x14ac:dyDescent="0.3">
      <c r="B430" s="172" t="s">
        <v>183</v>
      </c>
      <c r="C430" s="172" t="s">
        <v>80</v>
      </c>
      <c r="D430" s="172" t="s">
        <v>218</v>
      </c>
      <c r="E430" s="172">
        <v>7.1530053290041703E-4</v>
      </c>
      <c r="F430" s="172">
        <v>92</v>
      </c>
      <c r="G430" s="172">
        <v>-0.25</v>
      </c>
      <c r="H430" s="172">
        <v>-0.25</v>
      </c>
      <c r="I430" s="172">
        <v>28.5</v>
      </c>
    </row>
    <row r="431" spans="2:9" hidden="1" x14ac:dyDescent="0.3">
      <c r="B431" s="172" t="s">
        <v>183</v>
      </c>
      <c r="C431" s="172" t="s">
        <v>80</v>
      </c>
      <c r="D431" s="172" t="s">
        <v>221</v>
      </c>
      <c r="E431" s="172">
        <v>1.66367669100511E-4</v>
      </c>
      <c r="F431" s="172">
        <v>99</v>
      </c>
      <c r="G431" s="172">
        <v>28</v>
      </c>
      <c r="H431" s="172">
        <v>0</v>
      </c>
      <c r="I431" s="172">
        <v>28.5</v>
      </c>
    </row>
    <row r="432" spans="2:9" hidden="1" x14ac:dyDescent="0.3">
      <c r="B432" s="172" t="s">
        <v>183</v>
      </c>
      <c r="C432" s="172" t="s">
        <v>81</v>
      </c>
      <c r="D432" s="172" t="s">
        <v>221</v>
      </c>
      <c r="E432" s="172">
        <v>8.3361936306191296E-4</v>
      </c>
      <c r="F432" s="172">
        <v>99</v>
      </c>
      <c r="G432" s="172">
        <v>28</v>
      </c>
      <c r="H432" s="172">
        <v>0</v>
      </c>
      <c r="I432" s="172">
        <v>28.5</v>
      </c>
    </row>
    <row r="433" spans="2:9" x14ac:dyDescent="0.3">
      <c r="B433" s="172" t="s">
        <v>183</v>
      </c>
      <c r="C433" s="172" t="s">
        <v>82</v>
      </c>
      <c r="D433" s="172" t="s">
        <v>221</v>
      </c>
      <c r="E433" s="172">
        <v>7.7061168512218797E-4</v>
      </c>
      <c r="F433" s="172">
        <v>92</v>
      </c>
      <c r="G433" s="172">
        <v>-0.25</v>
      </c>
      <c r="H433" s="172">
        <v>-0.25</v>
      </c>
      <c r="I433" s="172">
        <v>28.5</v>
      </c>
    </row>
    <row r="434" spans="2:9" hidden="1" x14ac:dyDescent="0.3">
      <c r="B434" s="172" t="s">
        <v>183</v>
      </c>
      <c r="C434" s="172" t="s">
        <v>246</v>
      </c>
      <c r="D434" s="172" t="s">
        <v>218</v>
      </c>
      <c r="E434" s="172">
        <v>4.0135898490390603E-5</v>
      </c>
      <c r="F434" s="172">
        <v>92</v>
      </c>
      <c r="G434" s="172">
        <v>-0.25</v>
      </c>
      <c r="H434" s="172">
        <v>-0.25</v>
      </c>
      <c r="I434" s="172">
        <v>28.5</v>
      </c>
    </row>
    <row r="435" spans="2:9" hidden="1" x14ac:dyDescent="0.3">
      <c r="B435" s="172" t="s">
        <v>183</v>
      </c>
      <c r="C435" s="172" t="s">
        <v>246</v>
      </c>
      <c r="D435" s="172" t="s">
        <v>221</v>
      </c>
      <c r="E435" s="172">
        <v>2.06187574809571E-5</v>
      </c>
      <c r="F435" s="172">
        <v>99</v>
      </c>
      <c r="G435" s="172">
        <v>28</v>
      </c>
      <c r="H435" s="172">
        <v>0</v>
      </c>
      <c r="I435" s="172">
        <v>28.5</v>
      </c>
    </row>
    <row r="436" spans="2:9" hidden="1" x14ac:dyDescent="0.3">
      <c r="B436" s="172" t="s">
        <v>181</v>
      </c>
      <c r="C436" s="172" t="s">
        <v>79</v>
      </c>
      <c r="D436" s="172" t="s">
        <v>218</v>
      </c>
      <c r="E436" s="172">
        <v>8.5811965750832097E-4</v>
      </c>
      <c r="F436" s="172">
        <v>91</v>
      </c>
      <c r="G436" s="172">
        <v>23.25</v>
      </c>
      <c r="H436" s="172">
        <v>31.25</v>
      </c>
      <c r="I436" s="172">
        <v>25</v>
      </c>
    </row>
    <row r="437" spans="2:9" hidden="1" x14ac:dyDescent="0.3">
      <c r="B437" s="172" t="s">
        <v>181</v>
      </c>
      <c r="C437" s="172" t="s">
        <v>79</v>
      </c>
      <c r="D437" s="172" t="s">
        <v>221</v>
      </c>
      <c r="E437" s="172">
        <v>1.5870452557242699E-4</v>
      </c>
      <c r="F437" s="172">
        <v>92</v>
      </c>
      <c r="G437" s="172">
        <v>-0.25</v>
      </c>
      <c r="H437" s="172">
        <v>-0.25</v>
      </c>
      <c r="I437" s="172">
        <v>25</v>
      </c>
    </row>
    <row r="438" spans="2:9" hidden="1" x14ac:dyDescent="0.3">
      <c r="B438" s="172" t="s">
        <v>181</v>
      </c>
      <c r="C438" s="172" t="s">
        <v>80</v>
      </c>
      <c r="D438" s="172" t="s">
        <v>218</v>
      </c>
      <c r="E438" s="172">
        <v>8.63465383589818E-4</v>
      </c>
      <c r="F438" s="172">
        <v>92</v>
      </c>
      <c r="G438" s="172">
        <v>-0.25</v>
      </c>
      <c r="H438" s="172">
        <v>-0.25</v>
      </c>
      <c r="I438" s="172">
        <v>25</v>
      </c>
    </row>
    <row r="439" spans="2:9" hidden="1" x14ac:dyDescent="0.3">
      <c r="B439" s="172" t="s">
        <v>181</v>
      </c>
      <c r="C439" s="172" t="s">
        <v>80</v>
      </c>
      <c r="D439" s="172" t="s">
        <v>221</v>
      </c>
      <c r="E439" s="172">
        <v>1.9242090444113199E-4</v>
      </c>
      <c r="F439" s="172">
        <v>85</v>
      </c>
      <c r="G439" s="172">
        <v>28</v>
      </c>
      <c r="H439" s="172">
        <v>4</v>
      </c>
      <c r="I439" s="172">
        <v>25</v>
      </c>
    </row>
    <row r="440" spans="2:9" hidden="1" x14ac:dyDescent="0.3">
      <c r="B440" s="172" t="s">
        <v>181</v>
      </c>
      <c r="C440" s="172" t="s">
        <v>81</v>
      </c>
      <c r="D440" s="172" t="s">
        <v>221</v>
      </c>
      <c r="E440" s="172">
        <v>9.9889190730650403E-4</v>
      </c>
      <c r="F440" s="172">
        <v>99</v>
      </c>
      <c r="G440" s="172">
        <v>28</v>
      </c>
      <c r="H440" s="172">
        <v>0</v>
      </c>
      <c r="I440" s="172">
        <v>25</v>
      </c>
    </row>
    <row r="441" spans="2:9" x14ac:dyDescent="0.3">
      <c r="B441" s="172" t="s">
        <v>181</v>
      </c>
      <c r="C441" s="172" t="s">
        <v>82</v>
      </c>
      <c r="D441" s="172" t="s">
        <v>221</v>
      </c>
      <c r="E441" s="172">
        <v>9.5319197636682597E-4</v>
      </c>
      <c r="F441" s="172">
        <v>92</v>
      </c>
      <c r="G441" s="172">
        <v>-0.25</v>
      </c>
      <c r="H441" s="172">
        <v>-0.25</v>
      </c>
      <c r="I441" s="172">
        <v>25</v>
      </c>
    </row>
    <row r="442" spans="2:9" hidden="1" x14ac:dyDescent="0.3">
      <c r="B442" s="172" t="s">
        <v>181</v>
      </c>
      <c r="C442" s="172" t="s">
        <v>246</v>
      </c>
      <c r="D442" s="172" t="s">
        <v>218</v>
      </c>
      <c r="E442" s="172">
        <v>3.7554716504009498E-5</v>
      </c>
      <c r="F442" s="172">
        <v>92</v>
      </c>
      <c r="G442" s="172">
        <v>-0.25</v>
      </c>
      <c r="H442" s="172">
        <v>-0.25</v>
      </c>
      <c r="I442" s="172">
        <v>25</v>
      </c>
    </row>
    <row r="443" spans="2:9" hidden="1" x14ac:dyDescent="0.3">
      <c r="B443" s="172" t="s">
        <v>181</v>
      </c>
      <c r="C443" s="172" t="s">
        <v>246</v>
      </c>
      <c r="D443" s="172" t="s">
        <v>221</v>
      </c>
      <c r="E443" s="172">
        <v>1.9129888592597401E-5</v>
      </c>
      <c r="F443" s="172">
        <v>99</v>
      </c>
      <c r="G443" s="172">
        <v>28</v>
      </c>
      <c r="H443" s="172">
        <v>0</v>
      </c>
      <c r="I443" s="172">
        <v>25</v>
      </c>
    </row>
    <row r="444" spans="2:9" hidden="1" x14ac:dyDescent="0.3">
      <c r="B444" s="172" t="s">
        <v>179</v>
      </c>
      <c r="C444" s="172" t="s">
        <v>79</v>
      </c>
      <c r="D444" s="172" t="s">
        <v>218</v>
      </c>
      <c r="E444" s="172">
        <v>9.829954649038671E-4</v>
      </c>
      <c r="F444" s="172">
        <v>91</v>
      </c>
      <c r="G444" s="172">
        <v>23.25</v>
      </c>
      <c r="H444" s="172">
        <v>31.25</v>
      </c>
      <c r="I444" s="172">
        <v>21.5</v>
      </c>
    </row>
    <row r="445" spans="2:9" hidden="1" x14ac:dyDescent="0.3">
      <c r="B445" s="172" t="s">
        <v>179</v>
      </c>
      <c r="C445" s="172" t="s">
        <v>80</v>
      </c>
      <c r="D445" s="172" t="s">
        <v>218</v>
      </c>
      <c r="E445" s="172">
        <v>9.7750662016480899E-4</v>
      </c>
      <c r="F445" s="172">
        <v>92</v>
      </c>
      <c r="G445" s="172">
        <v>-0.25</v>
      </c>
      <c r="H445" s="172">
        <v>-0.25</v>
      </c>
      <c r="I445" s="172">
        <v>21.5</v>
      </c>
    </row>
    <row r="446" spans="2:9" hidden="1" x14ac:dyDescent="0.3">
      <c r="B446" s="172" t="s">
        <v>179</v>
      </c>
      <c r="C446" s="172" t="s">
        <v>80</v>
      </c>
      <c r="D446" s="172" t="s">
        <v>221</v>
      </c>
      <c r="E446" s="172">
        <v>2.1121990819977701E-4</v>
      </c>
      <c r="F446" s="172">
        <v>99</v>
      </c>
      <c r="G446" s="172">
        <v>28</v>
      </c>
      <c r="H446" s="172">
        <v>0</v>
      </c>
      <c r="I446" s="172">
        <v>21.5</v>
      </c>
    </row>
    <row r="447" spans="2:9" hidden="1" x14ac:dyDescent="0.3">
      <c r="B447" s="172" t="s">
        <v>179</v>
      </c>
      <c r="C447" s="172" t="s">
        <v>81</v>
      </c>
      <c r="D447" s="172" t="s">
        <v>221</v>
      </c>
      <c r="E447" s="172">
        <v>1.1255669348653899E-3</v>
      </c>
      <c r="F447" s="172">
        <v>99</v>
      </c>
      <c r="G447" s="172">
        <v>28</v>
      </c>
      <c r="H447" s="172">
        <v>0</v>
      </c>
      <c r="I447" s="172">
        <v>21.5</v>
      </c>
    </row>
    <row r="448" spans="2:9" x14ac:dyDescent="0.3">
      <c r="B448" s="172" t="s">
        <v>179</v>
      </c>
      <c r="C448" s="172" t="s">
        <v>82</v>
      </c>
      <c r="D448" s="172" t="s">
        <v>221</v>
      </c>
      <c r="E448" s="172">
        <v>1.09486357538714E-3</v>
      </c>
      <c r="F448" s="172">
        <v>92</v>
      </c>
      <c r="G448" s="172">
        <v>-0.25</v>
      </c>
      <c r="H448" s="172">
        <v>-0.25</v>
      </c>
      <c r="I448" s="172">
        <v>21.5</v>
      </c>
    </row>
    <row r="449" spans="2:9" hidden="1" x14ac:dyDescent="0.3">
      <c r="B449" s="172" t="s">
        <v>179</v>
      </c>
      <c r="C449" s="172" t="s">
        <v>246</v>
      </c>
      <c r="D449" s="172" t="s">
        <v>218</v>
      </c>
      <c r="E449" s="172">
        <v>3.3980512520601198E-5</v>
      </c>
      <c r="F449" s="172">
        <v>92</v>
      </c>
      <c r="G449" s="172">
        <v>-0.25</v>
      </c>
      <c r="H449" s="172">
        <v>-0.25</v>
      </c>
      <c r="I449" s="172">
        <v>21.5</v>
      </c>
    </row>
    <row r="450" spans="2:9" hidden="1" x14ac:dyDescent="0.3">
      <c r="B450" s="172" t="s">
        <v>179</v>
      </c>
      <c r="C450" s="172" t="s">
        <v>246</v>
      </c>
      <c r="D450" s="172" t="s">
        <v>221</v>
      </c>
      <c r="E450" s="172">
        <v>1.7408118763379E-5</v>
      </c>
      <c r="F450" s="172">
        <v>99</v>
      </c>
      <c r="G450" s="172">
        <v>28</v>
      </c>
      <c r="H450" s="172">
        <v>0</v>
      </c>
      <c r="I450" s="172">
        <v>21.5</v>
      </c>
    </row>
    <row r="451" spans="2:9" hidden="1" x14ac:dyDescent="0.3">
      <c r="B451" s="172" t="s">
        <v>39</v>
      </c>
      <c r="C451" s="172" t="s">
        <v>79</v>
      </c>
      <c r="D451" s="172" t="s">
        <v>218</v>
      </c>
      <c r="E451" s="172">
        <v>1.0385241599503599E-3</v>
      </c>
      <c r="F451" s="172">
        <v>91</v>
      </c>
      <c r="G451" s="172">
        <v>23.25</v>
      </c>
      <c r="H451" s="172">
        <v>31.25</v>
      </c>
      <c r="I451" s="172">
        <v>18</v>
      </c>
    </row>
    <row r="452" spans="2:9" hidden="1" x14ac:dyDescent="0.3">
      <c r="B452" s="172" t="s">
        <v>39</v>
      </c>
      <c r="C452" s="172" t="s">
        <v>80</v>
      </c>
      <c r="D452" s="172" t="s">
        <v>218</v>
      </c>
      <c r="E452" s="172">
        <v>1.01759890805316E-3</v>
      </c>
      <c r="F452" s="172">
        <v>92</v>
      </c>
      <c r="G452" s="172">
        <v>-0.25</v>
      </c>
      <c r="H452" s="172">
        <v>-0.25</v>
      </c>
      <c r="I452" s="172">
        <v>18</v>
      </c>
    </row>
    <row r="453" spans="2:9" hidden="1" x14ac:dyDescent="0.3">
      <c r="B453" s="172" t="s">
        <v>39</v>
      </c>
      <c r="C453" s="172" t="s">
        <v>80</v>
      </c>
      <c r="D453" s="172" t="s">
        <v>221</v>
      </c>
      <c r="E453" s="172">
        <v>2.09920585092032E-4</v>
      </c>
      <c r="F453" s="172">
        <v>99</v>
      </c>
      <c r="G453" s="172">
        <v>28</v>
      </c>
      <c r="H453" s="172">
        <v>0</v>
      </c>
      <c r="I453" s="172">
        <v>18</v>
      </c>
    </row>
    <row r="454" spans="2:9" hidden="1" x14ac:dyDescent="0.3">
      <c r="B454" s="172" t="s">
        <v>39</v>
      </c>
      <c r="C454" s="172" t="s">
        <v>81</v>
      </c>
      <c r="D454" s="172" t="s">
        <v>221</v>
      </c>
      <c r="E454" s="172">
        <v>1.1809243541993999E-3</v>
      </c>
      <c r="F454" s="172">
        <v>99</v>
      </c>
      <c r="G454" s="172">
        <v>28</v>
      </c>
      <c r="H454" s="172">
        <v>0</v>
      </c>
      <c r="I454" s="172">
        <v>18</v>
      </c>
    </row>
    <row r="455" spans="2:9" x14ac:dyDescent="0.3">
      <c r="B455" s="172" t="s">
        <v>39</v>
      </c>
      <c r="C455" s="172" t="s">
        <v>82</v>
      </c>
      <c r="D455" s="172" t="s">
        <v>221</v>
      </c>
      <c r="E455" s="172">
        <v>1.1588446855402899E-3</v>
      </c>
      <c r="F455" s="172">
        <v>92</v>
      </c>
      <c r="G455" s="172">
        <v>-0.25</v>
      </c>
      <c r="H455" s="172">
        <v>-0.25</v>
      </c>
      <c r="I455" s="172">
        <v>18</v>
      </c>
    </row>
    <row r="456" spans="2:9" hidden="1" x14ac:dyDescent="0.3">
      <c r="B456" s="172" t="s">
        <v>39</v>
      </c>
      <c r="C456" s="172" t="s">
        <v>246</v>
      </c>
      <c r="D456" s="172" t="s">
        <v>218</v>
      </c>
      <c r="E456" s="172">
        <v>2.89404262857257E-5</v>
      </c>
      <c r="F456" s="172">
        <v>92</v>
      </c>
      <c r="G456" s="172">
        <v>-0.25</v>
      </c>
      <c r="H456" s="172">
        <v>-0.25</v>
      </c>
      <c r="I456" s="172">
        <v>18</v>
      </c>
    </row>
    <row r="457" spans="2:9" hidden="1" x14ac:dyDescent="0.3">
      <c r="B457" s="172" t="s">
        <v>39</v>
      </c>
      <c r="C457" s="172" t="s">
        <v>246</v>
      </c>
      <c r="D457" s="172" t="s">
        <v>221</v>
      </c>
      <c r="E457" s="172">
        <v>1.5642951060608801E-5</v>
      </c>
      <c r="F457" s="172">
        <v>99</v>
      </c>
      <c r="G457" s="172">
        <v>28</v>
      </c>
      <c r="H457" s="172">
        <v>0</v>
      </c>
      <c r="I457" s="172">
        <v>18</v>
      </c>
    </row>
    <row r="458" spans="2:9" hidden="1" x14ac:dyDescent="0.3">
      <c r="B458" s="172" t="s">
        <v>26</v>
      </c>
      <c r="C458" s="172" t="s">
        <v>79</v>
      </c>
      <c r="D458" s="172" t="s">
        <v>218</v>
      </c>
      <c r="E458" s="172">
        <v>1.0704638613889101E-3</v>
      </c>
      <c r="F458" s="172">
        <v>91</v>
      </c>
      <c r="G458" s="172">
        <v>23.25</v>
      </c>
      <c r="H458" s="172">
        <v>31.25</v>
      </c>
      <c r="I458" s="172">
        <v>14.5</v>
      </c>
    </row>
    <row r="459" spans="2:9" hidden="1" x14ac:dyDescent="0.3">
      <c r="B459" s="172" t="s">
        <v>26</v>
      </c>
      <c r="C459" s="172" t="s">
        <v>80</v>
      </c>
      <c r="D459" s="172" t="s">
        <v>218</v>
      </c>
      <c r="E459" s="172">
        <v>1.0344423607955701E-3</v>
      </c>
      <c r="F459" s="172">
        <v>92</v>
      </c>
      <c r="G459" s="172">
        <v>-0.25</v>
      </c>
      <c r="H459" s="172">
        <v>-0.25</v>
      </c>
      <c r="I459" s="172">
        <v>14.5</v>
      </c>
    </row>
    <row r="460" spans="2:9" hidden="1" x14ac:dyDescent="0.3">
      <c r="B460" s="172" t="s">
        <v>26</v>
      </c>
      <c r="C460" s="172" t="s">
        <v>80</v>
      </c>
      <c r="D460" s="172" t="s">
        <v>221</v>
      </c>
      <c r="E460" s="172">
        <v>2.03284627597469E-4</v>
      </c>
      <c r="F460" s="172">
        <v>85</v>
      </c>
      <c r="G460" s="172">
        <v>28</v>
      </c>
      <c r="H460" s="172">
        <v>4</v>
      </c>
      <c r="I460" s="172">
        <v>14.5</v>
      </c>
    </row>
    <row r="461" spans="2:9" hidden="1" x14ac:dyDescent="0.3">
      <c r="B461" s="172" t="s">
        <v>26</v>
      </c>
      <c r="C461" s="172" t="s">
        <v>81</v>
      </c>
      <c r="D461" s="172" t="s">
        <v>221</v>
      </c>
      <c r="E461" s="172">
        <v>1.21049056082739E-3</v>
      </c>
      <c r="F461" s="172">
        <v>99</v>
      </c>
      <c r="G461" s="172">
        <v>28</v>
      </c>
      <c r="H461" s="172">
        <v>0</v>
      </c>
      <c r="I461" s="172">
        <v>14.5</v>
      </c>
    </row>
    <row r="462" spans="2:9" x14ac:dyDescent="0.3">
      <c r="B462" s="172" t="s">
        <v>26</v>
      </c>
      <c r="C462" s="172" t="s">
        <v>82</v>
      </c>
      <c r="D462" s="172" t="s">
        <v>221</v>
      </c>
      <c r="E462" s="172">
        <v>1.1976758559095299E-3</v>
      </c>
      <c r="F462" s="172">
        <v>92</v>
      </c>
      <c r="G462" s="172">
        <v>-0.25</v>
      </c>
      <c r="H462" s="172">
        <v>-0.25</v>
      </c>
      <c r="I462" s="172">
        <v>14.5</v>
      </c>
    </row>
    <row r="463" spans="2:9" hidden="1" x14ac:dyDescent="0.3">
      <c r="B463" s="172" t="s">
        <v>26</v>
      </c>
      <c r="C463" s="172" t="s">
        <v>246</v>
      </c>
      <c r="D463" s="172" t="s">
        <v>218</v>
      </c>
      <c r="E463" s="172">
        <v>2.3073499168079701E-5</v>
      </c>
      <c r="F463" s="172">
        <v>92</v>
      </c>
      <c r="G463" s="172">
        <v>-0.25</v>
      </c>
      <c r="H463" s="172">
        <v>-0.25</v>
      </c>
      <c r="I463" s="172">
        <v>14.5</v>
      </c>
    </row>
    <row r="464" spans="2:9" hidden="1" x14ac:dyDescent="0.3">
      <c r="B464" s="172" t="s">
        <v>26</v>
      </c>
      <c r="C464" s="172" t="s">
        <v>246</v>
      </c>
      <c r="D464" s="172" t="s">
        <v>221</v>
      </c>
      <c r="E464" s="172">
        <v>1.35171876013631E-5</v>
      </c>
      <c r="F464" s="172">
        <v>99</v>
      </c>
      <c r="G464" s="172">
        <v>28</v>
      </c>
      <c r="H464" s="172">
        <v>0</v>
      </c>
      <c r="I464" s="172">
        <v>14.5</v>
      </c>
    </row>
    <row r="465" spans="2:9" hidden="1" x14ac:dyDescent="0.3">
      <c r="B465" s="172" t="s">
        <v>25</v>
      </c>
      <c r="C465" s="172" t="s">
        <v>79</v>
      </c>
      <c r="D465" s="172" t="s">
        <v>218</v>
      </c>
      <c r="E465" s="172">
        <v>1.12158366267139E-3</v>
      </c>
      <c r="F465" s="172">
        <v>91</v>
      </c>
      <c r="G465" s="172">
        <v>23.25</v>
      </c>
      <c r="H465" s="172">
        <v>31.25</v>
      </c>
      <c r="I465" s="172">
        <v>11</v>
      </c>
    </row>
    <row r="466" spans="2:9" hidden="1" x14ac:dyDescent="0.3">
      <c r="B466" s="172" t="s">
        <v>25</v>
      </c>
      <c r="C466" s="172" t="s">
        <v>80</v>
      </c>
      <c r="D466" s="172" t="s">
        <v>218</v>
      </c>
      <c r="E466" s="172">
        <v>1.07624302286926E-3</v>
      </c>
      <c r="F466" s="172">
        <v>92</v>
      </c>
      <c r="G466" s="172">
        <v>-0.25</v>
      </c>
      <c r="H466" s="172">
        <v>-0.25</v>
      </c>
      <c r="I466" s="172">
        <v>11</v>
      </c>
    </row>
    <row r="467" spans="2:9" hidden="1" x14ac:dyDescent="0.3">
      <c r="B467" s="172" t="s">
        <v>25</v>
      </c>
      <c r="C467" s="172" t="s">
        <v>80</v>
      </c>
      <c r="D467" s="172" t="s">
        <v>221</v>
      </c>
      <c r="E467" s="172">
        <v>2.0562046464914601E-4</v>
      </c>
      <c r="F467" s="172">
        <v>99</v>
      </c>
      <c r="G467" s="172">
        <v>28</v>
      </c>
      <c r="H467" s="172">
        <v>0</v>
      </c>
      <c r="I467" s="172">
        <v>11</v>
      </c>
    </row>
    <row r="468" spans="2:9" hidden="1" x14ac:dyDescent="0.3">
      <c r="B468" s="172" t="s">
        <v>25</v>
      </c>
      <c r="C468" s="172" t="s">
        <v>81</v>
      </c>
      <c r="D468" s="172" t="s">
        <v>221</v>
      </c>
      <c r="E468" s="172">
        <v>1.25385836815689E-3</v>
      </c>
      <c r="F468" s="172">
        <v>99</v>
      </c>
      <c r="G468" s="172">
        <v>28</v>
      </c>
      <c r="H468" s="172">
        <v>0</v>
      </c>
      <c r="I468" s="172">
        <v>11</v>
      </c>
    </row>
    <row r="469" spans="2:9" x14ac:dyDescent="0.3">
      <c r="B469" s="172" t="s">
        <v>25</v>
      </c>
      <c r="C469" s="172" t="s">
        <v>82</v>
      </c>
      <c r="D469" s="172" t="s">
        <v>221</v>
      </c>
      <c r="E469" s="172">
        <v>1.2574056131302699E-3</v>
      </c>
      <c r="F469" s="172">
        <v>92</v>
      </c>
      <c r="G469" s="172">
        <v>-0.25</v>
      </c>
      <c r="H469" s="172">
        <v>-0.25</v>
      </c>
      <c r="I469" s="172">
        <v>11</v>
      </c>
    </row>
    <row r="470" spans="2:9" hidden="1" x14ac:dyDescent="0.3">
      <c r="B470" s="172" t="s">
        <v>25</v>
      </c>
      <c r="C470" s="172" t="s">
        <v>246</v>
      </c>
      <c r="D470" s="172" t="s">
        <v>218</v>
      </c>
      <c r="E470" s="172">
        <v>1.6883404980231402E-5</v>
      </c>
      <c r="F470" s="172">
        <v>92</v>
      </c>
      <c r="G470" s="172">
        <v>-0.25</v>
      </c>
      <c r="H470" s="172">
        <v>-0.25</v>
      </c>
      <c r="I470" s="172">
        <v>11</v>
      </c>
    </row>
    <row r="471" spans="2:9" hidden="1" x14ac:dyDescent="0.3">
      <c r="B471" s="172" t="s">
        <v>25</v>
      </c>
      <c r="C471" s="172" t="s">
        <v>246</v>
      </c>
      <c r="D471" s="172" t="s">
        <v>221</v>
      </c>
      <c r="E471" s="172">
        <v>1.06395124186606E-5</v>
      </c>
      <c r="F471" s="172">
        <v>99</v>
      </c>
      <c r="G471" s="172">
        <v>28</v>
      </c>
      <c r="H471" s="172">
        <v>0</v>
      </c>
      <c r="I471" s="172">
        <v>11</v>
      </c>
    </row>
    <row r="472" spans="2:9" hidden="1" x14ac:dyDescent="0.3">
      <c r="B472" s="172" t="s">
        <v>24</v>
      </c>
      <c r="C472" s="172" t="s">
        <v>79</v>
      </c>
      <c r="D472" s="172" t="s">
        <v>218</v>
      </c>
      <c r="E472" s="172">
        <v>1.1310609943379899E-3</v>
      </c>
      <c r="F472" s="172">
        <v>91</v>
      </c>
      <c r="G472" s="172">
        <v>23.25</v>
      </c>
      <c r="H472" s="172">
        <v>31.25</v>
      </c>
      <c r="I472" s="172">
        <v>7.5</v>
      </c>
    </row>
    <row r="473" spans="2:9" hidden="1" x14ac:dyDescent="0.3">
      <c r="B473" s="172" t="s">
        <v>24</v>
      </c>
      <c r="C473" s="172" t="s">
        <v>80</v>
      </c>
      <c r="D473" s="172" t="s">
        <v>218</v>
      </c>
      <c r="E473" s="172">
        <v>1.08370122622849E-3</v>
      </c>
      <c r="F473" s="172">
        <v>92</v>
      </c>
      <c r="G473" s="172">
        <v>-0.25</v>
      </c>
      <c r="H473" s="172">
        <v>-0.25</v>
      </c>
      <c r="I473" s="172">
        <v>7.5</v>
      </c>
    </row>
    <row r="474" spans="2:9" hidden="1" x14ac:dyDescent="0.3">
      <c r="B474" s="172" t="s">
        <v>24</v>
      </c>
      <c r="C474" s="172" t="s">
        <v>80</v>
      </c>
      <c r="D474" s="172" t="s">
        <v>221</v>
      </c>
      <c r="E474" s="172">
        <v>2.0322244058488401E-4</v>
      </c>
      <c r="F474" s="172">
        <v>99</v>
      </c>
      <c r="G474" s="172">
        <v>28</v>
      </c>
      <c r="H474" s="172">
        <v>0</v>
      </c>
      <c r="I474" s="172">
        <v>7.5</v>
      </c>
    </row>
    <row r="475" spans="2:9" hidden="1" x14ac:dyDescent="0.3">
      <c r="B475" s="172" t="s">
        <v>24</v>
      </c>
      <c r="C475" s="172" t="s">
        <v>81</v>
      </c>
      <c r="D475" s="172" t="s">
        <v>221</v>
      </c>
      <c r="E475" s="172">
        <v>1.2452995753301E-3</v>
      </c>
      <c r="F475" s="172">
        <v>99</v>
      </c>
      <c r="G475" s="172">
        <v>28</v>
      </c>
      <c r="H475" s="172">
        <v>0</v>
      </c>
      <c r="I475" s="172">
        <v>7.5</v>
      </c>
    </row>
    <row r="476" spans="2:9" x14ac:dyDescent="0.3">
      <c r="B476" s="172" t="s">
        <v>24</v>
      </c>
      <c r="C476" s="172" t="s">
        <v>82</v>
      </c>
      <c r="D476" s="172" t="s">
        <v>221</v>
      </c>
      <c r="E476" s="172">
        <v>1.25965094418649E-3</v>
      </c>
      <c r="F476" s="172">
        <v>92</v>
      </c>
      <c r="G476" s="172">
        <v>-0.25</v>
      </c>
      <c r="H476" s="172">
        <v>-0.25</v>
      </c>
      <c r="I476" s="172">
        <v>7.5</v>
      </c>
    </row>
    <row r="477" spans="2:9" hidden="1" x14ac:dyDescent="0.3">
      <c r="B477" s="172" t="s">
        <v>24</v>
      </c>
      <c r="C477" s="172" t="s">
        <v>246</v>
      </c>
      <c r="D477" s="172" t="s">
        <v>218</v>
      </c>
      <c r="E477" s="172">
        <v>1.01679173196337E-5</v>
      </c>
      <c r="F477" s="172">
        <v>92</v>
      </c>
      <c r="G477" s="172">
        <v>-0.25</v>
      </c>
      <c r="H477" s="172">
        <v>-0.25</v>
      </c>
      <c r="I477" s="172">
        <v>7.5</v>
      </c>
    </row>
    <row r="478" spans="2:9" hidden="1" x14ac:dyDescent="0.3">
      <c r="B478" s="172" t="s">
        <v>24</v>
      </c>
      <c r="C478" s="172" t="s">
        <v>246</v>
      </c>
      <c r="D478" s="172" t="s">
        <v>221</v>
      </c>
      <c r="E478" s="172">
        <v>7.7865054061319908E-6</v>
      </c>
      <c r="F478" s="172">
        <v>99</v>
      </c>
      <c r="G478" s="172">
        <v>28</v>
      </c>
      <c r="H478" s="172">
        <v>0</v>
      </c>
      <c r="I478" s="172">
        <v>7.5</v>
      </c>
    </row>
    <row r="479" spans="2:9" hidden="1" x14ac:dyDescent="0.3">
      <c r="B479" s="172" t="s">
        <v>22</v>
      </c>
      <c r="C479" s="172" t="s">
        <v>79</v>
      </c>
      <c r="D479" s="172" t="s">
        <v>218</v>
      </c>
      <c r="E479" s="172">
        <v>8.2576756390245201E-4</v>
      </c>
      <c r="F479" s="172">
        <v>28</v>
      </c>
      <c r="G479" s="172">
        <v>19</v>
      </c>
      <c r="H479" s="172">
        <v>31</v>
      </c>
      <c r="I479" s="172">
        <v>4</v>
      </c>
    </row>
    <row r="480" spans="2:9" hidden="1" x14ac:dyDescent="0.3">
      <c r="B480" s="172" t="s">
        <v>22</v>
      </c>
      <c r="C480" s="172" t="s">
        <v>80</v>
      </c>
      <c r="D480" s="172" t="s">
        <v>218</v>
      </c>
      <c r="E480" s="172">
        <v>8.1158345716958501E-4</v>
      </c>
      <c r="F480" s="172">
        <v>99</v>
      </c>
      <c r="G480" s="172">
        <v>28</v>
      </c>
      <c r="H480" s="172">
        <v>0</v>
      </c>
      <c r="I480" s="172">
        <v>4</v>
      </c>
    </row>
    <row r="481" spans="2:9" hidden="1" x14ac:dyDescent="0.3">
      <c r="B481" s="172" t="s">
        <v>22</v>
      </c>
      <c r="C481" s="172" t="s">
        <v>80</v>
      </c>
      <c r="D481" s="172" t="s">
        <v>221</v>
      </c>
      <c r="E481" s="172">
        <v>1.5980911546861101E-4</v>
      </c>
      <c r="F481" s="172">
        <v>99</v>
      </c>
      <c r="G481" s="172">
        <v>28</v>
      </c>
      <c r="H481" s="172">
        <v>0</v>
      </c>
      <c r="I481" s="172">
        <v>4</v>
      </c>
    </row>
    <row r="482" spans="2:9" hidden="1" x14ac:dyDescent="0.3">
      <c r="B482" s="172" t="s">
        <v>22</v>
      </c>
      <c r="C482" s="172" t="s">
        <v>81</v>
      </c>
      <c r="D482" s="172" t="s">
        <v>221</v>
      </c>
      <c r="E482" s="172">
        <v>8.8648446520956498E-4</v>
      </c>
      <c r="F482" s="172">
        <v>99</v>
      </c>
      <c r="G482" s="172">
        <v>28</v>
      </c>
      <c r="H482" s="172">
        <v>0</v>
      </c>
      <c r="I482" s="172">
        <v>4</v>
      </c>
    </row>
    <row r="483" spans="2:9" x14ac:dyDescent="0.3">
      <c r="B483" s="172" t="s">
        <v>22</v>
      </c>
      <c r="C483" s="172" t="s">
        <v>82</v>
      </c>
      <c r="D483" s="172" t="s">
        <v>221</v>
      </c>
      <c r="E483" s="172">
        <v>8.7541428012004601E-4</v>
      </c>
      <c r="F483" s="172">
        <v>32</v>
      </c>
      <c r="G483" s="172">
        <v>0</v>
      </c>
      <c r="H483" s="172">
        <v>25</v>
      </c>
      <c r="I483" s="172">
        <v>4</v>
      </c>
    </row>
    <row r="484" spans="2:9" hidden="1" x14ac:dyDescent="0.3">
      <c r="B484" s="172" t="s">
        <v>22</v>
      </c>
      <c r="C484" s="172" t="s">
        <v>246</v>
      </c>
      <c r="D484" s="172" t="s">
        <v>218</v>
      </c>
      <c r="E484" s="172">
        <v>3.3401575384912399E-6</v>
      </c>
      <c r="F484" s="172">
        <v>99</v>
      </c>
      <c r="G484" s="172">
        <v>28</v>
      </c>
      <c r="H484" s="172">
        <v>0</v>
      </c>
      <c r="I484" s="172">
        <v>4</v>
      </c>
    </row>
    <row r="485" spans="2:9" hidden="1" x14ac:dyDescent="0.3">
      <c r="B485" s="172" t="s">
        <v>22</v>
      </c>
      <c r="C485" s="172" t="s">
        <v>246</v>
      </c>
      <c r="D485" s="172" t="s">
        <v>221</v>
      </c>
      <c r="E485" s="172">
        <v>3.2294940065762198E-6</v>
      </c>
      <c r="F485" s="172">
        <v>99</v>
      </c>
      <c r="G485" s="172">
        <v>28</v>
      </c>
      <c r="H485" s="172">
        <v>0</v>
      </c>
      <c r="I485" s="172">
        <v>4</v>
      </c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N69" sqref="N69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2.8323869297776502E-4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3.0972363066108301E-4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5.0898696247206397E-4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6.9814013317878796E-4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8.5811965750832097E-4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9.829954649038671E-4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1.0385241599503599E-3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1.0704638613889101E-3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1.12158366267139E-3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1.1310609943379899E-3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8.2576756390245201E-4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3.3317429108988499E-4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3.4799227375707E-4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5.3857949799241702E-4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7.1530053290041703E-4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8.63465383589818E-4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9.7750662016480899E-4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1.01759890805316E-3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1.0344423607955701E-3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1.07624302286926E-3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1.08370122622849E-3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8.1158345716958501E-4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4.5778979480174498E-4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4.1889370431332499E-4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6.3516214000160698E-4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8.3361936306191296E-4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9.9889190730650403E-4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1.1255669348653899E-3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1.1809243541993999E-3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1.21049056082739E-3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1.25385836815689E-3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1.2452995753301E-3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8.8648446520956498E-4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3.9268769196779E-4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3.4906472573913101E-4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5.5445444937321996E-4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7.7061168512218797E-4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9.5319197636682597E-4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1.09486357538714E-3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1.1588446855402899E-3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1.1976758559095299E-3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1.2574056131302699E-3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1.25965094418649E-3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8.7541428012004601E-4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opLeftCell="A49" zoomScale="80" zoomScaleNormal="80" workbookViewId="0">
      <selection activeCell="B60" sqref="B60:G70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2.55208310966226E-2</v>
      </c>
      <c r="F6" s="185">
        <v>2.50957581929423E-2</v>
      </c>
      <c r="G6" s="186">
        <v>1.0169380379111199</v>
      </c>
      <c r="H6" s="42">
        <f>+E6/(1.2*F6)</f>
        <v>0.84744836492593145</v>
      </c>
      <c r="I6" s="47">
        <f>+'Centers of Mass and Rigidity'!L5-'Centers of Mass and Rigidity'!F5</f>
        <v>-1.451526175083</v>
      </c>
      <c r="J6" s="47">
        <f>+'Centers of Mass and Rigidity'!M5-'Centers of Mass and Rigidity'!G5</f>
        <v>0.93534149016906998</v>
      </c>
      <c r="K6" s="172">
        <f>IF(+'Sismo UBC-94 y Dinamico'!O15=0,'Sismo UBC-94 y Dinamico'!M15,'Sismo UBC-94 y Dinamico'!O15)</f>
        <v>1046.883387507984</v>
      </c>
      <c r="L6" s="172">
        <f>IF(+'Sismo UBC-94 y Dinamico'!P15=0,'Sismo UBC-94 y Dinamico'!N15,'Sismo UBC-94 y Dinamico'!P15)</f>
        <v>332.18461044438726</v>
      </c>
      <c r="M6" s="52">
        <f>0.05*N6*K6*(H6-1)+0.05*O6*L6*(H6-1)</f>
        <v>-305.81744865933899</v>
      </c>
      <c r="N6">
        <f>+$N$3</f>
        <v>31</v>
      </c>
      <c r="O6">
        <f>+$O$3</f>
        <v>23</v>
      </c>
      <c r="P6" s="95">
        <f>+K6*(J6+0.05*N6*H6)-K6*(J6+0.05*N6)</f>
        <v>-247.54084736914501</v>
      </c>
      <c r="Q6" s="95">
        <f>+L6*(I6+0.05*O6*H6)-L6*(I6+0.05*O6)</f>
        <v>-58.276601290193881</v>
      </c>
      <c r="R6" s="95">
        <f>+P6+Q6</f>
        <v>-305.81744865933888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3.0275763392258601E-2</v>
      </c>
      <c r="F7" s="185">
        <v>2.7058280066117001E-2</v>
      </c>
      <c r="G7" s="186">
        <v>1.11890938072485</v>
      </c>
      <c r="H7" s="42">
        <f t="shared" ref="H7:H16" si="0">+E7/(1.2*F7)</f>
        <v>0.93242448393737731</v>
      </c>
      <c r="I7" s="47">
        <f>+'Centers of Mass and Rigidity'!L6-'Centers of Mass and Rigidity'!F6</f>
        <v>-0.20072224443219966</v>
      </c>
      <c r="J7" s="47">
        <f>+'Centers of Mass and Rigidity'!M6-'Centers of Mass and Rigidity'!G6</f>
        <v>5.168472571589966E-2</v>
      </c>
      <c r="K7" s="172">
        <f>IF(+'Sismo UBC-94 y Dinamico'!O16=0,'Sismo UBC-94 y Dinamico'!M16,'Sismo UBC-94 y Dinamico'!O16)</f>
        <v>31361.646368098776</v>
      </c>
      <c r="L7" s="172">
        <f>IF(+'Sismo UBC-94 y Dinamico'!P16=0,'Sismo UBC-94 y Dinamico'!N16,'Sismo UBC-94 y Dinamico'!P16)</f>
        <v>2442.3676149578905</v>
      </c>
      <c r="M7" s="52">
        <f>0.05*N7*K7*(H7-1)+0.05*O7*L7*(H7-1)</f>
        <v>-3474.6840185362435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-3284.883128741516</v>
      </c>
      <c r="Q7" s="95">
        <f>+L7*(I7+0.05*O7*H7)-L7*(I7+0.05*O7)</f>
        <v>-189.80088979472885</v>
      </c>
      <c r="R7" s="95">
        <f>+P7+Q7</f>
        <v>-3474.6840185362448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2.9192628641609399E-2</v>
      </c>
      <c r="F8" s="185">
        <v>2.60308186286742E-2</v>
      </c>
      <c r="G8" s="186">
        <v>1.1214641021489899</v>
      </c>
      <c r="H8" s="42">
        <f t="shared" si="0"/>
        <v>0.9345534184574944</v>
      </c>
      <c r="I8" s="47">
        <f>+'Centers of Mass and Rigidity'!L7-'Centers of Mass and Rigidity'!F7</f>
        <v>3.2912755649700642E-2</v>
      </c>
      <c r="J8" s="47">
        <f>+'Centers of Mass and Rigidity'!M7-'Centers of Mass and Rigidity'!G7</f>
        <v>-0.14654213684760009</v>
      </c>
      <c r="K8" s="172">
        <f>IF(+'Sismo UBC-94 y Dinamico'!O17=0,'Sismo UBC-94 y Dinamico'!M17,'Sismo UBC-94 y Dinamico'!O17)</f>
        <v>34711.912343181008</v>
      </c>
      <c r="L8" s="172">
        <f>IF(+'Sismo UBC-94 y Dinamico'!P17=0,'Sismo UBC-94 y Dinamico'!N17,'Sismo UBC-94 y Dinamico'!P17)</f>
        <v>2886.2755608881635</v>
      </c>
      <c r="M8" s="52">
        <f>0.05*N8*K8*(H8-1)+0.05*O8*L8*(H8-1)</f>
        <v>-3738.4842017569486</v>
      </c>
      <c r="N8" s="172">
        <f t="shared" si="1"/>
        <v>31</v>
      </c>
      <c r="O8" s="172">
        <f t="shared" si="2"/>
        <v>23</v>
      </c>
      <c r="P8" s="95">
        <f>+K8*(J8+0.05*N8*H8)-K8*(J8+0.05*N8)</f>
        <v>-3521.2528025796782</v>
      </c>
      <c r="Q8" s="95">
        <f>+L8*(I8+0.05*O8*H8)-L8*(I8+0.05*O8)</f>
        <v>-217.2313991772794</v>
      </c>
      <c r="R8" s="95">
        <f>+P8+Q8</f>
        <v>-3738.4842017569576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2.7413508190332399E-2</v>
      </c>
      <c r="F9" s="185">
        <v>2.43964010546628E-2</v>
      </c>
      <c r="G9" s="186">
        <v>1.1236701728631799</v>
      </c>
      <c r="H9" s="42">
        <f t="shared" si="0"/>
        <v>0.9363918107193161</v>
      </c>
      <c r="I9" s="47">
        <f>+'Centers of Mass and Rigidity'!L8-'Centers of Mass and Rigidity'!F8</f>
        <v>0.11211397800230039</v>
      </c>
      <c r="J9" s="47">
        <f>+'Centers of Mass and Rigidity'!M8-'Centers of Mass and Rigidity'!G8</f>
        <v>-0.1732047423718992</v>
      </c>
      <c r="K9" s="172">
        <f>IF(+'Sismo UBC-94 y Dinamico'!O18=0,'Sismo UBC-94 y Dinamico'!M18,'Sismo UBC-94 y Dinamico'!O18)</f>
        <v>29026.143903167082</v>
      </c>
      <c r="L9" s="172">
        <f>IF(+'Sismo UBC-94 y Dinamico'!P18=0,'Sismo UBC-94 y Dinamico'!N18,'Sismo UBC-94 y Dinamico'!P18)</f>
        <v>2417.8796620321814</v>
      </c>
      <c r="M9" s="52">
        <f>0.05*N9*K9*(H9-1)+0.05*O9*L9*(H9-1)</f>
        <v>-3038.63219527611</v>
      </c>
      <c r="N9" s="172">
        <f t="shared" si="1"/>
        <v>31</v>
      </c>
      <c r="O9" s="172">
        <f t="shared" si="2"/>
        <v>23</v>
      </c>
      <c r="P9" s="95">
        <f>+K9*(J9+0.05*N9*H9)-K9*(J9+0.05*N9)</f>
        <v>-2861.7657059955818</v>
      </c>
      <c r="Q9" s="95">
        <f>+L9*(I9+0.05*O9*H9)-L9*(I9+0.05*O9)</f>
        <v>-176.86648928052773</v>
      </c>
      <c r="R9" s="95">
        <f>+P9+Q9</f>
        <v>-3038.6321952761095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2.4973798016861299E-2</v>
      </c>
      <c r="F10" s="185">
        <v>2.2191069025776701E-2</v>
      </c>
      <c r="G10" s="186">
        <v>1.1253986001238701</v>
      </c>
      <c r="H10" s="42">
        <f t="shared" si="0"/>
        <v>0.93783216676989278</v>
      </c>
      <c r="I10" s="47">
        <f>+'Centers of Mass and Rigidity'!L9-'Centers of Mass and Rigidity'!F9</f>
        <v>0.17720977518320069</v>
      </c>
      <c r="J10" s="47">
        <f>+'Centers of Mass and Rigidity'!M9-'Centers of Mass and Rigidity'!G9</f>
        <v>-0.19925262707129932</v>
      </c>
      <c r="K10" s="172">
        <f>IF(+'Sismo UBC-94 y Dinamico'!O19=0,'Sismo UBC-94 y Dinamico'!M19,'Sismo UBC-94 y Dinamico'!O19)</f>
        <v>24344.383159323042</v>
      </c>
      <c r="L10" s="172">
        <f>IF(+'Sismo UBC-94 y Dinamico'!P19=0,'Sismo UBC-94 y Dinamico'!N19,'Sismo UBC-94 y Dinamico'!P19)</f>
        <v>2014.3905846421405</v>
      </c>
      <c r="M10" s="52">
        <f>0.05*N10*K10*(H10-1)+0.05*O10*L10*(H10-1)</f>
        <v>-2489.8430487401502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-2345.8282061248683</v>
      </c>
      <c r="Q10" s="95">
        <f>+L10*(I10+0.05*O10*H10)-L10*(I10+0.05*O10)</f>
        <v>-144.01484261528049</v>
      </c>
      <c r="R10" s="95">
        <f>+P10+Q10</f>
        <v>-2489.8430487401488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2.1975406629836498E-2</v>
      </c>
      <c r="F11" s="185">
        <v>1.95043773225211E-2</v>
      </c>
      <c r="G11" s="186">
        <v>1.12669101230226</v>
      </c>
      <c r="H11" s="42">
        <f t="shared" si="0"/>
        <v>0.93890917691854825</v>
      </c>
      <c r="I11" s="47">
        <f>+'Centers of Mass and Rigidity'!L10-'Centers of Mass and Rigidity'!F10</f>
        <v>0.22649987468030019</v>
      </c>
      <c r="J11" s="47">
        <f>+'Centers of Mass and Rigidity'!M10-'Centers of Mass and Rigidity'!G10</f>
        <v>-0.22564790677659907</v>
      </c>
      <c r="K11" s="172">
        <f>IF(+'Sismo UBC-94 y Dinamico'!O20=0,'Sismo UBC-94 y Dinamico'!M20,'Sismo UBC-94 y Dinamico'!O20)</f>
        <v>20680.233728086463</v>
      </c>
      <c r="L11" s="172">
        <f>IF(+'Sismo UBC-94 y Dinamico'!P20=0,'Sismo UBC-94 y Dinamico'!N20,'Sismo UBC-94 y Dinamico'!P20)</f>
        <v>1703.7737369116287</v>
      </c>
      <c r="M11" s="52">
        <f t="shared" ref="M11:M16" si="3">0.05*N11*K11*(H11-1)+0.05*O11*L11*(H11-1)</f>
        <v>-2077.9250558690483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-1958.227374946684</v>
      </c>
      <c r="Q11" s="95">
        <f t="shared" ref="Q11:Q16" si="5">+L11*(I11+0.05*O11*H11)-L11*(I11+0.05*O11)</f>
        <v>-119.69768092236563</v>
      </c>
      <c r="R11" s="95">
        <f t="shared" ref="R11:R16" si="6">+P11+Q11</f>
        <v>-2077.9250558690496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1.8540931941677101E-2</v>
      </c>
      <c r="F12" s="185">
        <v>1.6442487852620698E-2</v>
      </c>
      <c r="G12" s="186">
        <v>1.1276232713604799</v>
      </c>
      <c r="H12" s="42">
        <f t="shared" si="0"/>
        <v>0.9396860594670664</v>
      </c>
      <c r="I12" s="47">
        <f>+'Centers of Mass and Rigidity'!L11-'Centers of Mass and Rigidity'!F11</f>
        <v>0.26296350432679994</v>
      </c>
      <c r="J12" s="47">
        <f>+'Centers of Mass and Rigidity'!M11-'Centers of Mass and Rigidity'!G11</f>
        <v>-0.25312007267720027</v>
      </c>
      <c r="K12" s="172">
        <f>IF(+'Sismo UBC-94 y Dinamico'!O21=0,'Sismo UBC-94 y Dinamico'!M21,'Sismo UBC-94 y Dinamico'!O21)</f>
        <v>17816.0592295776</v>
      </c>
      <c r="L12" s="172">
        <f>IF(+'Sismo UBC-94 y Dinamico'!P21=0,'Sismo UBC-94 y Dinamico'!N21,'Sismo UBC-94 y Dinamico'!P21)</f>
        <v>1470.6487834622731</v>
      </c>
      <c r="M12" s="52">
        <f t="shared" si="3"/>
        <v>-1767.5686589623083</v>
      </c>
      <c r="N12" s="172">
        <f t="shared" si="1"/>
        <v>31</v>
      </c>
      <c r="O12" s="172">
        <f t="shared" si="2"/>
        <v>23</v>
      </c>
      <c r="P12" s="95">
        <f t="shared" si="4"/>
        <v>-1665.5629422011443</v>
      </c>
      <c r="Q12" s="95">
        <f t="shared" si="5"/>
        <v>-102.00571676116101</v>
      </c>
      <c r="R12" s="95">
        <f t="shared" si="6"/>
        <v>-1767.5686589623053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1.4912553458806399E-2</v>
      </c>
      <c r="F13" s="185">
        <v>1.3214386140992599E-2</v>
      </c>
      <c r="G13" s="186">
        <v>1.1285089825357699</v>
      </c>
      <c r="H13" s="42">
        <f t="shared" si="0"/>
        <v>0.94042415211314556</v>
      </c>
      <c r="I13" s="47">
        <f>+'Centers of Mass and Rigidity'!L12-'Centers of Mass and Rigidity'!F12</f>
        <v>0.32532585390510071</v>
      </c>
      <c r="J13" s="47">
        <f>+'Centers of Mass and Rigidity'!M12-'Centers of Mass and Rigidity'!G12</f>
        <v>-0.2383186116053988</v>
      </c>
      <c r="K13" s="172">
        <f>IF(+'Sismo UBC-94 y Dinamico'!O22=0,'Sismo UBC-94 y Dinamico'!M22,'Sismo UBC-94 y Dinamico'!O22)</f>
        <v>15936.307365490167</v>
      </c>
      <c r="L13" s="172">
        <f>IF(+'Sismo UBC-94 y Dinamico'!P22=0,'Sismo UBC-94 y Dinamico'!N22,'Sismo UBC-94 y Dinamico'!P22)</f>
        <v>1327.7801186278418</v>
      </c>
      <c r="M13" s="52">
        <f t="shared" si="3"/>
        <v>-1562.5686567318767</v>
      </c>
      <c r="N13" s="172">
        <f t="shared" si="1"/>
        <v>31</v>
      </c>
      <c r="O13" s="172">
        <f t="shared" si="2"/>
        <v>23</v>
      </c>
      <c r="P13" s="95">
        <f t="shared" si="4"/>
        <v>-1471.59948640113</v>
      </c>
      <c r="Q13" s="95">
        <f t="shared" si="5"/>
        <v>-90.969170330746238</v>
      </c>
      <c r="R13" s="95">
        <f t="shared" si="6"/>
        <v>-1562.5686567318762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1.11726764007531E-2</v>
      </c>
      <c r="F14" s="185">
        <v>9.8927894050258001E-3</v>
      </c>
      <c r="G14" s="186">
        <v>1.1293757446284101</v>
      </c>
      <c r="H14" s="42">
        <f t="shared" si="0"/>
        <v>0.9411464538570119</v>
      </c>
      <c r="I14" s="47">
        <f>+'Centers of Mass and Rigidity'!L13-'Centers of Mass and Rigidity'!F13</f>
        <v>0.33296351458369955</v>
      </c>
      <c r="J14" s="47">
        <f>+'Centers of Mass and Rigidity'!M13-'Centers of Mass and Rigidity'!G13</f>
        <v>-0.21823267331719975</v>
      </c>
      <c r="K14" s="172">
        <f>IF(+'Sismo UBC-94 y Dinamico'!O23=0,'Sismo UBC-94 y Dinamico'!M23,'Sismo UBC-94 y Dinamico'!O23)</f>
        <v>13684.227020584212</v>
      </c>
      <c r="L14" s="172">
        <f>IF(+'Sismo UBC-94 y Dinamico'!P23=0,'Sismo UBC-94 y Dinamico'!N23,'Sismo UBC-94 y Dinamico'!P23)</f>
        <v>1142.9889190875992</v>
      </c>
      <c r="M14" s="52">
        <f t="shared" si="3"/>
        <v>-1325.6754876539831</v>
      </c>
      <c r="N14" s="172">
        <f t="shared" si="1"/>
        <v>31</v>
      </c>
      <c r="O14" s="172">
        <f t="shared" si="2"/>
        <v>23</v>
      </c>
      <c r="P14" s="95">
        <f t="shared" si="4"/>
        <v>-1248.3161938999692</v>
      </c>
      <c r="Q14" s="95">
        <f t="shared" si="5"/>
        <v>-77.359293754013152</v>
      </c>
      <c r="R14" s="95">
        <f t="shared" si="6"/>
        <v>-1325.6754876539824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7.2543713227092299E-3</v>
      </c>
      <c r="F15" s="185">
        <v>6.4232242879554398E-3</v>
      </c>
      <c r="G15" s="186">
        <v>1.12939716838354</v>
      </c>
      <c r="H15" s="42">
        <f t="shared" si="0"/>
        <v>0.94116430698628029</v>
      </c>
      <c r="I15" s="47">
        <f>+'Centers of Mass and Rigidity'!L14-'Centers of Mass and Rigidity'!F14</f>
        <v>0.26609363587749968</v>
      </c>
      <c r="J15" s="47">
        <f>+'Centers of Mass and Rigidity'!M14-'Centers of Mass and Rigidity'!G14</f>
        <v>-0.15438898045549898</v>
      </c>
      <c r="K15" s="172">
        <f>IF(+'Sismo UBC-94 y Dinamico'!O24=0,'Sismo UBC-94 y Dinamico'!M24,'Sismo UBC-94 y Dinamico'!O24)</f>
        <v>10574.142164980838</v>
      </c>
      <c r="L15" s="172">
        <f>IF(+'Sismo UBC-94 y Dinamico'!P24=0,'Sismo UBC-94 y Dinamico'!N24,'Sismo UBC-94 y Dinamico'!P24)</f>
        <v>871.38716227017301</v>
      </c>
      <c r="M15" s="52">
        <f t="shared" si="3"/>
        <v>-1023.2712902802133</v>
      </c>
      <c r="N15" s="172">
        <f t="shared" si="1"/>
        <v>31</v>
      </c>
      <c r="O15" s="172">
        <f t="shared" si="2"/>
        <v>23</v>
      </c>
      <c r="P15" s="95">
        <f t="shared" si="4"/>
        <v>-964.31232256847579</v>
      </c>
      <c r="Q15" s="95">
        <f t="shared" si="5"/>
        <v>-58.958967711737841</v>
      </c>
      <c r="R15" s="95">
        <f t="shared" si="6"/>
        <v>-1023.2712902802136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3.3030702556098102E-3</v>
      </c>
      <c r="F16" s="188">
        <v>2.9314928320347002E-3</v>
      </c>
      <c r="G16" s="189">
        <v>1.1267536524444399</v>
      </c>
      <c r="H16" s="42">
        <f t="shared" si="0"/>
        <v>0.93896137703703808</v>
      </c>
      <c r="I16" s="47">
        <f>+'Centers of Mass and Rigidity'!L15-'Centers of Mass and Rigidity'!F15</f>
        <v>-1.7065006683996131E-3</v>
      </c>
      <c r="J16" s="47">
        <f>+'Centers of Mass and Rigidity'!M15-'Centers of Mass and Rigidity'!G15</f>
        <v>4.6713851812000939E-2</v>
      </c>
      <c r="K16" s="172">
        <f>IF(+'Sismo UBC-94 y Dinamico'!O25=0,'Sismo UBC-94 y Dinamico'!M25,'Sismo UBC-94 y Dinamico'!O25)</f>
        <v>5913.8750499694333</v>
      </c>
      <c r="L16" s="172">
        <f>IF(+'Sismo UBC-94 y Dinamico'!P25=0,'Sismo UBC-94 y Dinamico'!N25,'Sismo UBC-94 y Dinamico'!P25)</f>
        <v>455.17118366155773</v>
      </c>
      <c r="M16" s="52">
        <f t="shared" si="3"/>
        <v>-591.46139921157669</v>
      </c>
      <c r="N16" s="172">
        <f t="shared" si="1"/>
        <v>31</v>
      </c>
      <c r="O16" s="172">
        <f t="shared" si="2"/>
        <v>23</v>
      </c>
      <c r="P16" s="95">
        <f t="shared" si="4"/>
        <v>-559.51092360898474</v>
      </c>
      <c r="Q16" s="95">
        <f t="shared" si="5"/>
        <v>-31.950475602591325</v>
      </c>
      <c r="R16" s="95">
        <f t="shared" si="6"/>
        <v>-591.46139921157601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3.0989399728215301E-2</v>
      </c>
      <c r="F24" s="185">
        <v>3.0543442421815999E-2</v>
      </c>
      <c r="G24" s="186">
        <v>1.0146007545659199</v>
      </c>
      <c r="H24" s="42">
        <f>+E24/(1.2*F24)</f>
        <v>0.84550062880493493</v>
      </c>
      <c r="I24" s="47">
        <f t="shared" ref="I24:L28" si="7">+I6</f>
        <v>-1.451526175083</v>
      </c>
      <c r="J24" s="47">
        <f t="shared" si="7"/>
        <v>0.93534149016906998</v>
      </c>
      <c r="K24" s="48">
        <f>+K6</f>
        <v>1046.883387507984</v>
      </c>
      <c r="L24" s="48">
        <f>+L6</f>
        <v>332.18461044438726</v>
      </c>
      <c r="M24" s="52">
        <f>-0.05*N24*K24*(H24-1)-0.05*O24*L24*(H24-1)</f>
        <v>309.72203933052776</v>
      </c>
      <c r="N24" s="172">
        <f>+$N$3</f>
        <v>31</v>
      </c>
      <c r="O24" s="172">
        <f>+$O$3</f>
        <v>23</v>
      </c>
      <c r="P24" s="95">
        <f>+K24*(J24-0.05*N24*H24)-K24*(J24-0.05*N24)</f>
        <v>250.70137888104193</v>
      </c>
      <c r="Q24" s="95">
        <f>+L24*(I24-0.05*O24*H24)-L24*(I24-0.05*O24)</f>
        <v>59.020660449485831</v>
      </c>
      <c r="R24" s="95">
        <f>+P24+Q24</f>
        <v>309.72203933052776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2.99898768549457E-2</v>
      </c>
      <c r="F25" s="185">
        <v>2.6630213341346999E-2</v>
      </c>
      <c r="G25" s="186">
        <v>1.1261598422263599</v>
      </c>
      <c r="H25" s="42">
        <f>+E25/(1.2*F25)</f>
        <v>0.9384665351886351</v>
      </c>
      <c r="I25" s="47">
        <f t="shared" si="7"/>
        <v>-0.20072224443219966</v>
      </c>
      <c r="J25" s="47">
        <f t="shared" si="7"/>
        <v>5.168472571589966E-2</v>
      </c>
      <c r="K25" s="48">
        <f t="shared" si="7"/>
        <v>31361.646368098776</v>
      </c>
      <c r="L25" s="48">
        <f t="shared" si="7"/>
        <v>2442.3676149578905</v>
      </c>
      <c r="M25" s="52">
        <f>-0.05*N25*K25*(H25-1)-0.05*O25*L25*(H25-1)</f>
        <v>3164.0061259328509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2991.1756829877122</v>
      </c>
      <c r="Q25" s="95">
        <f>+L25*(I25-0.05*O25*H25)-L25*(I25-0.05*O25)</f>
        <v>172.83044294514275</v>
      </c>
      <c r="R25" s="95">
        <f>+P25+Q25</f>
        <v>3164.006125932855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2.8775109559845701E-2</v>
      </c>
      <c r="F26" s="185">
        <v>2.56141971553333E-2</v>
      </c>
      <c r="G26" s="186">
        <v>1.1234047034675201</v>
      </c>
      <c r="H26" s="42">
        <f>+E26/(1.2*F26)</f>
        <v>0.93617058622293015</v>
      </c>
      <c r="I26" s="47">
        <f t="shared" si="7"/>
        <v>3.2912755649700642E-2</v>
      </c>
      <c r="J26" s="47">
        <f t="shared" si="7"/>
        <v>-0.14654213684760009</v>
      </c>
      <c r="K26" s="48">
        <f t="shared" si="7"/>
        <v>34711.912343181008</v>
      </c>
      <c r="L26" s="48">
        <f t="shared" si="7"/>
        <v>2886.2755608881635</v>
      </c>
      <c r="M26" s="52">
        <f>-0.05*N26*K26*(H26-1)-0.05*O26*L26*(H26-1)</f>
        <v>3646.1072433248942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3434.2435747167328</v>
      </c>
      <c r="Q26" s="95">
        <f>+L26*(I26-0.05*O26*H26)-L26*(I26-0.05*O26)</f>
        <v>211.86366860816088</v>
      </c>
      <c r="R26" s="95">
        <f>+P26+Q26</f>
        <v>3646.1072433248937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2.68944040647628E-2</v>
      </c>
      <c r="F27" s="185">
        <v>2.4001502029464401E-2</v>
      </c>
      <c r="G27" s="186">
        <v>1.12053004148436</v>
      </c>
      <c r="H27" s="42">
        <f>+E27/(1.2*F27)</f>
        <v>0.93377503457030364</v>
      </c>
      <c r="I27" s="47">
        <f t="shared" si="7"/>
        <v>0.11211397800230039</v>
      </c>
      <c r="J27" s="47">
        <f t="shared" si="7"/>
        <v>-0.1732047423718992</v>
      </c>
      <c r="K27" s="48">
        <f t="shared" si="7"/>
        <v>29026.143903167082</v>
      </c>
      <c r="L27" s="48">
        <f t="shared" si="7"/>
        <v>2417.8796620321814</v>
      </c>
      <c r="M27" s="52">
        <f>-0.05*N27*K27*(H27-1)-0.05*O27*L27*(H27-1)</f>
        <v>3163.638430230114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2979.495833644185</v>
      </c>
      <c r="Q27" s="95">
        <f>+L27*(I27-0.05*O27*H27)-L27*(I27-0.05*O27)</f>
        <v>184.14259658593392</v>
      </c>
      <c r="R27" s="95">
        <f>+P27+Q27</f>
        <v>3163.638430230119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2.4396097212262401E-2</v>
      </c>
      <c r="F28" s="185">
        <v>2.18283859613316E-2</v>
      </c>
      <c r="G28" s="186">
        <v>1.1176317504866999</v>
      </c>
      <c r="H28" s="42">
        <f>+E28/(1.2*F28)</f>
        <v>0.93135979207225217</v>
      </c>
      <c r="I28" s="47">
        <f t="shared" si="7"/>
        <v>0.17720977518320069</v>
      </c>
      <c r="J28" s="47">
        <f t="shared" si="7"/>
        <v>-0.19925262707129932</v>
      </c>
      <c r="K28" s="48">
        <f t="shared" si="7"/>
        <v>24344.383159323042</v>
      </c>
      <c r="L28" s="48">
        <f t="shared" si="7"/>
        <v>2014.3905846421405</v>
      </c>
      <c r="M28" s="52">
        <f>-0.05*N28*K28*(H28-1)-0.05*O28*L28*(H28-1)</f>
        <v>2749.0638758536434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2590.0554589894818</v>
      </c>
      <c r="Q28" s="95">
        <f>+L28*(I28-0.05*O28*H28)-L28*(I28-0.05*O28)</f>
        <v>159.00841686416402</v>
      </c>
      <c r="R28" s="95">
        <f>+P28+Q28</f>
        <v>2749.0638758536461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2.1379948055385001E-2</v>
      </c>
      <c r="F29" s="185">
        <v>1.9182977317045199E-2</v>
      </c>
      <c r="G29" s="186">
        <v>1.11452709879335</v>
      </c>
      <c r="H29" s="42">
        <f t="shared" ref="H29:H34" si="10">+E29/(1.2*F29)</f>
        <v>0.92877258232779059</v>
      </c>
      <c r="I29" s="47">
        <f t="shared" ref="I29:L34" si="11">+I11</f>
        <v>0.22649987468030019</v>
      </c>
      <c r="J29" s="47">
        <f t="shared" si="11"/>
        <v>-0.22564790677659907</v>
      </c>
      <c r="K29" s="48">
        <f t="shared" si="11"/>
        <v>20680.233728086463</v>
      </c>
      <c r="L29" s="48">
        <f t="shared" si="11"/>
        <v>1703.7737369116287</v>
      </c>
      <c r="M29" s="52">
        <f t="shared" ref="M29:M34" si="12">-0.05*N29*K29*(H29-1)-0.05*O29*L29*(H29-1)</f>
        <v>2422.7081643440943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2283.149450229459</v>
      </c>
      <c r="Q29" s="95">
        <f t="shared" ref="Q29:Q34" si="14">+L29*(I29-0.05*O29*H29)-L29*(I29-0.05*O29)</f>
        <v>139.5587141146375</v>
      </c>
      <c r="R29" s="95">
        <f t="shared" ref="R29:R34" si="15">+P29+Q29</f>
        <v>2422.7081643440965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1.79651466010123E-2</v>
      </c>
      <c r="F30" s="185">
        <v>1.6169422267326101E-2</v>
      </c>
      <c r="G30" s="186">
        <v>1.1110568024013401</v>
      </c>
      <c r="H30" s="42">
        <f t="shared" si="10"/>
        <v>0.92588066866778007</v>
      </c>
      <c r="I30" s="47">
        <f t="shared" si="11"/>
        <v>0.26296350432679994</v>
      </c>
      <c r="J30" s="47">
        <f t="shared" si="11"/>
        <v>-0.25312007267720027</v>
      </c>
      <c r="K30" s="48">
        <f t="shared" si="11"/>
        <v>17816.0592295776</v>
      </c>
      <c r="L30" s="48">
        <f t="shared" si="11"/>
        <v>1470.6487834622731</v>
      </c>
      <c r="M30" s="52">
        <f t="shared" si="12"/>
        <v>2172.1513455838326</v>
      </c>
      <c r="N30" s="172">
        <f t="shared" si="8"/>
        <v>31</v>
      </c>
      <c r="O30" s="172">
        <f t="shared" si="9"/>
        <v>23</v>
      </c>
      <c r="P30" s="95">
        <f t="shared" si="13"/>
        <v>2046.7973154608517</v>
      </c>
      <c r="Q30" s="95">
        <f t="shared" si="14"/>
        <v>125.35403012298116</v>
      </c>
      <c r="R30" s="95">
        <f t="shared" si="15"/>
        <v>2172.1513455838331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1.44096749452508E-2</v>
      </c>
      <c r="F31" s="185">
        <v>1.29936710018857E-2</v>
      </c>
      <c r="G31" s="186">
        <v>1.1089764350012801</v>
      </c>
      <c r="H31" s="42">
        <f t="shared" si="10"/>
        <v>0.92414702916773894</v>
      </c>
      <c r="I31" s="47">
        <f t="shared" si="11"/>
        <v>0.32532585390510071</v>
      </c>
      <c r="J31" s="47">
        <f t="shared" si="11"/>
        <v>-0.2383186116053988</v>
      </c>
      <c r="K31" s="48">
        <f t="shared" si="11"/>
        <v>15936.307365490167</v>
      </c>
      <c r="L31" s="48">
        <f t="shared" si="11"/>
        <v>1327.7801186278418</v>
      </c>
      <c r="M31" s="52">
        <f t="shared" si="12"/>
        <v>1989.4886761425566</v>
      </c>
      <c r="N31" s="172">
        <f t="shared" si="8"/>
        <v>31</v>
      </c>
      <c r="O31" s="172">
        <f t="shared" si="9"/>
        <v>23</v>
      </c>
      <c r="P31" s="95">
        <f t="shared" si="13"/>
        <v>1873.6651995411303</v>
      </c>
      <c r="Q31" s="95">
        <f t="shared" si="14"/>
        <v>115.82347660142364</v>
      </c>
      <c r="R31" s="95">
        <f t="shared" si="15"/>
        <v>1989.4886761425539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1.07947501099329E-2</v>
      </c>
      <c r="F32" s="185">
        <v>9.7273986694961304E-3</v>
      </c>
      <c r="G32" s="186">
        <v>1.109726297513</v>
      </c>
      <c r="H32" s="42">
        <f t="shared" si="10"/>
        <v>0.92477191459417329</v>
      </c>
      <c r="I32" s="47">
        <f t="shared" si="11"/>
        <v>0.33296351458369955</v>
      </c>
      <c r="J32" s="47">
        <f t="shared" si="11"/>
        <v>-0.21823267331719975</v>
      </c>
      <c r="K32" s="48">
        <f t="shared" si="11"/>
        <v>13684.227020584212</v>
      </c>
      <c r="L32" s="48">
        <f t="shared" si="11"/>
        <v>1142.9889190875992</v>
      </c>
      <c r="M32" s="52">
        <f t="shared" si="12"/>
        <v>1694.5118067031981</v>
      </c>
      <c r="N32" s="172">
        <f t="shared" si="8"/>
        <v>31</v>
      </c>
      <c r="O32" s="172">
        <f t="shared" si="9"/>
        <v>23</v>
      </c>
      <c r="P32" s="95">
        <f t="shared" si="13"/>
        <v>1595.6292084767083</v>
      </c>
      <c r="Q32" s="95">
        <f t="shared" si="14"/>
        <v>98.882598226490927</v>
      </c>
      <c r="R32" s="95">
        <f t="shared" si="15"/>
        <v>1694.5118067031992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7.0335551833197599E-3</v>
      </c>
      <c r="F33" s="185">
        <v>6.31685425550098E-3</v>
      </c>
      <c r="G33" s="186">
        <v>1.1134585188813899</v>
      </c>
      <c r="H33" s="42">
        <f t="shared" si="10"/>
        <v>0.92788209906782948</v>
      </c>
      <c r="I33" s="47">
        <f t="shared" si="11"/>
        <v>0.26609363587749968</v>
      </c>
      <c r="J33" s="47">
        <f t="shared" si="11"/>
        <v>-0.15438898045549898</v>
      </c>
      <c r="K33" s="48">
        <f t="shared" si="11"/>
        <v>10574.142164980838</v>
      </c>
      <c r="L33" s="48">
        <f t="shared" si="11"/>
        <v>871.38716227017301</v>
      </c>
      <c r="M33" s="52">
        <f t="shared" si="12"/>
        <v>1254.2756574984919</v>
      </c>
      <c r="N33" s="172">
        <f t="shared" si="8"/>
        <v>31</v>
      </c>
      <c r="O33" s="172">
        <f t="shared" si="9"/>
        <v>23</v>
      </c>
      <c r="P33" s="95">
        <f t="shared" si="13"/>
        <v>1182.0066525000002</v>
      </c>
      <c r="Q33" s="95">
        <f t="shared" si="14"/>
        <v>72.269004998490232</v>
      </c>
      <c r="R33" s="95">
        <f t="shared" si="15"/>
        <v>1254.2756574984905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3.24633382867834E-3</v>
      </c>
      <c r="F34" s="188">
        <v>2.8850750046745602E-3</v>
      </c>
      <c r="G34" s="189">
        <v>1.1252164409654699</v>
      </c>
      <c r="H34" s="42">
        <f t="shared" si="10"/>
        <v>0.93768036747122352</v>
      </c>
      <c r="I34" s="47">
        <f t="shared" si="11"/>
        <v>-1.7065006683996131E-3</v>
      </c>
      <c r="J34" s="47">
        <f t="shared" si="11"/>
        <v>4.6713851812000939E-2</v>
      </c>
      <c r="K34" s="48">
        <f t="shared" si="11"/>
        <v>5913.8750499694333</v>
      </c>
      <c r="L34" s="48">
        <f t="shared" si="11"/>
        <v>455.17118366155773</v>
      </c>
      <c r="M34" s="52">
        <f t="shared" si="12"/>
        <v>603.87432193854977</v>
      </c>
      <c r="N34" s="172">
        <f t="shared" si="8"/>
        <v>31</v>
      </c>
      <c r="O34" s="172">
        <f t="shared" si="9"/>
        <v>23</v>
      </c>
      <c r="P34" s="95">
        <f t="shared" si="13"/>
        <v>571.25330589955229</v>
      </c>
      <c r="Q34" s="95">
        <f t="shared" si="14"/>
        <v>32.621016038997993</v>
      </c>
      <c r="R34" s="95">
        <f t="shared" si="15"/>
        <v>603.87432193855034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3.6078781423462401E-2</v>
      </c>
      <c r="F42" s="185">
        <v>3.5472909097495099E-2</v>
      </c>
      <c r="G42" s="186">
        <v>1.0170798601350099</v>
      </c>
      <c r="H42" s="42">
        <f>+E42/(1.2*F42)</f>
        <v>0.84756655011251214</v>
      </c>
      <c r="I42" s="181">
        <f>+I24</f>
        <v>-1.451526175083</v>
      </c>
      <c r="J42" s="181">
        <f>+J24</f>
        <v>0.93534149016906998</v>
      </c>
      <c r="K42" s="48">
        <f>IF(+'Sismo UBC-94 y Dinamico'!O34=0,'Sismo UBC-94 y Dinamico'!M34,'Sismo UBC-94 y Dinamico'!O34)</f>
        <v>266.61111872450482</v>
      </c>
      <c r="L42" s="48">
        <f>IF(+'Sismo UBC-94 y Dinamico'!P34=0,'Sismo UBC-94 y Dinamico'!N34,'Sismo UBC-94 y Dinamico'!P34)</f>
        <v>1040.8344703179127</v>
      </c>
      <c r="M42" s="52">
        <f>0.05*N42*K42*(H42-1)+0.05*O42*L42*(H42-1)</f>
        <v>-245.44938897181714</v>
      </c>
      <c r="N42" s="172">
        <f>+$N$3</f>
        <v>31</v>
      </c>
      <c r="O42" s="172">
        <f>+$O$3</f>
        <v>23</v>
      </c>
      <c r="P42" s="95">
        <f>+K42*(J42+0.05*N42*H42)-K42*(J42+0.05*N42)</f>
        <v>-62.992701538585266</v>
      </c>
      <c r="Q42" s="95">
        <f>+L42*(I42+0.05*O42*H42)-L42*(I42+0.05*O42)</f>
        <v>-182.45668743323188</v>
      </c>
      <c r="R42" s="95">
        <f>+P42+Q42</f>
        <v>-245.44938897181714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3.4705412039057103E-2</v>
      </c>
      <c r="F43" s="185">
        <v>3.1776782053949501E-2</v>
      </c>
      <c r="G43" s="186">
        <v>1.0921625726650199</v>
      </c>
      <c r="H43" s="42">
        <f t="shared" ref="H43:H52" si="16">+E43/(1.2*F43)</f>
        <v>0.91013547722084942</v>
      </c>
      <c r="I43" s="181">
        <f t="shared" ref="I43:J43" si="17">+I25</f>
        <v>-0.20072224443219966</v>
      </c>
      <c r="J43" s="181">
        <f t="shared" si="17"/>
        <v>5.168472571589966E-2</v>
      </c>
      <c r="K43" s="48">
        <f>IF(+'Sismo UBC-94 y Dinamico'!O35=0,'Sismo UBC-94 y Dinamico'!M35,'Sismo UBC-94 y Dinamico'!O35)</f>
        <v>2550.6799764645352</v>
      </c>
      <c r="L43" s="48">
        <f>IF(+'Sismo UBC-94 y Dinamico'!P35=0,'Sismo UBC-94 y Dinamico'!N35,'Sismo UBC-94 y Dinamico'!P35)</f>
        <v>32314.473296769585</v>
      </c>
      <c r="M43" s="52">
        <f>0.05*N43*K43*(H43-1)+0.05*O43*L43*(H43-1)</f>
        <v>-3694.7976701382213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-355.28424021334695</v>
      </c>
      <c r="Q43" s="95">
        <f>+L43*(I43+0.05*O43*H43)-L43*(I43+0.05*O43)</f>
        <v>-3339.5134299248784</v>
      </c>
      <c r="R43" s="95">
        <f>+P43+Q43</f>
        <v>-3694.7976701382254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3.3239284073960498E-2</v>
      </c>
      <c r="F44" s="185">
        <v>3.0553045623833801E-2</v>
      </c>
      <c r="G44" s="186">
        <v>1.08792048043915</v>
      </c>
      <c r="H44" s="42">
        <f t="shared" si="16"/>
        <v>0.90660040036595724</v>
      </c>
      <c r="I44" s="181">
        <f t="shared" ref="I44:J44" si="20">+I26</f>
        <v>3.2912755649700642E-2</v>
      </c>
      <c r="J44" s="181">
        <f t="shared" si="20"/>
        <v>-0.14654213684760009</v>
      </c>
      <c r="K44" s="48">
        <f>IF(+'Sismo UBC-94 y Dinamico'!O36=0,'Sismo UBC-94 y Dinamico'!M36,'Sismo UBC-94 y Dinamico'!O36)</f>
        <v>3134.207752628316</v>
      </c>
      <c r="L44" s="48">
        <f>IF(+'Sismo UBC-94 y Dinamico'!P36=0,'Sismo UBC-94 y Dinamico'!N36,'Sismo UBC-94 y Dinamico'!P36)</f>
        <v>35017.335793127771</v>
      </c>
      <c r="M44" s="52">
        <f>0.05*N44*K44*(H44-1)+0.05*O44*L44*(H44-1)</f>
        <v>-4214.9332261896816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-453.73731136136621</v>
      </c>
      <c r="Q44" s="95">
        <f>+L44*(I44+0.05*O44*H44)-L44*(I44+0.05*O44)</f>
        <v>-3761.1959148283131</v>
      </c>
      <c r="R44" s="95">
        <f>+P44+Q44</f>
        <v>-4214.9332261896798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3.1016216583954901E-2</v>
      </c>
      <c r="F45" s="185">
        <v>2.86129214032853E-2</v>
      </c>
      <c r="G45" s="186">
        <v>1.08399335205225</v>
      </c>
      <c r="H45" s="42">
        <f t="shared" si="16"/>
        <v>0.90332779337687796</v>
      </c>
      <c r="I45" s="181">
        <f t="shared" ref="I45:J45" si="21">+I27</f>
        <v>0.11211397800230039</v>
      </c>
      <c r="J45" s="181">
        <f t="shared" si="21"/>
        <v>-0.1732047423718992</v>
      </c>
      <c r="K45" s="48">
        <f>IF(+'Sismo UBC-94 y Dinamico'!O37=0,'Sismo UBC-94 y Dinamico'!M37,'Sismo UBC-94 y Dinamico'!O37)</f>
        <v>2624.9882814691214</v>
      </c>
      <c r="L45" s="48">
        <f>IF(+'Sismo UBC-94 y Dinamico'!P37=0,'Sismo UBC-94 y Dinamico'!N37,'Sismo UBC-94 y Dinamico'!P37)</f>
        <v>28855.18857204734</v>
      </c>
      <c r="M45" s="52">
        <f>0.05*N45*K45*(H45-1)+0.05*O45*L45*(H45-1)</f>
        <v>-3601.2522493246852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-393.33328477065834</v>
      </c>
      <c r="Q45" s="95">
        <f>+L45*(I45+0.05*O45*H45)-L45*(I45+0.05*O45)</f>
        <v>-3207.9189645540246</v>
      </c>
      <c r="R45" s="95">
        <f>+P45+Q45</f>
        <v>-3601.2522493246829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2.80985488132382E-2</v>
      </c>
      <c r="F46" s="185">
        <v>2.6002051165738699E-2</v>
      </c>
      <c r="G46" s="186">
        <v>1.0806281640681501</v>
      </c>
      <c r="H46" s="42">
        <f t="shared" si="16"/>
        <v>0.90052347005678812</v>
      </c>
      <c r="I46" s="181">
        <f t="shared" ref="I46:J46" si="22">+I28</f>
        <v>0.17720977518320069</v>
      </c>
      <c r="J46" s="181">
        <f t="shared" si="22"/>
        <v>-0.19925262707129932</v>
      </c>
      <c r="K46" s="48">
        <f>IF(+'Sismo UBC-94 y Dinamico'!O38=0,'Sismo UBC-94 y Dinamico'!M38,'Sismo UBC-94 y Dinamico'!O38)</f>
        <v>2186.6321307364542</v>
      </c>
      <c r="L46" s="48">
        <f>IF(+'Sismo UBC-94 y Dinamico'!P38=0,'Sismo UBC-94 y Dinamico'!N38,'Sismo UBC-94 y Dinamico'!P38)</f>
        <v>23932.723559114489</v>
      </c>
      <c r="M46" s="52">
        <f>0.05*N46*K46*(H46-1)+0.05*O46*L46*(H46-1)</f>
        <v>-3075.0097292868859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-337.15379377339059</v>
      </c>
      <c r="Q46" s="95">
        <f>+L46*(I46+0.05*O46*H46)-L46*(I46+0.05*O46)</f>
        <v>-2737.8559355134967</v>
      </c>
      <c r="R46" s="95">
        <f>+P46+Q46</f>
        <v>-3075.0097292868873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2.46024271376654E-2</v>
      </c>
      <c r="F47" s="185">
        <v>2.2828089443006499E-2</v>
      </c>
      <c r="G47" s="186">
        <v>1.07772607072917</v>
      </c>
      <c r="H47" s="42">
        <f t="shared" si="16"/>
        <v>0.89810505894097359</v>
      </c>
      <c r="I47" s="181">
        <f t="shared" ref="I47:J47" si="23">+I29</f>
        <v>0.22649987468030019</v>
      </c>
      <c r="J47" s="181">
        <f t="shared" si="23"/>
        <v>-0.22564790677659907</v>
      </c>
      <c r="K47" s="48">
        <f>IF(+'Sismo UBC-94 y Dinamico'!O39=0,'Sismo UBC-94 y Dinamico'!M39,'Sismo UBC-94 y Dinamico'!O39)</f>
        <v>1848.6477728891539</v>
      </c>
      <c r="L47" s="48">
        <f>IF(+'Sismo UBC-94 y Dinamico'!P39=0,'Sismo UBC-94 y Dinamico'!N39,'Sismo UBC-94 y Dinamico'!P39)</f>
        <v>20195.462255127972</v>
      </c>
      <c r="M47" s="52">
        <f t="shared" ref="M47:M52" si="24">0.05*N47*K47*(H47-1)+0.05*O47*L47*(H47-1)</f>
        <v>-2658.4579281469992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-291.9701765790337</v>
      </c>
      <c r="Q47" s="95">
        <f t="shared" ref="Q47:Q52" si="26">+L47*(I47+0.05*O47*H47)-L47*(I47+0.05*O47)</f>
        <v>-2366.4877515679691</v>
      </c>
      <c r="R47" s="95">
        <f t="shared" ref="R47:R52" si="27">+P47+Q47</f>
        <v>-2658.4579281470028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2.06629428656365E-2</v>
      </c>
      <c r="F48" s="185">
        <v>1.9218103279691999E-2</v>
      </c>
      <c r="G48" s="186">
        <v>1.07518117500551</v>
      </c>
      <c r="H48" s="42">
        <f t="shared" si="16"/>
        <v>0.89598431250459221</v>
      </c>
      <c r="I48" s="181">
        <f t="shared" ref="I48:J48" si="28">+I30</f>
        <v>0.26296350432679994</v>
      </c>
      <c r="J48" s="181">
        <f t="shared" si="28"/>
        <v>-0.25312007267720027</v>
      </c>
      <c r="K48" s="48">
        <f>IF(+'Sismo UBC-94 y Dinamico'!O40=0,'Sismo UBC-94 y Dinamico'!M40,'Sismo UBC-94 y Dinamico'!O40)</f>
        <v>1587.4379279713853</v>
      </c>
      <c r="L48" s="48">
        <f>IF(+'Sismo UBC-94 y Dinamico'!P40=0,'Sismo UBC-94 y Dinamico'!N40,'Sismo UBC-94 y Dinamico'!P40)</f>
        <v>17452.057944594391</v>
      </c>
      <c r="M48" s="52">
        <f t="shared" si="24"/>
        <v>-2343.5145696372369</v>
      </c>
      <c r="N48" s="172">
        <f t="shared" si="18"/>
        <v>31</v>
      </c>
      <c r="O48" s="172">
        <f t="shared" si="19"/>
        <v>23</v>
      </c>
      <c r="P48" s="95">
        <f t="shared" si="25"/>
        <v>-255.93359352305538</v>
      </c>
      <c r="Q48" s="95">
        <f t="shared" si="26"/>
        <v>-2087.5809761141827</v>
      </c>
      <c r="R48" s="95">
        <f t="shared" si="27"/>
        <v>-2343.5145696372383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1.6529707625938601E-2</v>
      </c>
      <c r="F49" s="185">
        <v>1.54012889982521E-2</v>
      </c>
      <c r="G49" s="186">
        <v>1.07326780426071</v>
      </c>
      <c r="H49" s="42">
        <f t="shared" si="16"/>
        <v>0.89438983688392171</v>
      </c>
      <c r="I49" s="181">
        <f t="shared" ref="I49:J49" si="29">+I31</f>
        <v>0.32532585390510071</v>
      </c>
      <c r="J49" s="181">
        <f t="shared" si="29"/>
        <v>-0.2383186116053988</v>
      </c>
      <c r="K49" s="48">
        <f>IF(+'Sismo UBC-94 y Dinamico'!O41=0,'Sismo UBC-94 y Dinamico'!M41,'Sismo UBC-94 y Dinamico'!O41)</f>
        <v>1419.5382445686532</v>
      </c>
      <c r="L49" s="48">
        <f>IF(+'Sismo UBC-94 y Dinamico'!P41=0,'Sismo UBC-94 y Dinamico'!N41,'Sismo UBC-94 y Dinamico'!P41)</f>
        <v>15811.109494801894</v>
      </c>
      <c r="M49" s="52">
        <f t="shared" si="24"/>
        <v>-2152.6583123265636</v>
      </c>
      <c r="N49" s="172">
        <f t="shared" si="18"/>
        <v>31</v>
      </c>
      <c r="O49" s="172">
        <f t="shared" si="19"/>
        <v>23</v>
      </c>
      <c r="P49" s="95">
        <f t="shared" si="25"/>
        <v>-232.37238161553091</v>
      </c>
      <c r="Q49" s="95">
        <f t="shared" si="26"/>
        <v>-1920.2859307110339</v>
      </c>
      <c r="R49" s="95">
        <f t="shared" si="27"/>
        <v>-2152.6583123265646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1.2292990663042701E-2</v>
      </c>
      <c r="F50" s="185">
        <v>1.1460532874339501E-2</v>
      </c>
      <c r="G50" s="186">
        <v>1.0726369181809301</v>
      </c>
      <c r="H50" s="42">
        <f t="shared" si="16"/>
        <v>0.8938640984841042</v>
      </c>
      <c r="I50" s="181">
        <f t="shared" ref="I50:J50" si="30">+I32</f>
        <v>0.33296351458369955</v>
      </c>
      <c r="J50" s="181">
        <f t="shared" si="30"/>
        <v>-0.21823267331719975</v>
      </c>
      <c r="K50" s="48">
        <f>IF(+'Sismo UBC-94 y Dinamico'!O42=0,'Sismo UBC-94 y Dinamico'!M42,'Sismo UBC-94 y Dinamico'!O42)</f>
        <v>1212.6909214578375</v>
      </c>
      <c r="L50" s="48">
        <f>IF(+'Sismo UBC-94 y Dinamico'!P42=0,'Sismo UBC-94 y Dinamico'!N42,'Sismo UBC-94 y Dinamico'!P42)</f>
        <v>13765.518975466988</v>
      </c>
      <c r="M50" s="52">
        <f t="shared" si="24"/>
        <v>-1879.6686997637216</v>
      </c>
      <c r="N50" s="172">
        <f t="shared" si="18"/>
        <v>31</v>
      </c>
      <c r="O50" s="172">
        <f t="shared" si="19"/>
        <v>23</v>
      </c>
      <c r="P50" s="95">
        <f t="shared" si="25"/>
        <v>-199.50056852405828</v>
      </c>
      <c r="Q50" s="95">
        <f t="shared" si="26"/>
        <v>-1680.1681312396649</v>
      </c>
      <c r="R50" s="95">
        <f t="shared" si="27"/>
        <v>-1879.6686997637232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7.9044863744936293E-3</v>
      </c>
      <c r="F51" s="185">
        <v>7.3532748432138502E-3</v>
      </c>
      <c r="G51" s="186">
        <v>1.0749613666064</v>
      </c>
      <c r="H51" s="42">
        <f t="shared" si="16"/>
        <v>0.89580113883866752</v>
      </c>
      <c r="I51" s="181">
        <f t="shared" ref="I51:J51" si="31">+I33</f>
        <v>0.26609363587749968</v>
      </c>
      <c r="J51" s="181">
        <f t="shared" si="31"/>
        <v>-0.15438898045549898</v>
      </c>
      <c r="K51" s="48">
        <f>IF(+'Sismo UBC-94 y Dinamico'!O43=0,'Sismo UBC-94 y Dinamico'!M43,'Sismo UBC-94 y Dinamico'!O43)</f>
        <v>922.19169573093654</v>
      </c>
      <c r="L51" s="48">
        <f>IF(+'Sismo UBC-94 y Dinamico'!P43=0,'Sismo UBC-94 y Dinamico'!N43,'Sismo UBC-94 y Dinamico'!P43)</f>
        <v>10739.651686745334</v>
      </c>
      <c r="M51" s="52">
        <f t="shared" si="24"/>
        <v>-1435.8599492072672</v>
      </c>
      <c r="N51" s="172">
        <f t="shared" si="18"/>
        <v>31</v>
      </c>
      <c r="O51" s="172">
        <f t="shared" si="19"/>
        <v>23</v>
      </c>
      <c r="P51" s="95">
        <f t="shared" si="25"/>
        <v>-148.94155292478263</v>
      </c>
      <c r="Q51" s="95">
        <f t="shared" si="26"/>
        <v>-1286.9183962824845</v>
      </c>
      <c r="R51" s="95">
        <f t="shared" si="27"/>
        <v>-1435.8599492072672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3.5459378608382599E-3</v>
      </c>
      <c r="F52" s="188">
        <v>3.2646161727204201E-3</v>
      </c>
      <c r="G52" s="189">
        <v>1.0861729750861999</v>
      </c>
      <c r="H52" s="42">
        <f t="shared" si="16"/>
        <v>0.90514414590516612</v>
      </c>
      <c r="I52" s="181">
        <f t="shared" ref="I52:J52" si="32">+I34</f>
        <v>-1.7065006683996131E-3</v>
      </c>
      <c r="J52" s="181">
        <f t="shared" si="32"/>
        <v>4.6713851812000939E-2</v>
      </c>
      <c r="K52" s="48">
        <f>IF(+'Sismo UBC-94 y Dinamico'!O44=0,'Sismo UBC-94 y Dinamico'!M44,'Sismo UBC-94 y Dinamico'!O44)</f>
        <v>485.43331295610432</v>
      </c>
      <c r="L52" s="48">
        <f>IF(+'Sismo UBC-94 y Dinamico'!P44=0,'Sismo UBC-94 y Dinamico'!N44,'Sismo UBC-94 y Dinamico'!P44)</f>
        <v>5971.4576718529206</v>
      </c>
      <c r="M52" s="52">
        <f t="shared" si="24"/>
        <v>-722.76347213810163</v>
      </c>
      <c r="N52" s="172">
        <f t="shared" si="18"/>
        <v>31</v>
      </c>
      <c r="O52" s="172">
        <f t="shared" si="19"/>
        <v>23</v>
      </c>
      <c r="P52" s="95">
        <f t="shared" si="25"/>
        <v>-71.371596835130845</v>
      </c>
      <c r="Q52" s="95">
        <f t="shared" si="26"/>
        <v>-651.39187530297113</v>
      </c>
      <c r="R52" s="95">
        <f t="shared" si="27"/>
        <v>-722.76347213810197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3.0809852828867799E-2</v>
      </c>
      <c r="F60" s="185">
        <v>3.0454384057850701E-2</v>
      </c>
      <c r="G60" s="186">
        <v>1.0116721707568199</v>
      </c>
      <c r="H60" s="42">
        <f>+E60/(1.2*F60)</f>
        <v>0.84306014229735249</v>
      </c>
      <c r="I60" s="181">
        <f>+I42</f>
        <v>-1.451526175083</v>
      </c>
      <c r="J60" s="181">
        <f>+J42</f>
        <v>0.93534149016906998</v>
      </c>
      <c r="K60" s="48">
        <f>+K42</f>
        <v>266.61111872450482</v>
      </c>
      <c r="L60" s="48">
        <f>+L42</f>
        <v>1040.8344703179127</v>
      </c>
      <c r="M60" s="52">
        <f>-0.05*N60*K60*(H60-1)-0.05*O60*L60*(H60-1)</f>
        <v>252.70563781683884</v>
      </c>
      <c r="N60" s="172">
        <f>+$N$3</f>
        <v>31</v>
      </c>
      <c r="O60" s="172">
        <f>+$O$3</f>
        <v>23</v>
      </c>
      <c r="P60" s="95">
        <f>+K60*(J60-0.05*N60*H60)-K60*(J60-0.05*N60)</f>
        <v>64.854962103579538</v>
      </c>
      <c r="Q60" s="95">
        <f>+L60*(I60-0.05*O60*H60)-L60*(I60-0.05*O60)</f>
        <v>187.85067571325953</v>
      </c>
      <c r="R60" s="95">
        <f>+P60+Q60</f>
        <v>252.70563781683907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3.3477224884085499E-2</v>
      </c>
      <c r="F61" s="185">
        <v>3.1199038547507899E-2</v>
      </c>
      <c r="G61" s="186">
        <v>1.07302104303979</v>
      </c>
      <c r="H61" s="42">
        <f t="shared" ref="H61:H70" si="33">+E61/(1.2*F61)</f>
        <v>0.89418420253315734</v>
      </c>
      <c r="I61" s="181">
        <f t="shared" ref="I61:J61" si="34">+I43</f>
        <v>-0.20072224443219966</v>
      </c>
      <c r="J61" s="181">
        <f t="shared" si="34"/>
        <v>5.168472571589966E-2</v>
      </c>
      <c r="K61" s="48">
        <f t="shared" ref="K61:L64" si="35">+K43</f>
        <v>2550.6799764645352</v>
      </c>
      <c r="L61" s="48">
        <f t="shared" si="35"/>
        <v>32314.473296769585</v>
      </c>
      <c r="M61" s="52">
        <f>-0.05*N61*K61*(H61-1)-0.05*O61*L61*(H61-1)</f>
        <v>4350.6374913395348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418.34846547806819</v>
      </c>
      <c r="Q61" s="95">
        <f>+L61*(I61-0.05*O61*H61)-L61*(I61-0.05*O61)</f>
        <v>3932.2890258614643</v>
      </c>
      <c r="R61" s="95">
        <f>+P61+Q61</f>
        <v>4350.6374913395321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3.23290623008744E-2</v>
      </c>
      <c r="F62" s="185">
        <v>3.0014093985858799E-2</v>
      </c>
      <c r="G62" s="186">
        <v>1.0771293751564299</v>
      </c>
      <c r="H62" s="42">
        <f t="shared" si="33"/>
        <v>0.89760781263035705</v>
      </c>
      <c r="I62" s="181">
        <f t="shared" ref="I62:J62" si="38">+I44</f>
        <v>3.2912755649700642E-2</v>
      </c>
      <c r="J62" s="181">
        <f t="shared" si="38"/>
        <v>-0.14654213684760009</v>
      </c>
      <c r="K62" s="48">
        <f t="shared" si="35"/>
        <v>3134.207752628316</v>
      </c>
      <c r="L62" s="48">
        <f t="shared" si="35"/>
        <v>35017.335793127771</v>
      </c>
      <c r="M62" s="52">
        <f>-0.05*N62*K62*(H62-1)-0.05*O62*L62*(H62-1)</f>
        <v>4620.7503494398752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497.4235005668852</v>
      </c>
      <c r="Q62" s="95">
        <f>+L62*(I62-0.05*O62*H62)-L62*(I62-0.05*O62)</f>
        <v>4123.3268488729882</v>
      </c>
      <c r="R62" s="95">
        <f>+P62+Q62</f>
        <v>4620.7503494398734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3.03893396440723E-2</v>
      </c>
      <c r="F63" s="185">
        <v>2.81229746252879E-2</v>
      </c>
      <c r="G63" s="186">
        <v>1.08058767072052</v>
      </c>
      <c r="H63" s="42">
        <f t="shared" si="33"/>
        <v>0.90048972560043816</v>
      </c>
      <c r="I63" s="181">
        <f t="shared" ref="I63:J63" si="39">+I45</f>
        <v>0.11211397800230039</v>
      </c>
      <c r="J63" s="181">
        <f t="shared" si="39"/>
        <v>-0.1732047423718992</v>
      </c>
      <c r="K63" s="48">
        <f t="shared" si="35"/>
        <v>2624.9882814691214</v>
      </c>
      <c r="L63" s="48">
        <f t="shared" si="35"/>
        <v>28855.18857204734</v>
      </c>
      <c r="M63" s="52">
        <f>-0.05*N63*K63*(H63-1)-0.05*O63*L63*(H63-1)</f>
        <v>3706.9765140400327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404.88062148617155</v>
      </c>
      <c r="Q63" s="95">
        <f>+L63*(I63-0.05*O63*H63)-L63*(I63-0.05*O63)</f>
        <v>3302.0958925538616</v>
      </c>
      <c r="R63" s="95">
        <f>+P63+Q63</f>
        <v>3706.9765140400332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2.7694695594007598E-2</v>
      </c>
      <c r="F64" s="185">
        <v>2.5568154055552E-2</v>
      </c>
      <c r="G64" s="186">
        <v>1.08317149270281</v>
      </c>
      <c r="H64" s="42">
        <f t="shared" si="33"/>
        <v>0.90264291058567292</v>
      </c>
      <c r="I64" s="181">
        <f t="shared" ref="I64:J64" si="40">+I46</f>
        <v>0.17720977518320069</v>
      </c>
      <c r="J64" s="181">
        <f t="shared" si="40"/>
        <v>-0.19925262707129932</v>
      </c>
      <c r="K64" s="48">
        <f t="shared" si="35"/>
        <v>2186.6321307364542</v>
      </c>
      <c r="L64" s="48">
        <f t="shared" si="35"/>
        <v>23932.723559114489</v>
      </c>
      <c r="M64" s="52">
        <f>-0.05*N64*K64*(H64-1)-0.05*O64*L64*(H64-1)</f>
        <v>3009.4937703899859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329.97041679594167</v>
      </c>
      <c r="Q64" s="95">
        <f>+L64*(I64-0.05*O64*H64)-L64*(I64-0.05*O64)</f>
        <v>2679.5233535940424</v>
      </c>
      <c r="R64" s="95">
        <f>+P64+Q64</f>
        <v>3009.4937703899841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2.43624441926719E-2</v>
      </c>
      <c r="F65" s="185">
        <v>2.24554515473133E-2</v>
      </c>
      <c r="G65" s="186">
        <v>1.0849233711172801</v>
      </c>
      <c r="H65" s="42">
        <f t="shared" si="33"/>
        <v>0.90410280926440045</v>
      </c>
      <c r="I65" s="181">
        <f t="shared" ref="I65:J65" si="41">+I47</f>
        <v>0.22649987468030019</v>
      </c>
      <c r="J65" s="181">
        <f t="shared" si="41"/>
        <v>-0.22564790677659907</v>
      </c>
      <c r="K65" s="48">
        <f t="shared" ref="K65:L70" si="42">+K47</f>
        <v>1848.6477728891539</v>
      </c>
      <c r="L65" s="48">
        <f t="shared" si="42"/>
        <v>20195.462255127972</v>
      </c>
      <c r="M65" s="52">
        <f t="shared" ref="M65:M70" si="43">-0.05*N65*K65*(H65-1)-0.05*O65*L65*(H65-1)</f>
        <v>2501.9755087781732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274.78419852352317</v>
      </c>
      <c r="Q65" s="95">
        <f t="shared" ref="Q65:Q70" si="45">+L65*(I65-0.05*O65*H65)-L65*(I65-0.05*O65)</f>
        <v>2227.1913102546496</v>
      </c>
      <c r="R65" s="95">
        <f t="shared" ref="R65:R70" si="46">+P65+Q65</f>
        <v>2501.9755087781728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2.0535460920660099E-2</v>
      </c>
      <c r="F66" s="185">
        <v>1.89106658185174E-2</v>
      </c>
      <c r="G66" s="186">
        <v>1.08591950795046</v>
      </c>
      <c r="H66" s="42">
        <f t="shared" si="33"/>
        <v>0.90493292329205455</v>
      </c>
      <c r="I66" s="181">
        <f t="shared" ref="I66:J66" si="47">+I48</f>
        <v>0.26296350432679994</v>
      </c>
      <c r="J66" s="181">
        <f t="shared" si="47"/>
        <v>-0.25312007267720027</v>
      </c>
      <c r="K66" s="48">
        <f t="shared" si="42"/>
        <v>1587.4379279713853</v>
      </c>
      <c r="L66" s="48">
        <f t="shared" si="42"/>
        <v>17452.057944594391</v>
      </c>
      <c r="M66" s="52">
        <f t="shared" si="43"/>
        <v>2141.898830094518</v>
      </c>
      <c r="N66" s="172">
        <f t="shared" si="36"/>
        <v>31</v>
      </c>
      <c r="O66" s="172">
        <f t="shared" si="37"/>
        <v>23</v>
      </c>
      <c r="P66" s="95">
        <f t="shared" si="44"/>
        <v>233.91527906471447</v>
      </c>
      <c r="Q66" s="95">
        <f t="shared" si="45"/>
        <v>1907.9835510298017</v>
      </c>
      <c r="R66" s="95">
        <f t="shared" si="46"/>
        <v>2141.8988300945161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1.6484836596264301E-2</v>
      </c>
      <c r="F67" s="185">
        <v>1.51586376938572E-2</v>
      </c>
      <c r="G67" s="186">
        <v>1.0874880005176599</v>
      </c>
      <c r="H67" s="42">
        <f t="shared" si="33"/>
        <v>0.90624000043137798</v>
      </c>
      <c r="I67" s="181">
        <f t="shared" ref="I67:J67" si="48">+I49</f>
        <v>0.32532585390510071</v>
      </c>
      <c r="J67" s="181">
        <f t="shared" si="48"/>
        <v>-0.2383186116053988</v>
      </c>
      <c r="K67" s="48">
        <f t="shared" si="42"/>
        <v>1419.5382445686532</v>
      </c>
      <c r="L67" s="48">
        <f t="shared" si="42"/>
        <v>15811.109494801894</v>
      </c>
      <c r="M67" s="52">
        <f t="shared" si="43"/>
        <v>1911.1157153813895</v>
      </c>
      <c r="N67" s="172">
        <f t="shared" si="36"/>
        <v>31</v>
      </c>
      <c r="O67" s="172">
        <f t="shared" si="37"/>
        <v>23</v>
      </c>
      <c r="P67" s="95">
        <f t="shared" si="44"/>
        <v>206.298653057519</v>
      </c>
      <c r="Q67" s="95">
        <f t="shared" si="45"/>
        <v>1704.8170623238711</v>
      </c>
      <c r="R67" s="95">
        <f t="shared" si="46"/>
        <v>1911.1157153813901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1.2298473915473399E-2</v>
      </c>
      <c r="F68" s="185">
        <v>1.1280432647044199E-2</v>
      </c>
      <c r="G68" s="186">
        <v>1.09024842399958</v>
      </c>
      <c r="H68" s="42">
        <f t="shared" si="33"/>
        <v>0.90854035333298711</v>
      </c>
      <c r="I68" s="181">
        <f t="shared" ref="I68:J68" si="49">+I50</f>
        <v>0.33296351458369955</v>
      </c>
      <c r="J68" s="181">
        <f t="shared" si="49"/>
        <v>-0.21823267331719975</v>
      </c>
      <c r="K68" s="48">
        <f t="shared" si="42"/>
        <v>1212.6909214578375</v>
      </c>
      <c r="L68" s="48">
        <f t="shared" si="42"/>
        <v>13765.518975466988</v>
      </c>
      <c r="M68" s="52">
        <f t="shared" si="43"/>
        <v>1619.7519658857964</v>
      </c>
      <c r="N68" s="172">
        <f t="shared" si="36"/>
        <v>31</v>
      </c>
      <c r="O68" s="172">
        <f t="shared" si="37"/>
        <v>23</v>
      </c>
      <c r="P68" s="95">
        <f t="shared" si="44"/>
        <v>171.91403894888344</v>
      </c>
      <c r="Q68" s="95">
        <f t="shared" si="45"/>
        <v>1447.8379269369125</v>
      </c>
      <c r="R68" s="95">
        <f t="shared" si="46"/>
        <v>1619.7519658857959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7.9037795746437298E-3</v>
      </c>
      <c r="F69" s="185">
        <v>7.2343553932844298E-3</v>
      </c>
      <c r="G69" s="186">
        <v>1.0925340469146301</v>
      </c>
      <c r="H69" s="42">
        <f t="shared" si="33"/>
        <v>0.91044503909552632</v>
      </c>
      <c r="I69" s="181">
        <f t="shared" ref="I69:J69" si="50">+I51</f>
        <v>0.26609363587749968</v>
      </c>
      <c r="J69" s="181">
        <f t="shared" si="50"/>
        <v>-0.15438898045549898</v>
      </c>
      <c r="K69" s="48">
        <f t="shared" si="42"/>
        <v>922.19169573093654</v>
      </c>
      <c r="L69" s="48">
        <f t="shared" si="42"/>
        <v>10739.651686745334</v>
      </c>
      <c r="M69" s="52">
        <f t="shared" si="43"/>
        <v>1234.0670539235668</v>
      </c>
      <c r="N69" s="172">
        <f t="shared" si="36"/>
        <v>31</v>
      </c>
      <c r="O69" s="172">
        <f t="shared" si="37"/>
        <v>23</v>
      </c>
      <c r="P69" s="95">
        <f t="shared" si="44"/>
        <v>128.00960394930212</v>
      </c>
      <c r="Q69" s="95">
        <f t="shared" si="45"/>
        <v>1106.0574499742652</v>
      </c>
      <c r="R69" s="95">
        <f t="shared" si="46"/>
        <v>1234.0670539235673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3.5016571204801801E-3</v>
      </c>
      <c r="F70" s="188">
        <v>3.2049605665150699E-3</v>
      </c>
      <c r="G70" s="189">
        <v>1.09257416676665</v>
      </c>
      <c r="H70" s="42">
        <f t="shared" si="33"/>
        <v>0.91047847230554357</v>
      </c>
      <c r="I70" s="181">
        <f t="shared" ref="I70:J70" si="51">+I52</f>
        <v>-1.7065006683996131E-3</v>
      </c>
      <c r="J70" s="181">
        <f t="shared" si="51"/>
        <v>4.6713851812000939E-2</v>
      </c>
      <c r="K70" s="48">
        <f t="shared" si="42"/>
        <v>485.43331295610432</v>
      </c>
      <c r="L70" s="48">
        <f t="shared" si="42"/>
        <v>5971.4576718529206</v>
      </c>
      <c r="M70" s="52">
        <f t="shared" si="43"/>
        <v>682.11804959201197</v>
      </c>
      <c r="N70" s="172">
        <f t="shared" si="36"/>
        <v>31</v>
      </c>
      <c r="O70" s="172">
        <f t="shared" si="37"/>
        <v>23</v>
      </c>
      <c r="P70" s="95">
        <f t="shared" si="44"/>
        <v>67.357934242898068</v>
      </c>
      <c r="Q70" s="95">
        <f t="shared" si="45"/>
        <v>614.76011534911413</v>
      </c>
      <c r="R70" s="95">
        <f t="shared" si="46"/>
        <v>682.1180495920122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topLeftCell="A46"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1268941.7730487499</v>
      </c>
      <c r="E6" s="53">
        <f>0.7*D6</f>
        <v>888259.24113412492</v>
      </c>
      <c r="F6" s="1" t="str">
        <f>+IF(D6&lt;E5,"piso suave","ok")</f>
        <v>ok</v>
      </c>
      <c r="G6" s="53">
        <f>0.9*D6</f>
        <v>1142047.595743875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28617165.8584475</v>
      </c>
      <c r="E7" s="53">
        <f>0.7*D7</f>
        <v>20032016.100913249</v>
      </c>
      <c r="F7" s="1" t="str">
        <f>+IF(D7&lt;E6,"piso suave","ok")</f>
        <v>ok</v>
      </c>
      <c r="G7" s="53">
        <f>0.9*D7</f>
        <v>25755449.272602752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40101339.5474483</v>
      </c>
      <c r="E8" s="53">
        <f>0.7*D8</f>
        <v>28070937.683213808</v>
      </c>
      <c r="F8" s="1" t="str">
        <f>+IF(D8&lt;E7,"piso suave","ok")</f>
        <v>ok</v>
      </c>
      <c r="G8" s="53">
        <f>0.9*D8</f>
        <v>36091205.592703469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43597328.987220101</v>
      </c>
      <c r="E9" s="53">
        <f>0.7*D9</f>
        <v>30518130.29105407</v>
      </c>
      <c r="F9" s="1" t="str">
        <f>+IF(D9&lt;E8,"piso suave","ok")</f>
        <v>ok</v>
      </c>
      <c r="G9" s="53">
        <f>0.9*D9</f>
        <v>39237596.088498093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44847337.341425098</v>
      </c>
      <c r="E10" s="53">
        <f>0.7*D10</f>
        <v>31393136.138997566</v>
      </c>
      <c r="F10" s="1" t="str">
        <f>+IF(D10&lt;E9,"piso suave","ok")</f>
        <v>ok</v>
      </c>
      <c r="G10" s="53">
        <f>0.9*D10</f>
        <v>40362603.607282586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46105910.832288198</v>
      </c>
      <c r="E11" s="53">
        <f t="shared" ref="E11:E16" si="0">0.7*D11</f>
        <v>32274137.582601737</v>
      </c>
      <c r="F11" s="1" t="str">
        <f t="shared" ref="F11:F16" si="1">+IF(D11&lt;E10,"piso suave","ok")</f>
        <v>ok</v>
      </c>
      <c r="G11" s="53">
        <f t="shared" ref="G11:G16" si="2">0.9*D11</f>
        <v>41495319.749059379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49480378.637697302</v>
      </c>
      <c r="E12" s="53">
        <f t="shared" si="0"/>
        <v>34636265.046388112</v>
      </c>
      <c r="F12" s="1" t="str">
        <f t="shared" si="1"/>
        <v>ok</v>
      </c>
      <c r="G12" s="53">
        <f t="shared" si="2"/>
        <v>44532340.773927569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52662494.389918096</v>
      </c>
      <c r="E13" s="53">
        <f t="shared" si="0"/>
        <v>36863746.072942667</v>
      </c>
      <c r="F13" s="1" t="str">
        <f t="shared" si="1"/>
        <v>ok</v>
      </c>
      <c r="G13" s="53">
        <f t="shared" si="2"/>
        <v>47396244.950926289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54360644.671423897</v>
      </c>
      <c r="E14" s="53">
        <f t="shared" si="0"/>
        <v>38052451.269996725</v>
      </c>
      <c r="F14" s="1" t="str">
        <f t="shared" si="1"/>
        <v>ok</v>
      </c>
      <c r="G14" s="53">
        <f t="shared" si="2"/>
        <v>48924580.204281509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59961955.339488</v>
      </c>
      <c r="E15" s="53">
        <f t="shared" si="0"/>
        <v>41973368.737641595</v>
      </c>
      <c r="F15" s="1" t="str">
        <f t="shared" si="1"/>
        <v>ok</v>
      </c>
      <c r="G15" s="53">
        <f t="shared" si="2"/>
        <v>53965759.805539198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69962925.189983398</v>
      </c>
      <c r="E16" s="53">
        <f t="shared" si="0"/>
        <v>48974047.632988378</v>
      </c>
      <c r="F16" s="1" t="str">
        <f t="shared" si="1"/>
        <v>ok</v>
      </c>
      <c r="G16" s="53">
        <f t="shared" si="2"/>
        <v>62966632.670985058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1073218.6943711699</v>
      </c>
      <c r="E23" s="53">
        <f>0.7*D23</f>
        <v>751253.08605981886</v>
      </c>
      <c r="F23" s="1" t="str">
        <f>+IF(D23&lt;E22,"piso suave","ok")</f>
        <v>ok</v>
      </c>
      <c r="G23" s="53">
        <f>0.9*D23</f>
        <v>965896.82493405289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26960713.540159199</v>
      </c>
      <c r="E24" s="53">
        <f>0.7*D24</f>
        <v>18872499.478111438</v>
      </c>
      <c r="F24" s="1" t="str">
        <f>+IF(D24&lt;E23,"piso suave","ok")</f>
        <v>ok</v>
      </c>
      <c r="G24" s="53">
        <f>0.9*D24</f>
        <v>24264642.186143279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37274534.814408503</v>
      </c>
      <c r="E25" s="53">
        <f>0.7*D25</f>
        <v>26092174.370085951</v>
      </c>
      <c r="F25" s="1" t="str">
        <f>+IF(D25&lt;E24,"piso suave","ok")</f>
        <v>ok</v>
      </c>
      <c r="G25" s="53">
        <f>0.9*D25</f>
        <v>33547081.332967654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41254703.740646303</v>
      </c>
      <c r="E26" s="53">
        <f>0.7*D26</f>
        <v>28878292.618452411</v>
      </c>
      <c r="F26" s="1" t="str">
        <f>+IF(D26&lt;E25,"piso suave","ok")</f>
        <v>ok</v>
      </c>
      <c r="G26" s="53">
        <f>0.9*D26</f>
        <v>37129233.366581671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43595878.2472599</v>
      </c>
      <c r="E27" s="53">
        <f>0.7*D27</f>
        <v>30517114.773081928</v>
      </c>
      <c r="F27" s="1" t="str">
        <f>+IF(D27&lt;E26,"piso suave","ok")</f>
        <v>ok</v>
      </c>
      <c r="G27" s="53">
        <f>0.9*D27</f>
        <v>39236290.422533914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45394520.873517103</v>
      </c>
      <c r="E28" s="53">
        <f t="shared" ref="E28:E33" si="4">0.7*D28</f>
        <v>31776164.611461971</v>
      </c>
      <c r="F28" s="1" t="str">
        <f t="shared" ref="F28:F33" si="5">+IF(D28&lt;E27,"piso suave","ok")</f>
        <v>ok</v>
      </c>
      <c r="G28" s="53">
        <f t="shared" ref="G28:G33" si="6">0.9*D28</f>
        <v>40855068.786165394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50062882.391755201</v>
      </c>
      <c r="E29" s="53">
        <f t="shared" si="4"/>
        <v>35044017.674228638</v>
      </c>
      <c r="F29" s="1" t="str">
        <f t="shared" si="5"/>
        <v>ok</v>
      </c>
      <c r="G29" s="53">
        <f t="shared" si="6"/>
        <v>45056594.15257968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52817796.462472796</v>
      </c>
      <c r="E30" s="53">
        <f t="shared" si="4"/>
        <v>36972457.523730956</v>
      </c>
      <c r="F30" s="1" t="str">
        <f t="shared" si="5"/>
        <v>ok</v>
      </c>
      <c r="G30" s="53">
        <f t="shared" si="6"/>
        <v>47536016.816225521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54938832.748172201</v>
      </c>
      <c r="E31" s="53">
        <f t="shared" si="4"/>
        <v>38457182.923720539</v>
      </c>
      <c r="F31" s="1" t="str">
        <f t="shared" si="5"/>
        <v>ok</v>
      </c>
      <c r="G31" s="53">
        <f t="shared" si="6"/>
        <v>49444949.47335498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58040428.622184403</v>
      </c>
      <c r="E32" s="53">
        <f t="shared" si="4"/>
        <v>40628300.035529077</v>
      </c>
      <c r="F32" s="1" t="str">
        <f t="shared" si="5"/>
        <v>ok</v>
      </c>
      <c r="G32" s="53">
        <f t="shared" si="6"/>
        <v>52236385.759965964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71088555.192344606</v>
      </c>
      <c r="E33" s="53">
        <f t="shared" si="4"/>
        <v>49761988.634641223</v>
      </c>
      <c r="F33" s="1" t="str">
        <f t="shared" si="5"/>
        <v>ok</v>
      </c>
      <c r="G33" s="53">
        <f t="shared" si="6"/>
        <v>63979699.67311015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806556.62872300099</v>
      </c>
      <c r="E40" s="53">
        <f>0.7*D40</f>
        <v>564589.64010610071</v>
      </c>
      <c r="F40" s="1" t="str">
        <f>+IF(D40&lt;E39,"piso suave","ok")</f>
        <v>ok</v>
      </c>
      <c r="G40" s="53">
        <f>0.9*D40</f>
        <v>725900.96585070086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23225284.9289428</v>
      </c>
      <c r="E41" s="53">
        <f>0.7*D41</f>
        <v>16257699.450259959</v>
      </c>
      <c r="F41" s="1" t="str">
        <f>+IF(D41&lt;E40,"piso suave","ok")</f>
        <v>ok</v>
      </c>
      <c r="G41" s="53">
        <f>0.9*D41</f>
        <v>20902756.436048519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31695039.872168001</v>
      </c>
      <c r="E42" s="53">
        <f>0.7*D42</f>
        <v>22186527.910517599</v>
      </c>
      <c r="F42" s="1" t="str">
        <f>+IF(D42&lt;E41,"piso suave","ok")</f>
        <v>ok</v>
      </c>
      <c r="G42" s="53">
        <f>0.9*D42</f>
        <v>28525535.8849512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34837566.586246498</v>
      </c>
      <c r="E43" s="53">
        <f>0.7*D43</f>
        <v>24386296.610372547</v>
      </c>
      <c r="F43" s="1" t="str">
        <f>+IF(D43&lt;E42,"piso suave","ok")</f>
        <v>ok</v>
      </c>
      <c r="G43" s="53">
        <f>0.9*D43</f>
        <v>31353809.927621849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36530360.109009899</v>
      </c>
      <c r="E44" s="53">
        <f>0.7*D44</f>
        <v>25571252.076306928</v>
      </c>
      <c r="F44" s="1" t="str">
        <f>+IF(D44&lt;E43,"piso suave","ok")</f>
        <v>ok</v>
      </c>
      <c r="G44" s="53">
        <f>0.9*D44</f>
        <v>32877324.09810891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38412152.157691203</v>
      </c>
      <c r="E45" s="53">
        <f t="shared" ref="E45:E50" si="8">0.7*D45</f>
        <v>26888506.510383841</v>
      </c>
      <c r="F45" s="1" t="str">
        <f t="shared" ref="F45:F50" si="9">+IF(D45&lt;E44,"piso suave","ok")</f>
        <v>ok</v>
      </c>
      <c r="G45" s="53">
        <f t="shared" ref="G45:G50" si="10">0.9*D45</f>
        <v>34570936.941922083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41311811.772880003</v>
      </c>
      <c r="E46" s="53">
        <f t="shared" si="8"/>
        <v>28918268.241016001</v>
      </c>
      <c r="F46" s="1" t="str">
        <f t="shared" si="9"/>
        <v>ok</v>
      </c>
      <c r="G46" s="53">
        <f t="shared" si="10"/>
        <v>37180630.595592007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43777140.697610103</v>
      </c>
      <c r="E47" s="53">
        <f t="shared" si="8"/>
        <v>30643998.488327071</v>
      </c>
      <c r="F47" s="1" t="str">
        <f t="shared" si="9"/>
        <v>ok</v>
      </c>
      <c r="G47" s="53">
        <f t="shared" si="10"/>
        <v>39399426.627849095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45629717.311343797</v>
      </c>
      <c r="E48" s="53">
        <f t="shared" si="8"/>
        <v>31940802.117940657</v>
      </c>
      <c r="F48" s="1" t="str">
        <f t="shared" si="9"/>
        <v>ok</v>
      </c>
      <c r="G48" s="53">
        <f t="shared" si="10"/>
        <v>41066745.580209419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49992971.4181474</v>
      </c>
      <c r="E49" s="53">
        <f t="shared" si="8"/>
        <v>34995079.992703177</v>
      </c>
      <c r="F49" s="1" t="str">
        <f t="shared" si="9"/>
        <v>ok</v>
      </c>
      <c r="G49" s="53">
        <f t="shared" si="10"/>
        <v>44993674.276332662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62823867.479255199</v>
      </c>
      <c r="E50" s="53">
        <f t="shared" si="8"/>
        <v>43976707.23547864</v>
      </c>
      <c r="F50" s="1" t="str">
        <f t="shared" si="9"/>
        <v>ok</v>
      </c>
      <c r="G50" s="53">
        <f t="shared" si="10"/>
        <v>56541480.731329679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935470.78364621697</v>
      </c>
      <c r="E57" s="53">
        <f>0.7*D57</f>
        <v>654829.54855235189</v>
      </c>
      <c r="F57" s="1" t="str">
        <f>+IF(D57&lt;E56,"piso suave","ok")</f>
        <v>ok</v>
      </c>
      <c r="G57" s="53">
        <f>0.9*D57</f>
        <v>841923.70528159523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24321705.445467498</v>
      </c>
      <c r="E58" s="53">
        <f>0.7*D58</f>
        <v>17025193.811827246</v>
      </c>
      <c r="F58" s="1" t="str">
        <f>+IF(D58&lt;E57,"piso suave","ok")</f>
        <v>ok</v>
      </c>
      <c r="G58" s="53">
        <f>0.9*D58</f>
        <v>21889534.900920749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33437950.572409801</v>
      </c>
      <c r="E59" s="53">
        <f>0.7*D59</f>
        <v>23406565.40068686</v>
      </c>
      <c r="F59" s="1" t="str">
        <f>+IF(D59&lt;E58,"piso suave","ok")</f>
        <v>ok</v>
      </c>
      <c r="G59" s="53">
        <f>0.9*D59</f>
        <v>30094155.515168823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37352730.669390798</v>
      </c>
      <c r="E60" s="53">
        <f>0.7*D60</f>
        <v>26146911.468573555</v>
      </c>
      <c r="F60" s="1" t="str">
        <f>+IF(D60&lt;E59,"piso suave","ok")</f>
        <v>ok</v>
      </c>
      <c r="G60" s="53">
        <f>0.9*D60</f>
        <v>33617457.602451719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38900055.906705901</v>
      </c>
      <c r="E61" s="53">
        <f>0.7*D61</f>
        <v>27230039.134694129</v>
      </c>
      <c r="F61" s="1" t="str">
        <f>+IF(D61&lt;E60,"piso suave","ok")</f>
        <v>ok</v>
      </c>
      <c r="G61" s="53">
        <f>0.9*D61</f>
        <v>35010050.316035315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39848844.142080501</v>
      </c>
      <c r="E62" s="53">
        <f t="shared" ref="E62:E67" si="12">0.7*D62</f>
        <v>27894190.899456348</v>
      </c>
      <c r="F62" s="1" t="str">
        <f t="shared" ref="F62:F67" si="13">+IF(D62&lt;E61,"piso suave","ok")</f>
        <v>ok</v>
      </c>
      <c r="G62" s="53">
        <f t="shared" ref="G62:G67" si="14">0.9*D62</f>
        <v>35863959.727872454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42295875.268064097</v>
      </c>
      <c r="E63" s="53">
        <f t="shared" si="12"/>
        <v>29607112.687644865</v>
      </c>
      <c r="F63" s="1" t="str">
        <f t="shared" si="13"/>
        <v>ok</v>
      </c>
      <c r="G63" s="53">
        <f t="shared" si="14"/>
        <v>38066287.74125769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44993853.3217934</v>
      </c>
      <c r="E64" s="53">
        <f t="shared" si="12"/>
        <v>31495697.325255379</v>
      </c>
      <c r="F64" s="1" t="str">
        <f t="shared" si="13"/>
        <v>ok</v>
      </c>
      <c r="G64" s="53">
        <f t="shared" si="14"/>
        <v>40494467.989614062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46524047.722651199</v>
      </c>
      <c r="E65" s="53">
        <f t="shared" si="12"/>
        <v>32566833.405855838</v>
      </c>
      <c r="F65" s="1" t="str">
        <f t="shared" si="13"/>
        <v>ok</v>
      </c>
      <c r="G65" s="53">
        <f t="shared" si="14"/>
        <v>41871642.950386077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52499877.606899999</v>
      </c>
      <c r="E66" s="53">
        <f t="shared" si="12"/>
        <v>36749914.324829996</v>
      </c>
      <c r="F66" s="1" t="str">
        <f t="shared" si="13"/>
        <v>ok</v>
      </c>
      <c r="G66" s="53">
        <f t="shared" si="14"/>
        <v>47249889.846210003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63993240.961968496</v>
      </c>
      <c r="E67" s="53">
        <f t="shared" si="12"/>
        <v>44795268.673377946</v>
      </c>
      <c r="F67" s="1" t="str">
        <f t="shared" si="13"/>
        <v>ok</v>
      </c>
      <c r="G67" s="53">
        <f t="shared" si="14"/>
        <v>57593916.865771651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785.95645347976699</v>
      </c>
      <c r="E7" s="171">
        <f>+'Centers of Mass and Rigidity'!E5</f>
        <v>785.95645347976699</v>
      </c>
      <c r="F7" s="68">
        <f>+E7*9.807</f>
        <v>7707.8749392760756</v>
      </c>
      <c r="G7">
        <f>1.5*F7</f>
        <v>11561.812408914113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16995.607231263399</v>
      </c>
      <c r="E8" s="171">
        <f>+'Centers of Mass and Rigidity'!E6</f>
        <v>16995.607231263399</v>
      </c>
      <c r="F8" s="68">
        <f t="shared" ref="F8:F17" si="0">+E8*9.807</f>
        <v>166675.92011700015</v>
      </c>
      <c r="G8" s="68">
        <f t="shared" ref="G8:G17" si="1">1.5*F8</f>
        <v>250013.88017550024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21825.827740374301</v>
      </c>
      <c r="E9" s="171">
        <f>+'Centers of Mass and Rigidity'!E7</f>
        <v>21825.827740374301</v>
      </c>
      <c r="F9" s="68">
        <f t="shared" si="0"/>
        <v>214045.89264985078</v>
      </c>
      <c r="G9" s="68">
        <f t="shared" si="1"/>
        <v>321068.83897477615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21825.827740374301</v>
      </c>
      <c r="E10" s="171">
        <f>+'Centers of Mass and Rigidity'!E8</f>
        <v>21825.827740374301</v>
      </c>
      <c r="F10" s="68">
        <f t="shared" si="0"/>
        <v>214045.89264985078</v>
      </c>
      <c r="G10" s="68">
        <f t="shared" si="1"/>
        <v>321068.83897477615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21825.827740374301</v>
      </c>
      <c r="E11" s="171">
        <f>+'Centers of Mass and Rigidity'!E9</f>
        <v>21825.827740374301</v>
      </c>
      <c r="F11" s="68">
        <f t="shared" si="0"/>
        <v>214045.89264985078</v>
      </c>
      <c r="G11" s="68">
        <f t="shared" si="1"/>
        <v>321068.83897477615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21825.827740374301</v>
      </c>
      <c r="E12" s="171">
        <f>+'Centers of Mass and Rigidity'!E10</f>
        <v>21825.827740374301</v>
      </c>
      <c r="F12" s="158">
        <f t="shared" si="0"/>
        <v>214045.89264985078</v>
      </c>
      <c r="G12" s="158">
        <f t="shared" si="1"/>
        <v>321068.83897477615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21825.827740374301</v>
      </c>
      <c r="E13" s="171">
        <f>+'Centers of Mass and Rigidity'!E11</f>
        <v>21825.827740374301</v>
      </c>
      <c r="F13" s="158">
        <f t="shared" si="0"/>
        <v>214045.89264985078</v>
      </c>
      <c r="G13" s="158">
        <f t="shared" si="1"/>
        <v>321068.83897477615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23295.687448491401</v>
      </c>
      <c r="E14" s="171">
        <f>+'Centers of Mass and Rigidity'!E12</f>
        <v>23295.687448491401</v>
      </c>
      <c r="F14" s="158">
        <f t="shared" si="0"/>
        <v>228460.80680735517</v>
      </c>
      <c r="G14" s="158">
        <f t="shared" si="1"/>
        <v>342691.21021103277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23295.687448491401</v>
      </c>
      <c r="E15" s="171">
        <f>+'Centers of Mass and Rigidity'!E13</f>
        <v>23295.687448491401</v>
      </c>
      <c r="F15" s="158">
        <f t="shared" si="0"/>
        <v>228460.80680735517</v>
      </c>
      <c r="G15" s="158">
        <f t="shared" si="1"/>
        <v>342691.21021103277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23295.687448491401</v>
      </c>
      <c r="E16" s="171">
        <f>+'Centers of Mass and Rigidity'!E14</f>
        <v>23295.687448491401</v>
      </c>
      <c r="F16" s="158">
        <f t="shared" si="0"/>
        <v>228460.80680735517</v>
      </c>
      <c r="G16" s="158">
        <f t="shared" si="1"/>
        <v>342691.21021103277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24061.884046755498</v>
      </c>
      <c r="E17" s="171">
        <f>+'Centers of Mass and Rigidity'!E15</f>
        <v>24061.884046755498</v>
      </c>
      <c r="F17" s="158">
        <f t="shared" si="0"/>
        <v>235974.89684653119</v>
      </c>
      <c r="G17" s="158">
        <f t="shared" si="1"/>
        <v>353962.34526979679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2165970.575574127</v>
      </c>
      <c r="G18">
        <f>1.5*F18</f>
        <v>3248955.8633611905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17769.599999995899</v>
      </c>
      <c r="F5" s="172">
        <v>2.16755324800033E-9</v>
      </c>
      <c r="G5" s="172">
        <v>-8.8348883764410896E-11</v>
      </c>
      <c r="H5" s="172">
        <v>-1.0865051081054799E-8</v>
      </c>
      <c r="I5" s="172">
        <v>35539.199999991797</v>
      </c>
      <c r="J5" s="172">
        <v>-450022.31999989599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825148.55624961294</v>
      </c>
      <c r="F6" s="172">
        <v>-5.71383225178579E-8</v>
      </c>
      <c r="G6" s="172">
        <v>2.8149031550128701E-8</v>
      </c>
      <c r="H6" s="172">
        <v>3.28194892063038E-6</v>
      </c>
      <c r="I6" s="172">
        <v>12283803.8085867</v>
      </c>
      <c r="J6" s="172">
        <v>-10013623.963448299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1617722.51249946</v>
      </c>
      <c r="F7" s="172">
        <v>-8.4164582858647905E-8</v>
      </c>
      <c r="G7" s="172">
        <v>2.8596161882887801E-8</v>
      </c>
      <c r="H7" s="172">
        <v>5.4239890232565796E-6</v>
      </c>
      <c r="I7" s="172">
        <v>24302590.917177901</v>
      </c>
      <c r="J7" s="172">
        <v>-19406968.106899999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2410296.46874941</v>
      </c>
      <c r="F8" s="172">
        <v>-9.2719801614293802E-8</v>
      </c>
      <c r="G8" s="172">
        <v>2.74670242106367E-8</v>
      </c>
      <c r="H8" s="172">
        <v>6.8846484282403304E-6</v>
      </c>
      <c r="I8" s="172">
        <v>36321378.025770999</v>
      </c>
      <c r="J8" s="172">
        <v>-28800312.250352498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3202870.4249993698</v>
      </c>
      <c r="F9" s="172">
        <v>-9.5665342314532595E-8</v>
      </c>
      <c r="G9" s="172">
        <v>2.7482883524498899E-8</v>
      </c>
      <c r="H9" s="172">
        <v>7.8412094808299992E-6</v>
      </c>
      <c r="I9" s="172">
        <v>48340165.134364299</v>
      </c>
      <c r="J9" s="172">
        <v>-38193656.393805198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3995444.3812493701</v>
      </c>
      <c r="F10" s="172">
        <v>-9.9750025128741995E-8</v>
      </c>
      <c r="G10" s="172">
        <v>3.6516098589345301E-8</v>
      </c>
      <c r="H10" s="172">
        <v>8.9428440332994796E-6</v>
      </c>
      <c r="I10" s="172">
        <v>60358952.242958397</v>
      </c>
      <c r="J10" s="172">
        <v>-47587000.537258297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4788018.3374993103</v>
      </c>
      <c r="F11" s="172">
        <v>-1.0928724236691801E-7</v>
      </c>
      <c r="G11" s="172">
        <v>4.1434986997046501E-8</v>
      </c>
      <c r="H11" s="172">
        <v>9.9288945420994406E-6</v>
      </c>
      <c r="I11" s="172">
        <v>72377739.351551697</v>
      </c>
      <c r="J11" s="172">
        <v>-56980344.680711001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5595007.4137492897</v>
      </c>
      <c r="F12" s="172">
        <v>-1.2971217699941901E-7</v>
      </c>
      <c r="G12" s="172">
        <v>5.1022368552367003E-8</v>
      </c>
      <c r="H12" s="172">
        <v>1.04031314549502E-5</v>
      </c>
      <c r="I12" s="172">
        <v>84603088.7001452</v>
      </c>
      <c r="J12" s="172">
        <v>-66546257.523264199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6401996.4899992403</v>
      </c>
      <c r="F13" s="172">
        <v>-1.3110535235227901E-7</v>
      </c>
      <c r="G13" s="172">
        <v>6.3441916609008304E-8</v>
      </c>
      <c r="H13" s="172">
        <v>1.07272126115276E-5</v>
      </c>
      <c r="I13" s="172">
        <v>96828438.048738599</v>
      </c>
      <c r="J13" s="172">
        <v>-76112170.365817204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7208985.5662492504</v>
      </c>
      <c r="F14" s="172">
        <v>-1.30327350689186E-7</v>
      </c>
      <c r="G14" s="172">
        <v>6.7961650529468898E-8</v>
      </c>
      <c r="H14" s="172">
        <v>1.0864172509172901E-5</v>
      </c>
      <c r="I14" s="172">
        <v>109053787.397332</v>
      </c>
      <c r="J14" s="172">
        <v>-85678083.2083707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8251645.6424992401</v>
      </c>
      <c r="F15" s="172">
        <v>-1.31654815049842E-7</v>
      </c>
      <c r="G15" s="172">
        <v>6.9868093532932094E-8</v>
      </c>
      <c r="H15" s="172">
        <v>1.0940165338979601E-5</v>
      </c>
      <c r="I15" s="172">
        <v>124923403.24592599</v>
      </c>
      <c r="J15" s="172">
        <v>-97963998.550924197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2.55208310966226E-2</v>
      </c>
      <c r="F22" s="83">
        <f t="shared" ref="F22:F32" si="0">+E5</f>
        <v>17769.599999995899</v>
      </c>
      <c r="G22" s="83">
        <v>0</v>
      </c>
      <c r="H22" s="83">
        <f t="shared" ref="H22:H32" si="1">+E22</f>
        <v>2.55208310966226E-2</v>
      </c>
      <c r="I22" s="83">
        <f t="shared" ref="I22:I31" si="2">+H22-H23</f>
        <v>-4.7549322956360017E-3</v>
      </c>
      <c r="J22" s="83">
        <f>IF(+'Sismo UBC-94 y Dinamico'!O15=0,'Sismo UBC-94 y Dinamico'!M15,'Sismo UBC-94 y Dinamico'!O15)</f>
        <v>1046.883387507984</v>
      </c>
      <c r="K22" s="83">
        <f t="shared" ref="K22:K32" si="3">+C22</f>
        <v>38.5</v>
      </c>
      <c r="L22" s="83">
        <f>+G22*I22</f>
        <v>0</v>
      </c>
      <c r="M22" s="83">
        <f>+J22*K22</f>
        <v>40305.010419057384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3.0275763392258601E-2</v>
      </c>
      <c r="F23" s="165">
        <f t="shared" si="0"/>
        <v>825148.55624961294</v>
      </c>
      <c r="G23" s="83">
        <f>+F23</f>
        <v>825148.55624961294</v>
      </c>
      <c r="H23" s="83">
        <f t="shared" si="1"/>
        <v>3.0275763392258601E-2</v>
      </c>
      <c r="I23" s="83">
        <f t="shared" si="2"/>
        <v>1.083134750649202E-3</v>
      </c>
      <c r="J23" s="172">
        <f>IF(+'Sismo UBC-94 y Dinamico'!O16=0,'Sismo UBC-94 y Dinamico'!M16,'Sismo UBC-94 y Dinamico'!O16)</f>
        <v>31361.646368098776</v>
      </c>
      <c r="K23" s="172">
        <f t="shared" si="3"/>
        <v>35.5</v>
      </c>
      <c r="L23" s="83">
        <f t="shared" ref="L23:L32" si="4">+G23*I23</f>
        <v>893.7470757219736</v>
      </c>
      <c r="M23" s="83">
        <f t="shared" ref="M23:M32" si="5">+J23*K23</f>
        <v>1113338.4460675064</v>
      </c>
      <c r="N23" s="83">
        <f t="shared" ref="N23:N32" si="6">+L23/M23</f>
        <v>8.0276314797071322E-4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2.9192628641609399E-2</v>
      </c>
      <c r="F24" s="165">
        <f t="shared" si="0"/>
        <v>1617722.51249946</v>
      </c>
      <c r="G24" s="83">
        <f>+F24-F23</f>
        <v>792573.95624984708</v>
      </c>
      <c r="H24" s="83">
        <f t="shared" si="1"/>
        <v>2.9192628641609399E-2</v>
      </c>
      <c r="I24" s="83">
        <f t="shared" si="2"/>
        <v>1.7791204512770005E-3</v>
      </c>
      <c r="J24" s="172">
        <f>IF(+'Sismo UBC-94 y Dinamico'!O17=0,'Sismo UBC-94 y Dinamico'!M17,'Sismo UBC-94 y Dinamico'!O17)</f>
        <v>34711.912343181008</v>
      </c>
      <c r="K24" s="172">
        <f t="shared" si="3"/>
        <v>32</v>
      </c>
      <c r="L24" s="83">
        <f t="shared" si="4"/>
        <v>1410.0845347136255</v>
      </c>
      <c r="M24" s="83">
        <f t="shared" si="5"/>
        <v>1110781.1949817922</v>
      </c>
      <c r="N24" s="83">
        <f t="shared" si="6"/>
        <v>1.2694530129642133E-3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2.7413508190332399E-2</v>
      </c>
      <c r="F25" s="165">
        <f t="shared" si="0"/>
        <v>2410296.46874941</v>
      </c>
      <c r="G25" s="83">
        <f>+F25-F24</f>
        <v>792573.95624994999</v>
      </c>
      <c r="H25" s="83">
        <f t="shared" si="1"/>
        <v>2.7413508190332399E-2</v>
      </c>
      <c r="I25" s="83">
        <f t="shared" si="2"/>
        <v>2.4397101734710998E-3</v>
      </c>
      <c r="J25" s="172">
        <f>IF(+'Sismo UBC-94 y Dinamico'!O18=0,'Sismo UBC-94 y Dinamico'!M18,'Sismo UBC-94 y Dinamico'!O18)</f>
        <v>29026.143903167082</v>
      </c>
      <c r="K25" s="172">
        <f t="shared" si="3"/>
        <v>28.5</v>
      </c>
      <c r="L25" s="83">
        <f t="shared" si="4"/>
        <v>1933.6507442912414</v>
      </c>
      <c r="M25" s="83">
        <f t="shared" si="5"/>
        <v>827245.10124026181</v>
      </c>
      <c r="N25" s="83">
        <f t="shared" si="6"/>
        <v>2.3374580778927328E-3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2.4973798016861299E-2</v>
      </c>
      <c r="F26" s="165">
        <f t="shared" si="0"/>
        <v>3202870.4249993698</v>
      </c>
      <c r="G26" s="83">
        <f>+F26-F25</f>
        <v>792573.95624995977</v>
      </c>
      <c r="H26" s="83">
        <f t="shared" si="1"/>
        <v>2.4973798016861299E-2</v>
      </c>
      <c r="I26" s="83">
        <f t="shared" si="2"/>
        <v>2.9983913870248007E-3</v>
      </c>
      <c r="J26" s="172">
        <f>IF(+'Sismo UBC-94 y Dinamico'!O19=0,'Sismo UBC-94 y Dinamico'!M19,'Sismo UBC-94 y Dinamico'!O19)</f>
        <v>24344.383159323042</v>
      </c>
      <c r="K26" s="172">
        <f t="shared" si="3"/>
        <v>25</v>
      </c>
      <c r="L26" s="83">
        <f t="shared" si="4"/>
        <v>2376.4469240000503</v>
      </c>
      <c r="M26" s="83">
        <f t="shared" si="5"/>
        <v>608609.57898307603</v>
      </c>
      <c r="N26" s="83">
        <f t="shared" si="6"/>
        <v>3.9047149536667637E-3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2.1975406629836498E-2</v>
      </c>
      <c r="F27" s="165">
        <f t="shared" si="0"/>
        <v>3995444.3812493701</v>
      </c>
      <c r="G27" s="165">
        <f t="shared" ref="G27:G32" si="8">+F27-F26</f>
        <v>792573.95625000028</v>
      </c>
      <c r="H27" s="165">
        <f t="shared" si="1"/>
        <v>2.1975406629836498E-2</v>
      </c>
      <c r="I27" s="165">
        <f t="shared" si="2"/>
        <v>3.4344746881593974E-3</v>
      </c>
      <c r="J27" s="172">
        <f>IF(+'Sismo UBC-94 y Dinamico'!O20=0,'Sismo UBC-94 y Dinamico'!M20,'Sismo UBC-94 y Dinamico'!O20)</f>
        <v>20680.233728086463</v>
      </c>
      <c r="K27" s="172">
        <f t="shared" si="3"/>
        <v>21.5</v>
      </c>
      <c r="L27" s="165">
        <f t="shared" si="4"/>
        <v>2722.0751912349797</v>
      </c>
      <c r="M27" s="165">
        <f t="shared" si="5"/>
        <v>444625.02515385894</v>
      </c>
      <c r="N27" s="165">
        <f t="shared" si="6"/>
        <v>6.1221816974719933E-3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1.8540931941677101E-2</v>
      </c>
      <c r="F28" s="165">
        <f t="shared" si="0"/>
        <v>4788018.3374993103</v>
      </c>
      <c r="G28" s="165">
        <f t="shared" si="8"/>
        <v>792573.95624994021</v>
      </c>
      <c r="H28" s="165">
        <f t="shared" si="1"/>
        <v>1.8540931941677101E-2</v>
      </c>
      <c r="I28" s="165">
        <f t="shared" si="2"/>
        <v>3.6283784828707016E-3</v>
      </c>
      <c r="J28" s="172">
        <f>IF(+'Sismo UBC-94 y Dinamico'!O21=0,'Sismo UBC-94 y Dinamico'!M21,'Sismo UBC-94 y Dinamico'!O21)</f>
        <v>17816.0592295776</v>
      </c>
      <c r="K28" s="172">
        <f t="shared" si="3"/>
        <v>18</v>
      </c>
      <c r="L28" s="165">
        <f t="shared" si="4"/>
        <v>2875.7582889409878</v>
      </c>
      <c r="M28" s="165">
        <f t="shared" si="5"/>
        <v>320689.06613239681</v>
      </c>
      <c r="N28" s="165">
        <f t="shared" si="6"/>
        <v>8.9674347916611791E-3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1.4912553458806399E-2</v>
      </c>
      <c r="F29" s="165">
        <f t="shared" si="0"/>
        <v>5595007.4137492897</v>
      </c>
      <c r="G29" s="165">
        <f t="shared" si="8"/>
        <v>806989.07624997944</v>
      </c>
      <c r="H29" s="165">
        <f t="shared" si="1"/>
        <v>1.4912553458806399E-2</v>
      </c>
      <c r="I29" s="165">
        <f t="shared" si="2"/>
        <v>3.7398770580532991E-3</v>
      </c>
      <c r="J29" s="172">
        <f>IF(+'Sismo UBC-94 y Dinamico'!O22=0,'Sismo UBC-94 y Dinamico'!M22,'Sismo UBC-94 y Dinamico'!O22)</f>
        <v>15936.307365490167</v>
      </c>
      <c r="K29" s="172">
        <f t="shared" si="3"/>
        <v>14.5</v>
      </c>
      <c r="L29" s="165">
        <f t="shared" si="4"/>
        <v>3018.0399323669226</v>
      </c>
      <c r="M29" s="165">
        <f t="shared" si="5"/>
        <v>231076.45679960743</v>
      </c>
      <c r="N29" s="165">
        <f t="shared" si="6"/>
        <v>1.3060785049963818E-2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1.11726764007531E-2</v>
      </c>
      <c r="F30" s="165">
        <f t="shared" si="0"/>
        <v>6401996.4899992403</v>
      </c>
      <c r="G30" s="165">
        <f t="shared" si="8"/>
        <v>806989.07624995057</v>
      </c>
      <c r="H30" s="165">
        <f t="shared" si="1"/>
        <v>1.11726764007531E-2</v>
      </c>
      <c r="I30" s="165">
        <f t="shared" si="2"/>
        <v>3.9183050780438704E-3</v>
      </c>
      <c r="J30" s="172">
        <f>IF(+'Sismo UBC-94 y Dinamico'!O23=0,'Sismo UBC-94 y Dinamico'!M23,'Sismo UBC-94 y Dinamico'!O23)</f>
        <v>13684.227020584212</v>
      </c>
      <c r="K30" s="172">
        <f t="shared" si="3"/>
        <v>11</v>
      </c>
      <c r="L30" s="165">
        <f t="shared" si="4"/>
        <v>3162.0293953961136</v>
      </c>
      <c r="M30" s="165">
        <f t="shared" si="5"/>
        <v>150526.49722642635</v>
      </c>
      <c r="N30" s="165">
        <f t="shared" si="6"/>
        <v>2.1006463670244693E-2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7.2543713227092299E-3</v>
      </c>
      <c r="F31" s="165">
        <f t="shared" si="0"/>
        <v>7208985.5662492504</v>
      </c>
      <c r="G31" s="165">
        <f t="shared" si="8"/>
        <v>806989.07625001017</v>
      </c>
      <c r="H31" s="165">
        <f t="shared" si="1"/>
        <v>7.2543713227092299E-3</v>
      </c>
      <c r="I31" s="165">
        <f t="shared" si="2"/>
        <v>3.9513010670994197E-3</v>
      </c>
      <c r="J31" s="172">
        <f>IF(+'Sismo UBC-94 y Dinamico'!O24=0,'Sismo UBC-94 y Dinamico'!M24,'Sismo UBC-94 y Dinamico'!O24)</f>
        <v>10574.142164980838</v>
      </c>
      <c r="K31" s="172">
        <f t="shared" si="3"/>
        <v>7.5</v>
      </c>
      <c r="L31" s="165">
        <f t="shared" si="4"/>
        <v>3188.6567981242401</v>
      </c>
      <c r="M31" s="165">
        <f t="shared" si="5"/>
        <v>79306.066237356281</v>
      </c>
      <c r="N31" s="165">
        <f t="shared" si="6"/>
        <v>4.0206972170084225E-2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3.3030702556098102E-3</v>
      </c>
      <c r="F32" s="165">
        <f t="shared" si="0"/>
        <v>8251645.6424992401</v>
      </c>
      <c r="G32" s="165">
        <f t="shared" si="8"/>
        <v>1042660.0762499897</v>
      </c>
      <c r="H32" s="165">
        <f t="shared" si="1"/>
        <v>3.3030702556098102E-3</v>
      </c>
      <c r="I32" s="165">
        <f>+H32-I33</f>
        <v>3.3030702556098102E-3</v>
      </c>
      <c r="J32" s="172">
        <f>IF(+'Sismo UBC-94 y Dinamico'!O25=0,'Sismo UBC-94 y Dinamico'!M25,'Sismo UBC-94 y Dinamico'!O25)</f>
        <v>5913.8750499694333</v>
      </c>
      <c r="K32" s="172">
        <f t="shared" si="3"/>
        <v>4</v>
      </c>
      <c r="L32" s="165">
        <f t="shared" si="4"/>
        <v>3443.9794845731976</v>
      </c>
      <c r="M32" s="165">
        <f t="shared" si="5"/>
        <v>23655.500199877733</v>
      </c>
      <c r="N32" s="165">
        <f t="shared" si="6"/>
        <v>0.14558895206075576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3.0989399728215301E-2</v>
      </c>
      <c r="F40" s="165">
        <f t="shared" ref="F40:F50" si="9">+E5</f>
        <v>17769.599999995899</v>
      </c>
      <c r="G40" s="165">
        <v>0</v>
      </c>
      <c r="H40" s="165">
        <f t="shared" ref="H40:H50" si="10">+E40</f>
        <v>3.0989399728215301E-2</v>
      </c>
      <c r="I40" s="165">
        <f t="shared" ref="I40:I49" si="11">+H40-H41</f>
        <v>9.9952287326960168E-4</v>
      </c>
      <c r="J40" s="165">
        <f>+J22</f>
        <v>1046.883387507984</v>
      </c>
      <c r="K40" s="165">
        <f t="shared" ref="K40:K50" si="12">+C40</f>
        <v>38.5</v>
      </c>
      <c r="L40" s="165">
        <f>+G40*I40</f>
        <v>0</v>
      </c>
      <c r="M40" s="165">
        <f>+J40*K40</f>
        <v>40305.010419057384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2.99898768549457E-2</v>
      </c>
      <c r="F41" s="165">
        <f t="shared" si="9"/>
        <v>825148.55624961294</v>
      </c>
      <c r="G41" s="165">
        <f>+F41</f>
        <v>825148.55624961294</v>
      </c>
      <c r="H41" s="165">
        <f t="shared" si="10"/>
        <v>2.99898768549457E-2</v>
      </c>
      <c r="I41" s="165">
        <f t="shared" si="11"/>
        <v>1.2147672950999985E-3</v>
      </c>
      <c r="J41" s="172">
        <f t="shared" ref="J41:J50" si="13">+J23</f>
        <v>31361.646368098776</v>
      </c>
      <c r="K41" s="172">
        <f t="shared" si="12"/>
        <v>35.5</v>
      </c>
      <c r="L41" s="165">
        <f t="shared" ref="L41:L50" si="14">+G41*I41</f>
        <v>1002.3634797310114</v>
      </c>
      <c r="M41" s="165">
        <f t="shared" ref="M41:M50" si="15">+J41*K41</f>
        <v>1113338.4460675064</v>
      </c>
      <c r="N41" s="165">
        <f t="shared" ref="N41:N50" si="16">+L41/M41</f>
        <v>9.003223442714326E-4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2.8775109559845701E-2</v>
      </c>
      <c r="F42" s="165">
        <f t="shared" si="9"/>
        <v>1617722.51249946</v>
      </c>
      <c r="G42" s="165">
        <f>+F42-F41</f>
        <v>792573.95624984708</v>
      </c>
      <c r="H42" s="165">
        <f t="shared" si="10"/>
        <v>2.8775109559845701E-2</v>
      </c>
      <c r="I42" s="165">
        <f t="shared" si="11"/>
        <v>1.8807054950829016E-3</v>
      </c>
      <c r="J42" s="172">
        <f t="shared" si="13"/>
        <v>34711.912343181008</v>
      </c>
      <c r="K42" s="172">
        <f t="shared" si="12"/>
        <v>32</v>
      </c>
      <c r="L42" s="165">
        <f t="shared" si="14"/>
        <v>1490.5981947786827</v>
      </c>
      <c r="M42" s="165">
        <f t="shared" si="15"/>
        <v>1110781.1949817922</v>
      </c>
      <c r="N42" s="165">
        <f t="shared" si="16"/>
        <v>1.3419368292448598E-3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2.68944040647628E-2</v>
      </c>
      <c r="F43" s="165">
        <f t="shared" si="9"/>
        <v>2410296.46874941</v>
      </c>
      <c r="G43" s="165">
        <f t="shared" ref="G43:G50" si="18">+F43-F42</f>
        <v>792573.95624994999</v>
      </c>
      <c r="H43" s="165">
        <f t="shared" si="10"/>
        <v>2.68944040647628E-2</v>
      </c>
      <c r="I43" s="165">
        <f t="shared" si="11"/>
        <v>2.4983068525003989E-3</v>
      </c>
      <c r="J43" s="172">
        <f t="shared" si="13"/>
        <v>29026.143903167082</v>
      </c>
      <c r="K43" s="172">
        <f t="shared" si="12"/>
        <v>28.5</v>
      </c>
      <c r="L43" s="165">
        <f t="shared" si="14"/>
        <v>1980.0929460126015</v>
      </c>
      <c r="M43" s="165">
        <f t="shared" si="15"/>
        <v>827245.10124026181</v>
      </c>
      <c r="N43" s="165">
        <f t="shared" si="16"/>
        <v>2.3935988778221984E-3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2.4396097212262401E-2</v>
      </c>
      <c r="F44" s="165">
        <f t="shared" si="9"/>
        <v>3202870.4249993698</v>
      </c>
      <c r="G44" s="165">
        <f t="shared" si="18"/>
        <v>792573.95624995977</v>
      </c>
      <c r="H44" s="165">
        <f t="shared" si="10"/>
        <v>2.4396097212262401E-2</v>
      </c>
      <c r="I44" s="165">
        <f t="shared" si="11"/>
        <v>3.0161491568773992E-3</v>
      </c>
      <c r="J44" s="172">
        <f t="shared" si="13"/>
        <v>24344.383159323042</v>
      </c>
      <c r="K44" s="172">
        <f t="shared" si="12"/>
        <v>25</v>
      </c>
      <c r="L44" s="165">
        <f t="shared" si="14"/>
        <v>2390.5212699063009</v>
      </c>
      <c r="M44" s="165">
        <f t="shared" si="15"/>
        <v>608609.57898307603</v>
      </c>
      <c r="N44" s="165">
        <f t="shared" si="16"/>
        <v>3.9278403634405755E-3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2.1379948055385001E-2</v>
      </c>
      <c r="F45" s="165">
        <f t="shared" si="9"/>
        <v>3995444.3812493701</v>
      </c>
      <c r="G45" s="165">
        <f t="shared" si="18"/>
        <v>792573.95625000028</v>
      </c>
      <c r="H45" s="165">
        <f t="shared" si="10"/>
        <v>2.1379948055385001E-2</v>
      </c>
      <c r="I45" s="165">
        <f t="shared" si="11"/>
        <v>3.4148014543727012E-3</v>
      </c>
      <c r="J45" s="172">
        <f t="shared" si="13"/>
        <v>20680.233728086463</v>
      </c>
      <c r="K45" s="172">
        <f t="shared" si="12"/>
        <v>21.5</v>
      </c>
      <c r="L45" s="165">
        <f t="shared" si="14"/>
        <v>2706.4826985004265</v>
      </c>
      <c r="M45" s="165">
        <f t="shared" si="15"/>
        <v>444625.02515385894</v>
      </c>
      <c r="N45" s="165">
        <f t="shared" si="16"/>
        <v>6.0871128375283639E-3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1.79651466010123E-2</v>
      </c>
      <c r="F46" s="165">
        <f t="shared" si="9"/>
        <v>4788018.3374993103</v>
      </c>
      <c r="G46" s="165">
        <f t="shared" si="18"/>
        <v>792573.95624994021</v>
      </c>
      <c r="H46" s="165">
        <f t="shared" si="10"/>
        <v>1.79651466010123E-2</v>
      </c>
      <c r="I46" s="165">
        <f t="shared" si="11"/>
        <v>3.5554716557614999E-3</v>
      </c>
      <c r="J46" s="172">
        <f t="shared" si="13"/>
        <v>17816.0592295776</v>
      </c>
      <c r="K46" s="172">
        <f t="shared" si="12"/>
        <v>18</v>
      </c>
      <c r="L46" s="165">
        <f t="shared" si="14"/>
        <v>2817.9742365414177</v>
      </c>
      <c r="M46" s="165">
        <f t="shared" si="15"/>
        <v>320689.06613239681</v>
      </c>
      <c r="N46" s="165">
        <f t="shared" si="16"/>
        <v>8.7872476306317671E-3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1.44096749452508E-2</v>
      </c>
      <c r="F47" s="165">
        <f t="shared" si="9"/>
        <v>5595007.4137492897</v>
      </c>
      <c r="G47" s="165">
        <f t="shared" si="18"/>
        <v>806989.07624997944</v>
      </c>
      <c r="H47" s="165">
        <f t="shared" si="10"/>
        <v>1.44096749452508E-2</v>
      </c>
      <c r="I47" s="165">
        <f t="shared" si="11"/>
        <v>3.6149248353179002E-3</v>
      </c>
      <c r="J47" s="172">
        <f t="shared" si="13"/>
        <v>15936.307365490167</v>
      </c>
      <c r="K47" s="172">
        <f t="shared" si="12"/>
        <v>14.5</v>
      </c>
      <c r="L47" s="165">
        <f t="shared" si="14"/>
        <v>2917.2048535663012</v>
      </c>
      <c r="M47" s="165">
        <f t="shared" si="15"/>
        <v>231076.45679960743</v>
      </c>
      <c r="N47" s="165">
        <f t="shared" si="16"/>
        <v>1.2624413988207114E-2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1.07947501099329E-2</v>
      </c>
      <c r="F48" s="165">
        <f t="shared" si="9"/>
        <v>6401996.4899992403</v>
      </c>
      <c r="G48" s="165">
        <f t="shared" si="18"/>
        <v>806989.07624995057</v>
      </c>
      <c r="H48" s="165">
        <f t="shared" si="10"/>
        <v>1.07947501099329E-2</v>
      </c>
      <c r="I48" s="165">
        <f t="shared" si="11"/>
        <v>3.7611949266131402E-3</v>
      </c>
      <c r="J48" s="172">
        <f t="shared" si="13"/>
        <v>13684.227020584212</v>
      </c>
      <c r="K48" s="172">
        <f t="shared" si="12"/>
        <v>11</v>
      </c>
      <c r="L48" s="165">
        <f t="shared" si="14"/>
        <v>3035.2432194235384</v>
      </c>
      <c r="M48" s="165">
        <f t="shared" si="15"/>
        <v>150526.49722642635</v>
      </c>
      <c r="N48" s="165">
        <f t="shared" si="16"/>
        <v>2.0164178901059773E-2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7.0335551833197599E-3</v>
      </c>
      <c r="F49" s="165">
        <f t="shared" si="9"/>
        <v>7208985.5662492504</v>
      </c>
      <c r="G49" s="165">
        <f t="shared" si="18"/>
        <v>806989.07625001017</v>
      </c>
      <c r="H49" s="165">
        <f t="shared" si="10"/>
        <v>7.0335551833197599E-3</v>
      </c>
      <c r="I49" s="165">
        <f t="shared" si="11"/>
        <v>3.7872213546414199E-3</v>
      </c>
      <c r="J49" s="172">
        <f t="shared" si="13"/>
        <v>10574.142164980838</v>
      </c>
      <c r="K49" s="172">
        <f t="shared" si="12"/>
        <v>7.5</v>
      </c>
      <c r="L49" s="165">
        <f t="shared" si="14"/>
        <v>3056.2462625363914</v>
      </c>
      <c r="M49" s="165">
        <f t="shared" si="15"/>
        <v>79306.066237356281</v>
      </c>
      <c r="N49" s="165">
        <f t="shared" si="16"/>
        <v>3.8537357954299578E-2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3.24633382867834E-3</v>
      </c>
      <c r="F50" s="165">
        <f t="shared" si="9"/>
        <v>8251645.6424992401</v>
      </c>
      <c r="G50" s="165">
        <f t="shared" si="18"/>
        <v>1042660.0762499897</v>
      </c>
      <c r="H50" s="165">
        <f t="shared" si="10"/>
        <v>3.24633382867834E-3</v>
      </c>
      <c r="I50" s="165">
        <f>+H50-I51</f>
        <v>3.24633382867834E-3</v>
      </c>
      <c r="J50" s="172">
        <f t="shared" si="13"/>
        <v>5913.8750499694333</v>
      </c>
      <c r="K50" s="172">
        <f t="shared" si="12"/>
        <v>4</v>
      </c>
      <c r="L50" s="165">
        <f t="shared" si="14"/>
        <v>3384.8226773426791</v>
      </c>
      <c r="M50" s="165">
        <f t="shared" si="15"/>
        <v>23655.500199877733</v>
      </c>
      <c r="N50" s="165">
        <f t="shared" si="16"/>
        <v>0.14308818874014653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3.6078781423462401E-2</v>
      </c>
      <c r="F58" s="83">
        <f t="shared" ref="F58:F68" si="19">+E5</f>
        <v>17769.599999995899</v>
      </c>
      <c r="G58" s="83">
        <v>0</v>
      </c>
      <c r="H58" s="83">
        <f>+E58</f>
        <v>3.6078781423462401E-2</v>
      </c>
      <c r="I58" s="83">
        <f>+H58-H59</f>
        <v>1.3733693844052985E-3</v>
      </c>
      <c r="J58" s="83">
        <f>IF(+'Sismo UBC-94 y Dinamico'!P34=0,'Sismo UBC-94 y Dinamico'!N34,'Sismo UBC-94 y Dinamico'!P34)</f>
        <v>1040.8344703179127</v>
      </c>
      <c r="K58" s="83">
        <f t="shared" ref="K58:K68" si="20">+C58</f>
        <v>38.5</v>
      </c>
      <c r="L58" s="83">
        <f>+G58*I58</f>
        <v>0</v>
      </c>
      <c r="M58" s="83">
        <f>+J58*K58</f>
        <v>40072.127107239641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3.4705412039057103E-2</v>
      </c>
      <c r="F59" s="165">
        <f t="shared" si="19"/>
        <v>825148.55624961294</v>
      </c>
      <c r="G59" s="83">
        <f>+F59</f>
        <v>825148.55624961294</v>
      </c>
      <c r="H59" s="83">
        <f t="shared" ref="H59:H68" si="21">+E59</f>
        <v>3.4705412039057103E-2</v>
      </c>
      <c r="I59" s="83">
        <f>+H59-H60</f>
        <v>1.4661279650966044E-3</v>
      </c>
      <c r="J59" s="172">
        <f>IF(+'Sismo UBC-94 y Dinamico'!P35=0,'Sismo UBC-94 y Dinamico'!N35,'Sismo UBC-94 y Dinamico'!P35)</f>
        <v>32314.473296769585</v>
      </c>
      <c r="K59" s="172">
        <f t="shared" si="20"/>
        <v>35.5</v>
      </c>
      <c r="L59" s="83">
        <f>+G59*I59</f>
        <v>1209.7733736766461</v>
      </c>
      <c r="M59" s="83">
        <f>+J59*K59</f>
        <v>1147163.8020353203</v>
      </c>
      <c r="N59" s="83">
        <f>+L59/M59</f>
        <v>1.054577708545408E-3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3.3239284073960498E-2</v>
      </c>
      <c r="F60" s="165">
        <f t="shared" si="19"/>
        <v>1617722.51249946</v>
      </c>
      <c r="G60" s="83">
        <f>+F60-F59</f>
        <v>792573.95624984708</v>
      </c>
      <c r="H60" s="83">
        <f t="shared" si="21"/>
        <v>3.3239284073960498E-2</v>
      </c>
      <c r="I60" s="83">
        <f>+H60-H61</f>
        <v>2.2230674900055973E-3</v>
      </c>
      <c r="J60" s="172">
        <f>IF(+'Sismo UBC-94 y Dinamico'!P36=0,'Sismo UBC-94 y Dinamico'!N36,'Sismo UBC-94 y Dinamico'!P36)</f>
        <v>35017.335793127771</v>
      </c>
      <c r="K60" s="172">
        <f t="shared" si="20"/>
        <v>32</v>
      </c>
      <c r="L60" s="83">
        <f>+G60*I60</f>
        <v>1761.9453955641536</v>
      </c>
      <c r="M60" s="83">
        <f>+J60*K60</f>
        <v>1120554.7453800887</v>
      </c>
      <c r="N60" s="83">
        <f>+L60/M60</f>
        <v>1.5723867154446855E-3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3.1016216583954901E-2</v>
      </c>
      <c r="F61" s="165">
        <f t="shared" si="19"/>
        <v>2410296.46874941</v>
      </c>
      <c r="G61" s="83">
        <f t="shared" ref="G61:G68" si="22">+F61-F60</f>
        <v>792573.95624994999</v>
      </c>
      <c r="H61" s="83">
        <f t="shared" si="21"/>
        <v>3.1016216583954901E-2</v>
      </c>
      <c r="I61" s="83">
        <f>+H61-H62</f>
        <v>2.9176677707167011E-3</v>
      </c>
      <c r="J61" s="172">
        <f>IF(+'Sismo UBC-94 y Dinamico'!P37=0,'Sismo UBC-94 y Dinamico'!N37,'Sismo UBC-94 y Dinamico'!P37)</f>
        <v>28855.18857204734</v>
      </c>
      <c r="K61" s="172">
        <f t="shared" si="20"/>
        <v>28.5</v>
      </c>
      <c r="L61" s="83">
        <f>+G61*I61</f>
        <v>2312.4674880599077</v>
      </c>
      <c r="M61" s="83">
        <f>+J61*K61</f>
        <v>822372.87430334918</v>
      </c>
      <c r="N61" s="83">
        <f>+L61/M61</f>
        <v>2.8119452383675125E-3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2.80985488132382E-2</v>
      </c>
      <c r="F62" s="165">
        <f t="shared" si="19"/>
        <v>3202870.4249993698</v>
      </c>
      <c r="G62" s="83">
        <f t="shared" si="22"/>
        <v>792573.95624995977</v>
      </c>
      <c r="H62" s="83">
        <f t="shared" si="21"/>
        <v>2.80985488132382E-2</v>
      </c>
      <c r="I62" s="83">
        <f>+H62-H63</f>
        <v>3.4961216755728004E-3</v>
      </c>
      <c r="J62" s="172">
        <f>IF(+'Sismo UBC-94 y Dinamico'!P38=0,'Sismo UBC-94 y Dinamico'!N38,'Sismo UBC-94 y Dinamico'!P38)</f>
        <v>23932.723559114489</v>
      </c>
      <c r="K62" s="172">
        <f t="shared" si="20"/>
        <v>25</v>
      </c>
      <c r="L62" s="83">
        <f>+G62*I62</f>
        <v>2770.9349879399729</v>
      </c>
      <c r="M62" s="83">
        <f>+J62*K62</f>
        <v>598318.08897786227</v>
      </c>
      <c r="N62" s="83">
        <f>+L62/M62</f>
        <v>4.6312071103745238E-3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2.46024271376654E-2</v>
      </c>
      <c r="F63" s="165">
        <f t="shared" si="19"/>
        <v>3995444.3812493701</v>
      </c>
      <c r="G63" s="165">
        <f t="shared" si="22"/>
        <v>792573.95625000028</v>
      </c>
      <c r="H63" s="165">
        <f t="shared" si="21"/>
        <v>2.46024271376654E-2</v>
      </c>
      <c r="I63" s="165">
        <f t="shared" ref="I63:I68" si="23">+H63-H64</f>
        <v>3.9394842720288994E-3</v>
      </c>
      <c r="J63" s="172">
        <f>IF(+'Sismo UBC-94 y Dinamico'!P39=0,'Sismo UBC-94 y Dinamico'!N39,'Sismo UBC-94 y Dinamico'!P39)</f>
        <v>20195.462255127972</v>
      </c>
      <c r="K63" s="172">
        <f t="shared" si="20"/>
        <v>21.5</v>
      </c>
      <c r="L63" s="165">
        <f t="shared" ref="L63:L68" si="24">+G63*I63</f>
        <v>3122.332635066597</v>
      </c>
      <c r="M63" s="165">
        <f t="shared" ref="M63:M68" si="25">+J63*K63</f>
        <v>434202.43848525139</v>
      </c>
      <c r="N63" s="165">
        <f t="shared" ref="N63:N68" si="26">+L63/M63</f>
        <v>7.190960617262065E-3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2.06629428656365E-2</v>
      </c>
      <c r="F64" s="165">
        <f t="shared" si="19"/>
        <v>4788018.3374993103</v>
      </c>
      <c r="G64" s="165">
        <f t="shared" si="22"/>
        <v>792573.95624994021</v>
      </c>
      <c r="H64" s="165">
        <f t="shared" si="21"/>
        <v>2.06629428656365E-2</v>
      </c>
      <c r="I64" s="165">
        <f t="shared" si="23"/>
        <v>4.1332352396978994E-3</v>
      </c>
      <c r="J64" s="172">
        <f>IF(+'Sismo UBC-94 y Dinamico'!P40=0,'Sismo UBC-94 y Dinamico'!N40,'Sismo UBC-94 y Dinamico'!P40)</f>
        <v>17452.057944594391</v>
      </c>
      <c r="K64" s="172">
        <f t="shared" si="20"/>
        <v>18</v>
      </c>
      <c r="L64" s="165">
        <f t="shared" si="24"/>
        <v>3275.894606039034</v>
      </c>
      <c r="M64" s="165">
        <f t="shared" si="25"/>
        <v>314137.04300269904</v>
      </c>
      <c r="N64" s="165">
        <f t="shared" si="26"/>
        <v>1.0428234043098469E-2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1.6529707625938601E-2</v>
      </c>
      <c r="F65" s="165">
        <f t="shared" si="19"/>
        <v>5595007.4137492897</v>
      </c>
      <c r="G65" s="165">
        <f t="shared" si="22"/>
        <v>806989.07624997944</v>
      </c>
      <c r="H65" s="165">
        <f t="shared" si="21"/>
        <v>1.6529707625938601E-2</v>
      </c>
      <c r="I65" s="165">
        <f t="shared" si="23"/>
        <v>4.2367169628958999E-3</v>
      </c>
      <c r="J65" s="172">
        <f>IF(+'Sismo UBC-94 y Dinamico'!P41=0,'Sismo UBC-94 y Dinamico'!N41,'Sismo UBC-94 y Dinamico'!P41)</f>
        <v>15811.109494801894</v>
      </c>
      <c r="K65" s="172">
        <f t="shared" si="20"/>
        <v>14.5</v>
      </c>
      <c r="L65" s="165">
        <f t="shared" si="24"/>
        <v>3418.9843082199804</v>
      </c>
      <c r="M65" s="165">
        <f t="shared" si="25"/>
        <v>229261.08767462746</v>
      </c>
      <c r="N65" s="165">
        <f t="shared" si="26"/>
        <v>1.4913059790906517E-2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1.2292990663042701E-2</v>
      </c>
      <c r="F66" s="165">
        <f t="shared" si="19"/>
        <v>6401996.4899992403</v>
      </c>
      <c r="G66" s="165">
        <f t="shared" si="22"/>
        <v>806989.07624995057</v>
      </c>
      <c r="H66" s="165">
        <f t="shared" si="21"/>
        <v>1.2292990663042701E-2</v>
      </c>
      <c r="I66" s="165">
        <f t="shared" si="23"/>
        <v>4.3885042885490715E-3</v>
      </c>
      <c r="J66" s="172">
        <f>IF(+'Sismo UBC-94 y Dinamico'!P42=0,'Sismo UBC-94 y Dinamico'!N42,'Sismo UBC-94 y Dinamico'!P42)</f>
        <v>13765.518975466988</v>
      </c>
      <c r="K66" s="172">
        <f t="shared" si="20"/>
        <v>11</v>
      </c>
      <c r="L66" s="165">
        <f t="shared" si="24"/>
        <v>3541.4750219351617</v>
      </c>
      <c r="M66" s="165">
        <f t="shared" si="25"/>
        <v>151420.70873013686</v>
      </c>
      <c r="N66" s="165">
        <f t="shared" si="26"/>
        <v>2.338831360409761E-2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7.9044863744936293E-3</v>
      </c>
      <c r="F67" s="165">
        <f t="shared" si="19"/>
        <v>7208985.5662492504</v>
      </c>
      <c r="G67" s="165">
        <f t="shared" si="22"/>
        <v>806989.07625001017</v>
      </c>
      <c r="H67" s="165">
        <f t="shared" si="21"/>
        <v>7.9044863744936293E-3</v>
      </c>
      <c r="I67" s="165">
        <f t="shared" si="23"/>
        <v>4.3585485136553694E-3</v>
      </c>
      <c r="J67" s="172">
        <f>IF(+'Sismo UBC-94 y Dinamico'!P43=0,'Sismo UBC-94 y Dinamico'!N43,'Sismo UBC-94 y Dinamico'!P43)</f>
        <v>10739.651686745334</v>
      </c>
      <c r="K67" s="172">
        <f t="shared" si="20"/>
        <v>7.5</v>
      </c>
      <c r="L67" s="165">
        <f t="shared" si="24"/>
        <v>3517.3010388256016</v>
      </c>
      <c r="M67" s="165">
        <f t="shared" si="25"/>
        <v>80547.387650589997</v>
      </c>
      <c r="N67" s="165">
        <f t="shared" si="26"/>
        <v>4.3667475028283401E-2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3.5459378608382599E-3</v>
      </c>
      <c r="F68" s="165">
        <f t="shared" si="19"/>
        <v>8251645.6424992401</v>
      </c>
      <c r="G68" s="165">
        <f t="shared" si="22"/>
        <v>1042660.0762499897</v>
      </c>
      <c r="H68" s="165">
        <f t="shared" si="21"/>
        <v>3.5459378608382599E-3</v>
      </c>
      <c r="I68" s="165">
        <f t="shared" si="23"/>
        <v>3.5459378608382599E-3</v>
      </c>
      <c r="J68" s="172">
        <f>IF(+'Sismo UBC-94 y Dinamico'!P44=0,'Sismo UBC-94 y Dinamico'!N44,'Sismo UBC-94 y Dinamico'!P44)</f>
        <v>5971.4576718529206</v>
      </c>
      <c r="K68" s="172">
        <f t="shared" si="20"/>
        <v>4</v>
      </c>
      <c r="L68" s="165">
        <f t="shared" si="24"/>
        <v>3697.2078403593455</v>
      </c>
      <c r="M68" s="165">
        <f t="shared" si="25"/>
        <v>23885.830687411682</v>
      </c>
      <c r="N68" s="165">
        <f t="shared" si="26"/>
        <v>0.15478665526620555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3.0809852828867799E-2</v>
      </c>
      <c r="F76" s="83">
        <f t="shared" ref="F76:F86" si="28">+E5</f>
        <v>17769.599999995899</v>
      </c>
      <c r="G76" s="83">
        <v>0</v>
      </c>
      <c r="H76" s="83">
        <f>+E76</f>
        <v>3.0809852828867799E-2</v>
      </c>
      <c r="I76" s="83">
        <f>+H76-H77</f>
        <v>-2.6673720552176997E-3</v>
      </c>
      <c r="J76" s="83">
        <f>+J58</f>
        <v>1040.8344703179127</v>
      </c>
      <c r="K76" s="83">
        <f t="shared" ref="K76:K86" si="29">+C76</f>
        <v>38.5</v>
      </c>
      <c r="L76" s="83">
        <f>+G76*I76</f>
        <v>0</v>
      </c>
      <c r="M76" s="83">
        <f>+J76*K76</f>
        <v>40072.127107239641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3.3477224884085499E-2</v>
      </c>
      <c r="F77" s="165">
        <f t="shared" si="28"/>
        <v>825148.55624961294</v>
      </c>
      <c r="G77" s="83">
        <f>+F77</f>
        <v>825148.55624961294</v>
      </c>
      <c r="H77" s="83">
        <f>+E77</f>
        <v>3.3477224884085499E-2</v>
      </c>
      <c r="I77" s="83">
        <f>+H77-H78</f>
        <v>1.1481625832110987E-3</v>
      </c>
      <c r="J77" s="172">
        <f t="shared" ref="J77:J86" si="30">+J59</f>
        <v>32314.473296769585</v>
      </c>
      <c r="K77" s="172">
        <f t="shared" si="29"/>
        <v>35.5</v>
      </c>
      <c r="L77" s="83">
        <f>+G77*I77</f>
        <v>947.40469787646418</v>
      </c>
      <c r="M77" s="83">
        <f>+J77*K77</f>
        <v>1147163.8020353203</v>
      </c>
      <c r="N77" s="83">
        <f>+L77/M77</f>
        <v>8.2586697400629302E-4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3.23290623008744E-2</v>
      </c>
      <c r="F78" s="165">
        <f t="shared" si="28"/>
        <v>1617722.51249946</v>
      </c>
      <c r="G78" s="83">
        <f>+F78-F77</f>
        <v>792573.95624984708</v>
      </c>
      <c r="H78" s="83">
        <f>+E78</f>
        <v>3.23290623008744E-2</v>
      </c>
      <c r="I78" s="83">
        <f>+H78-H79</f>
        <v>1.9397226568021002E-3</v>
      </c>
      <c r="J78" s="172">
        <f t="shared" si="30"/>
        <v>35017.335793127771</v>
      </c>
      <c r="K78" s="172">
        <f t="shared" si="29"/>
        <v>32</v>
      </c>
      <c r="L78" s="83">
        <f>+G78*I78</f>
        <v>1537.3736601291048</v>
      </c>
      <c r="M78" s="83">
        <f>+J78*K78</f>
        <v>1120554.7453800887</v>
      </c>
      <c r="N78" s="83">
        <f>+L78/M78</f>
        <v>1.3719755027297952E-3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3.03893396440723E-2</v>
      </c>
      <c r="F79" s="165">
        <f t="shared" si="28"/>
        <v>2410296.46874941</v>
      </c>
      <c r="G79" s="83">
        <f t="shared" ref="G79:G86" si="31">+F79-F78</f>
        <v>792573.95624994999</v>
      </c>
      <c r="H79" s="83">
        <f>+E79</f>
        <v>3.03893396440723E-2</v>
      </c>
      <c r="I79" s="83">
        <f>+H79-H80</f>
        <v>2.6946440500647019E-3</v>
      </c>
      <c r="J79" s="172">
        <f t="shared" si="30"/>
        <v>28855.18857204734</v>
      </c>
      <c r="K79" s="172">
        <f t="shared" si="29"/>
        <v>28.5</v>
      </c>
      <c r="L79" s="83">
        <f>+G79*I79</f>
        <v>2135.7046954451689</v>
      </c>
      <c r="M79" s="83">
        <f>+J79*K79</f>
        <v>822372.87430334918</v>
      </c>
      <c r="N79" s="83">
        <f>+L79/M79</f>
        <v>2.5970028464939012E-3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2.7694695594007598E-2</v>
      </c>
      <c r="F80" s="165">
        <f t="shared" si="28"/>
        <v>3202870.4249993698</v>
      </c>
      <c r="G80" s="83">
        <f t="shared" si="31"/>
        <v>792573.95624995977</v>
      </c>
      <c r="H80" s="83">
        <f>+E80</f>
        <v>2.7694695594007598E-2</v>
      </c>
      <c r="I80" s="83">
        <f>+H80-H81</f>
        <v>3.3322514013356987E-3</v>
      </c>
      <c r="J80" s="172">
        <f t="shared" si="30"/>
        <v>23932.723559114489</v>
      </c>
      <c r="K80" s="172">
        <f t="shared" si="29"/>
        <v>25</v>
      </c>
      <c r="L80" s="83">
        <f>+G80*I80</f>
        <v>2641.0556763761074</v>
      </c>
      <c r="M80" s="83">
        <f>+J80*K80</f>
        <v>598318.08897786227</v>
      </c>
      <c r="N80" s="83">
        <f>+L80/M80</f>
        <v>4.4141330924625053E-3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2.43624441926719E-2</v>
      </c>
      <c r="F81" s="165">
        <f t="shared" si="28"/>
        <v>3995444.3812493701</v>
      </c>
      <c r="G81" s="165">
        <f t="shared" si="31"/>
        <v>792573.95625000028</v>
      </c>
      <c r="H81" s="165">
        <f t="shared" ref="H81:H86" si="32">+E81</f>
        <v>2.43624441926719E-2</v>
      </c>
      <c r="I81" s="165">
        <f t="shared" ref="I81:I86" si="33">+H81-H82</f>
        <v>3.8269832720118011E-3</v>
      </c>
      <c r="J81" s="172">
        <f t="shared" si="30"/>
        <v>20195.462255127972</v>
      </c>
      <c r="K81" s="172">
        <f t="shared" si="29"/>
        <v>21.5</v>
      </c>
      <c r="L81" s="165">
        <f t="shared" ref="L81:L86" si="34">+G81*I81</f>
        <v>3033.1672724009641</v>
      </c>
      <c r="M81" s="165">
        <f t="shared" ref="M81:M86" si="35">+J81*K81</f>
        <v>434202.43848525139</v>
      </c>
      <c r="N81" s="165">
        <f t="shared" ref="N81:N86" si="36">+L81/M81</f>
        <v>6.9856062600256261E-3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2.0535460920660099E-2</v>
      </c>
      <c r="F82" s="165">
        <f t="shared" si="28"/>
        <v>4788018.3374993103</v>
      </c>
      <c r="G82" s="165">
        <f t="shared" si="31"/>
        <v>792573.95624994021</v>
      </c>
      <c r="H82" s="165">
        <f t="shared" si="32"/>
        <v>2.0535460920660099E-2</v>
      </c>
      <c r="I82" s="165">
        <f t="shared" si="33"/>
        <v>4.0506243243957976E-3</v>
      </c>
      <c r="J82" s="172">
        <f t="shared" si="30"/>
        <v>17452.057944594391</v>
      </c>
      <c r="K82" s="172">
        <f t="shared" si="29"/>
        <v>18</v>
      </c>
      <c r="L82" s="165">
        <f t="shared" si="34"/>
        <v>3210.4193460686183</v>
      </c>
      <c r="M82" s="165">
        <f t="shared" si="35"/>
        <v>314137.04300269904</v>
      </c>
      <c r="N82" s="165">
        <f t="shared" si="36"/>
        <v>1.0219805074185519E-2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1.6484836596264301E-2</v>
      </c>
      <c r="F83" s="165">
        <f t="shared" si="28"/>
        <v>5595007.4137492897</v>
      </c>
      <c r="G83" s="165">
        <f t="shared" si="31"/>
        <v>806989.07624997944</v>
      </c>
      <c r="H83" s="165">
        <f t="shared" si="32"/>
        <v>1.6484836596264301E-2</v>
      </c>
      <c r="I83" s="165">
        <f t="shared" si="33"/>
        <v>4.1863626807909018E-3</v>
      </c>
      <c r="J83" s="172">
        <f t="shared" si="30"/>
        <v>15811.109494801894</v>
      </c>
      <c r="K83" s="172">
        <f t="shared" si="29"/>
        <v>14.5</v>
      </c>
      <c r="L83" s="165">
        <f t="shared" si="34"/>
        <v>3378.3489526188373</v>
      </c>
      <c r="M83" s="165">
        <f t="shared" si="35"/>
        <v>229261.08767462746</v>
      </c>
      <c r="N83" s="165">
        <f t="shared" si="36"/>
        <v>1.4735814903807256E-2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1.2298473915473399E-2</v>
      </c>
      <c r="F84" s="165">
        <f t="shared" si="28"/>
        <v>6401996.4899992403</v>
      </c>
      <c r="G84" s="165">
        <f t="shared" si="31"/>
        <v>806989.07624995057</v>
      </c>
      <c r="H84" s="165">
        <f t="shared" si="32"/>
        <v>1.2298473915473399E-2</v>
      </c>
      <c r="I84" s="165">
        <f t="shared" si="33"/>
        <v>4.3946943408296694E-3</v>
      </c>
      <c r="J84" s="172">
        <f t="shared" si="30"/>
        <v>13765.518975466988</v>
      </c>
      <c r="K84" s="172">
        <f t="shared" si="29"/>
        <v>11</v>
      </c>
      <c r="L84" s="165">
        <f t="shared" si="34"/>
        <v>3546.4703265070202</v>
      </c>
      <c r="M84" s="165">
        <f t="shared" si="35"/>
        <v>151420.70873013686</v>
      </c>
      <c r="N84" s="165">
        <f t="shared" si="36"/>
        <v>2.3421303177411267E-2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7.9037795746437298E-3</v>
      </c>
      <c r="F85" s="165">
        <f t="shared" si="28"/>
        <v>7208985.5662492504</v>
      </c>
      <c r="G85" s="165">
        <f t="shared" si="31"/>
        <v>806989.07625001017</v>
      </c>
      <c r="H85" s="165">
        <f t="shared" si="32"/>
        <v>7.9037795746437298E-3</v>
      </c>
      <c r="I85" s="165">
        <f t="shared" si="33"/>
        <v>4.4021224541635501E-3</v>
      </c>
      <c r="J85" s="172">
        <f t="shared" si="30"/>
        <v>10739.651686745334</v>
      </c>
      <c r="K85" s="172">
        <f t="shared" si="29"/>
        <v>7.5</v>
      </c>
      <c r="L85" s="165">
        <f t="shared" si="34"/>
        <v>3552.4647328248711</v>
      </c>
      <c r="M85" s="165">
        <f t="shared" si="35"/>
        <v>80547.387650589997</v>
      </c>
      <c r="N85" s="165">
        <f t="shared" si="36"/>
        <v>4.4104034115113225E-2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3.5016571204801801E-3</v>
      </c>
      <c r="F86" s="165">
        <f t="shared" si="28"/>
        <v>8251645.6424992401</v>
      </c>
      <c r="G86" s="165">
        <f t="shared" si="31"/>
        <v>1042660.0762499897</v>
      </c>
      <c r="H86" s="165">
        <f t="shared" si="32"/>
        <v>3.5016571204801801E-3</v>
      </c>
      <c r="I86" s="165">
        <f t="shared" si="33"/>
        <v>3.5016571204801801E-3</v>
      </c>
      <c r="J86" s="172">
        <f t="shared" si="30"/>
        <v>5971.4576718529206</v>
      </c>
      <c r="K86" s="172">
        <f t="shared" si="29"/>
        <v>4</v>
      </c>
      <c r="L86" s="165">
        <f t="shared" si="34"/>
        <v>3651.0380802411837</v>
      </c>
      <c r="M86" s="165">
        <f t="shared" si="35"/>
        <v>23885.830687411682</v>
      </c>
      <c r="N86" s="165">
        <f t="shared" si="36"/>
        <v>0.15285372018337862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2021-05-24T19:20:18Z</dcterms:modified>
</cp:coreProperties>
</file>