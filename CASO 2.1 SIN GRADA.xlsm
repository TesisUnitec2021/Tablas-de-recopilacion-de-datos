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<sst xmlns="http://schemas.openxmlformats.org/spreadsheetml/2006/main" count="3760" uniqueCount="260">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</sst>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13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15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35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5</xdr:row>
          <xdr:rowOff>0</xdr:rowOff>
        </xdr:from>
        <xdr:to>
          <xdr:col>15</xdr:col>
          <xdr:colOff>510540</xdr:colOff>
          <xdr:row>45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0</xdr:row>
          <xdr:rowOff>99060</xdr:rowOff>
        </xdr:from>
        <xdr:to>
          <xdr:col>9</xdr:col>
          <xdr:colOff>381000</xdr:colOff>
          <xdr:row>11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708660</xdr:colOff>
      <xdr:row>3</xdr:row>
      <xdr:rowOff>30480</xdr:rowOff>
    </xdr:from>
    <xdr:to>
      <xdr:col>12</xdr:col>
      <xdr:colOff>137160</xdr:colOff>
      <xdr:row>7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a1" displayName="Tabla1" ref="B5:G132" totalsRowShown="0" headerRowDxfId="11" tableBorderDxfId="12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0" name="Tabla2" displayName="Tabla2" ref="B137:G264" totalsRowShown="0" headerRowDxfId="9" tableBorderDxfId="10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1" name="Tabla3" displayName="Tabla3" ref="B269:G396" totalsRowShown="0" headerRowDxfId="7" tableBorderDxfId="8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2" name="Tabla4" displayName="Tabla4" ref="B401:G528" totalsRowShown="0" headerRowDxfId="0" tableBorderDxfId="1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848.73018227297905</v>
      </c>
      <c r="E5" s="172">
        <f t="shared" si="0"/>
        <v>848.73018227297905</v>
      </c>
      <c r="F5" s="172">
        <f t="shared" si="0"/>
        <v>16.908304498395498</v>
      </c>
      <c r="G5" s="172">
        <f t="shared" si="0"/>
        <v>8.1247837405592698</v>
      </c>
      <c r="H5" s="172">
        <f t="shared" si="0"/>
        <v>848.73018227297905</v>
      </c>
      <c r="I5" s="172">
        <f t="shared" si="0"/>
        <v>848.73018227297905</v>
      </c>
      <c r="J5" s="172">
        <f t="shared" si="0"/>
        <v>16.908304498395498</v>
      </c>
      <c r="K5" s="172">
        <f t="shared" si="0"/>
        <v>8.1247837405592698</v>
      </c>
      <c r="L5" s="172">
        <f t="shared" si="0"/>
        <v>15.5171453257487</v>
      </c>
      <c r="M5" s="172">
        <f t="shared" si="0"/>
        <v>7.9475564629126101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10171.102685334199</v>
      </c>
      <c r="E6" s="172">
        <f t="shared" si="1"/>
        <v>10171.102685334199</v>
      </c>
      <c r="F6" s="172">
        <f t="shared" si="1"/>
        <v>10.311013013486001</v>
      </c>
      <c r="G6" s="172">
        <f t="shared" si="1"/>
        <v>9.4390014189849794</v>
      </c>
      <c r="H6" s="172">
        <f t="shared" si="1"/>
        <v>10171.102685334199</v>
      </c>
      <c r="I6" s="172">
        <f t="shared" si="1"/>
        <v>10171.102685334199</v>
      </c>
      <c r="J6" s="172">
        <f t="shared" si="1"/>
        <v>10.311013013486001</v>
      </c>
      <c r="K6" s="172">
        <f t="shared" si="1"/>
        <v>9.4390014189849794</v>
      </c>
      <c r="L6" s="172">
        <f t="shared" si="1"/>
        <v>11.129336974906099</v>
      </c>
      <c r="M6" s="172">
        <f t="shared" si="1"/>
        <v>9.5827623592985507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12666.7062571971</v>
      </c>
      <c r="E7" s="172">
        <f t="shared" si="2"/>
        <v>12666.7062571971</v>
      </c>
      <c r="F7" s="172">
        <f t="shared" si="2"/>
        <v>10.2159553558835</v>
      </c>
      <c r="G7" s="172">
        <f t="shared" si="2"/>
        <v>9.5119102384259708</v>
      </c>
      <c r="H7" s="172">
        <f t="shared" si="2"/>
        <v>12666.7062571971</v>
      </c>
      <c r="I7" s="172">
        <f t="shared" si="2"/>
        <v>12666.7062571971</v>
      </c>
      <c r="J7" s="172">
        <f t="shared" si="2"/>
        <v>10.2159553558835</v>
      </c>
      <c r="K7" s="172">
        <f t="shared" si="2"/>
        <v>9.5119102384259708</v>
      </c>
      <c r="L7" s="172">
        <f t="shared" si="2"/>
        <v>11.122189001544101</v>
      </c>
      <c r="M7" s="172">
        <f t="shared" si="2"/>
        <v>9.5882401412120295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12666.7062571971</v>
      </c>
      <c r="E8" s="172">
        <f t="shared" si="3"/>
        <v>12666.7062571971</v>
      </c>
      <c r="F8" s="172">
        <f t="shared" si="3"/>
        <v>10.2159553558835</v>
      </c>
      <c r="G8" s="172">
        <f t="shared" si="3"/>
        <v>9.5119102384259708</v>
      </c>
      <c r="H8" s="172">
        <f t="shared" si="3"/>
        <v>12666.7062571971</v>
      </c>
      <c r="I8" s="172">
        <f t="shared" si="3"/>
        <v>12666.7062571971</v>
      </c>
      <c r="J8" s="172">
        <f t="shared" si="3"/>
        <v>10.2159553558835</v>
      </c>
      <c r="K8" s="172">
        <f t="shared" si="3"/>
        <v>9.5119102384259708</v>
      </c>
      <c r="L8" s="172">
        <f t="shared" si="3"/>
        <v>11.117398936377599</v>
      </c>
      <c r="M8" s="172">
        <f t="shared" si="3"/>
        <v>9.5933763727422896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12666.7062571971</v>
      </c>
      <c r="E9" s="172">
        <f t="shared" si="4"/>
        <v>12666.7062571971</v>
      </c>
      <c r="F9" s="172">
        <f t="shared" si="4"/>
        <v>10.2159553558835</v>
      </c>
      <c r="G9" s="172">
        <f t="shared" si="4"/>
        <v>9.5119102384259708</v>
      </c>
      <c r="H9" s="172">
        <f t="shared" si="4"/>
        <v>12666.7062571971</v>
      </c>
      <c r="I9" s="172">
        <f t="shared" si="4"/>
        <v>12666.7062571971</v>
      </c>
      <c r="J9" s="172">
        <f t="shared" si="4"/>
        <v>10.2159553558835</v>
      </c>
      <c r="K9" s="172">
        <f t="shared" si="4"/>
        <v>9.5119102384259708</v>
      </c>
      <c r="L9" s="172">
        <f t="shared" si="4"/>
        <v>11.1094098749321</v>
      </c>
      <c r="M9" s="172">
        <f t="shared" si="4"/>
        <v>9.5980772045556293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12666.7062571971</v>
      </c>
      <c r="E10" s="172">
        <f t="shared" si="5"/>
        <v>12666.7062571971</v>
      </c>
      <c r="F10" s="172">
        <f t="shared" si="5"/>
        <v>10.2159553558835</v>
      </c>
      <c r="G10" s="172">
        <f t="shared" si="5"/>
        <v>9.5119102384259708</v>
      </c>
      <c r="H10" s="172">
        <f t="shared" si="5"/>
        <v>12666.7062571971</v>
      </c>
      <c r="I10" s="172">
        <f t="shared" si="5"/>
        <v>12666.7062571971</v>
      </c>
      <c r="J10" s="172">
        <f t="shared" si="5"/>
        <v>10.2159553558835</v>
      </c>
      <c r="K10" s="172">
        <f t="shared" si="5"/>
        <v>9.5119102384259708</v>
      </c>
      <c r="L10" s="172">
        <f t="shared" si="5"/>
        <v>11.0975454568675</v>
      </c>
      <c r="M10" s="172">
        <f t="shared" si="5"/>
        <v>9.6022926235357602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12666.7062571971</v>
      </c>
      <c r="E11" s="172">
        <f t="shared" si="6"/>
        <v>12666.7062571971</v>
      </c>
      <c r="F11" s="172">
        <f t="shared" si="6"/>
        <v>10.2159553558835</v>
      </c>
      <c r="G11" s="172">
        <f t="shared" si="6"/>
        <v>9.5119102384259708</v>
      </c>
      <c r="H11" s="172">
        <f t="shared" si="6"/>
        <v>12666.7062571971</v>
      </c>
      <c r="I11" s="172">
        <f t="shared" si="6"/>
        <v>12666.7062571971</v>
      </c>
      <c r="J11" s="172">
        <f t="shared" si="6"/>
        <v>10.2159553558835</v>
      </c>
      <c r="K11" s="172">
        <f t="shared" si="6"/>
        <v>9.5119102384259708</v>
      </c>
      <c r="L11" s="172">
        <f t="shared" si="6"/>
        <v>11.0793500852817</v>
      </c>
      <c r="M11" s="172">
        <f t="shared" si="6"/>
        <v>9.6059707477036707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12666.7062571971</v>
      </c>
      <c r="E12" s="172">
        <f t="shared" si="7"/>
        <v>12666.7062571971</v>
      </c>
      <c r="F12" s="172">
        <f t="shared" si="7"/>
        <v>10.2159553558835</v>
      </c>
      <c r="G12" s="172">
        <f t="shared" si="7"/>
        <v>9.5119102384259708</v>
      </c>
      <c r="H12" s="172">
        <f t="shared" si="7"/>
        <v>12666.7062571971</v>
      </c>
      <c r="I12" s="172">
        <f t="shared" si="7"/>
        <v>12666.7062571971</v>
      </c>
      <c r="J12" s="172">
        <f t="shared" si="7"/>
        <v>10.2159553558835</v>
      </c>
      <c r="K12" s="172">
        <f t="shared" si="7"/>
        <v>9.5119102384259708</v>
      </c>
      <c r="L12" s="172">
        <f t="shared" si="7"/>
        <v>11.0485091699097</v>
      </c>
      <c r="M12" s="172">
        <f t="shared" si="7"/>
        <v>9.6089090963077606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12666.7062571971</v>
      </c>
      <c r="E13" s="172">
        <f t="shared" si="8"/>
        <v>12666.7062571971</v>
      </c>
      <c r="F13" s="172">
        <f t="shared" si="8"/>
        <v>10.2159553558835</v>
      </c>
      <c r="G13" s="172">
        <f t="shared" si="8"/>
        <v>9.5119102384259708</v>
      </c>
      <c r="H13" s="172">
        <f t="shared" si="8"/>
        <v>12666.7062571971</v>
      </c>
      <c r="I13" s="172">
        <f t="shared" si="8"/>
        <v>12666.7062571971</v>
      </c>
      <c r="J13" s="172">
        <f t="shared" si="8"/>
        <v>10.2159553558835</v>
      </c>
      <c r="K13" s="172">
        <f t="shared" si="8"/>
        <v>9.5119102384259708</v>
      </c>
      <c r="L13" s="172">
        <f t="shared" si="8"/>
        <v>10.9893300687391</v>
      </c>
      <c r="M13" s="172">
        <f t="shared" si="8"/>
        <v>9.6105417896904299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12666.7062571971</v>
      </c>
      <c r="E14" s="172">
        <f t="shared" si="9"/>
        <v>12666.7062571971</v>
      </c>
      <c r="F14" s="172">
        <f t="shared" si="9"/>
        <v>10.2159553558835</v>
      </c>
      <c r="G14" s="172">
        <f t="shared" si="9"/>
        <v>9.5119102384259708</v>
      </c>
      <c r="H14" s="172">
        <f t="shared" si="9"/>
        <v>12666.7062571971</v>
      </c>
      <c r="I14" s="172">
        <f t="shared" si="9"/>
        <v>12666.7062571971</v>
      </c>
      <c r="J14" s="172">
        <f t="shared" si="9"/>
        <v>10.2159553558835</v>
      </c>
      <c r="K14" s="172">
        <f t="shared" si="9"/>
        <v>9.5119102384259708</v>
      </c>
      <c r="L14" s="172">
        <f t="shared" si="9"/>
        <v>10.8590478480901</v>
      </c>
      <c r="M14" s="172">
        <f t="shared" si="9"/>
        <v>9.6093299640409207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13099.180927748301</v>
      </c>
      <c r="E15" s="172">
        <f t="shared" si="10"/>
        <v>13099.180927748301</v>
      </c>
      <c r="F15" s="172">
        <f t="shared" si="10"/>
        <v>10.249139084799699</v>
      </c>
      <c r="G15" s="172">
        <f t="shared" si="10"/>
        <v>9.5138933801617807</v>
      </c>
      <c r="H15" s="172">
        <f t="shared" si="10"/>
        <v>13099.180927748301</v>
      </c>
      <c r="I15" s="172">
        <f t="shared" si="10"/>
        <v>13099.180927748301</v>
      </c>
      <c r="J15" s="172">
        <f t="shared" si="10"/>
        <v>10.249139084799699</v>
      </c>
      <c r="K15" s="172">
        <f t="shared" si="10"/>
        <v>9.5138933801617807</v>
      </c>
      <c r="L15" s="172">
        <f t="shared" si="10"/>
        <v>10.546291158605699</v>
      </c>
      <c r="M15" s="172">
        <f t="shared" si="10"/>
        <v>9.60176566840404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13099.180927748301</v>
      </c>
      <c r="E23" s="172">
        <v>13099.180927748301</v>
      </c>
      <c r="F23" s="172">
        <v>10.249139084799699</v>
      </c>
      <c r="G23" s="172">
        <v>9.5138933801617807</v>
      </c>
      <c r="H23" s="172">
        <v>13099.180927748301</v>
      </c>
      <c r="I23" s="172">
        <v>13099.180927748301</v>
      </c>
      <c r="J23" s="172">
        <v>10.249139084799699</v>
      </c>
      <c r="K23" s="172">
        <v>9.5138933801617807</v>
      </c>
      <c r="L23" s="172">
        <v>10.546291158605699</v>
      </c>
      <c r="M23" s="172">
        <v>9.60176566840404</v>
      </c>
    </row>
    <row r="24" spans="2:15" x14ac:dyDescent="0.3">
      <c r="B24" s="172" t="s">
        <v>24</v>
      </c>
      <c r="C24" s="172" t="s">
        <v>175</v>
      </c>
      <c r="D24" s="172">
        <v>12666.7062571971</v>
      </c>
      <c r="E24" s="172">
        <v>12666.7062571971</v>
      </c>
      <c r="F24" s="172">
        <v>10.2159553558835</v>
      </c>
      <c r="G24" s="172">
        <v>9.5119102384259708</v>
      </c>
      <c r="H24" s="172">
        <v>12666.7062571971</v>
      </c>
      <c r="I24" s="172">
        <v>12666.7062571971</v>
      </c>
      <c r="J24" s="172">
        <v>10.2159553558835</v>
      </c>
      <c r="K24" s="172">
        <v>9.5119102384259708</v>
      </c>
      <c r="L24" s="172">
        <v>10.8590478480901</v>
      </c>
      <c r="M24" s="172">
        <v>9.6093299640409207</v>
      </c>
    </row>
    <row r="25" spans="2:15" x14ac:dyDescent="0.3">
      <c r="B25" s="172" t="s">
        <v>25</v>
      </c>
      <c r="C25" s="172" t="s">
        <v>176</v>
      </c>
      <c r="D25" s="172">
        <v>12666.7062571971</v>
      </c>
      <c r="E25" s="172">
        <v>12666.7062571971</v>
      </c>
      <c r="F25" s="172">
        <v>10.2159553558835</v>
      </c>
      <c r="G25" s="172">
        <v>9.5119102384259708</v>
      </c>
      <c r="H25" s="172">
        <v>12666.7062571971</v>
      </c>
      <c r="I25" s="172">
        <v>12666.7062571971</v>
      </c>
      <c r="J25" s="172">
        <v>10.2159553558835</v>
      </c>
      <c r="K25" s="172">
        <v>9.5119102384259708</v>
      </c>
      <c r="L25" s="172">
        <v>10.9893300687391</v>
      </c>
      <c r="M25" s="172">
        <v>9.6105417896904299</v>
      </c>
    </row>
    <row r="26" spans="2:15" x14ac:dyDescent="0.3">
      <c r="B26" s="172" t="s">
        <v>26</v>
      </c>
      <c r="C26" s="172" t="s">
        <v>177</v>
      </c>
      <c r="D26" s="172">
        <v>12666.7062571971</v>
      </c>
      <c r="E26" s="172">
        <v>12666.7062571971</v>
      </c>
      <c r="F26" s="172">
        <v>10.2159553558835</v>
      </c>
      <c r="G26" s="172">
        <v>9.5119102384259708</v>
      </c>
      <c r="H26" s="172">
        <v>12666.7062571971</v>
      </c>
      <c r="I26" s="172">
        <v>12666.7062571971</v>
      </c>
      <c r="J26" s="172">
        <v>10.2159553558835</v>
      </c>
      <c r="K26" s="172">
        <v>9.5119102384259708</v>
      </c>
      <c r="L26" s="172">
        <v>11.0485091699097</v>
      </c>
      <c r="M26" s="172">
        <v>9.6089090963077606</v>
      </c>
    </row>
    <row r="27" spans="2:15" x14ac:dyDescent="0.3">
      <c r="B27" s="172" t="s">
        <v>39</v>
      </c>
      <c r="C27" s="172" t="s">
        <v>178</v>
      </c>
      <c r="D27" s="172">
        <v>12666.7062571971</v>
      </c>
      <c r="E27" s="172">
        <v>12666.7062571971</v>
      </c>
      <c r="F27" s="172">
        <v>10.2159553558835</v>
      </c>
      <c r="G27" s="172">
        <v>9.5119102384259708</v>
      </c>
      <c r="H27" s="172">
        <v>12666.7062571971</v>
      </c>
      <c r="I27" s="172">
        <v>12666.7062571971</v>
      </c>
      <c r="J27" s="172">
        <v>10.2159553558835</v>
      </c>
      <c r="K27" s="172">
        <v>9.5119102384259708</v>
      </c>
      <c r="L27" s="172">
        <v>11.0793500852817</v>
      </c>
      <c r="M27" s="172">
        <v>9.6059707477036707</v>
      </c>
    </row>
    <row r="28" spans="2:15" x14ac:dyDescent="0.3">
      <c r="B28" s="172" t="s">
        <v>179</v>
      </c>
      <c r="C28" s="172" t="s">
        <v>180</v>
      </c>
      <c r="D28" s="172">
        <v>12666.7062571971</v>
      </c>
      <c r="E28" s="172">
        <v>12666.7062571971</v>
      </c>
      <c r="F28" s="172">
        <v>10.2159553558835</v>
      </c>
      <c r="G28" s="172">
        <v>9.5119102384259708</v>
      </c>
      <c r="H28" s="172">
        <v>12666.7062571971</v>
      </c>
      <c r="I28" s="172">
        <v>12666.7062571971</v>
      </c>
      <c r="J28" s="172">
        <v>10.2159553558835</v>
      </c>
      <c r="K28" s="172">
        <v>9.5119102384259708</v>
      </c>
      <c r="L28" s="172">
        <v>11.0975454568675</v>
      </c>
      <c r="M28" s="172">
        <v>9.6022926235357602</v>
      </c>
    </row>
    <row r="29" spans="2:15" x14ac:dyDescent="0.3">
      <c r="B29" s="172" t="s">
        <v>181</v>
      </c>
      <c r="C29" s="172" t="s">
        <v>182</v>
      </c>
      <c r="D29" s="172">
        <v>12666.7062571971</v>
      </c>
      <c r="E29" s="172">
        <v>12666.7062571971</v>
      </c>
      <c r="F29" s="172">
        <v>10.2159553558835</v>
      </c>
      <c r="G29" s="172">
        <v>9.5119102384259708</v>
      </c>
      <c r="H29" s="172">
        <v>12666.7062571971</v>
      </c>
      <c r="I29" s="172">
        <v>12666.7062571971</v>
      </c>
      <c r="J29" s="172">
        <v>10.2159553558835</v>
      </c>
      <c r="K29" s="172">
        <v>9.5119102384259708</v>
      </c>
      <c r="L29" s="172">
        <v>11.1094098749321</v>
      </c>
      <c r="M29" s="172">
        <v>9.5980772045556293</v>
      </c>
    </row>
    <row r="30" spans="2:15" x14ac:dyDescent="0.3">
      <c r="B30" s="172" t="s">
        <v>183</v>
      </c>
      <c r="C30" s="172" t="s">
        <v>184</v>
      </c>
      <c r="D30" s="172">
        <v>12666.7062571971</v>
      </c>
      <c r="E30" s="172">
        <v>12666.7062571971</v>
      </c>
      <c r="F30" s="172">
        <v>10.2159553558835</v>
      </c>
      <c r="G30" s="172">
        <v>9.5119102384259708</v>
      </c>
      <c r="H30" s="172">
        <v>12666.7062571971</v>
      </c>
      <c r="I30" s="172">
        <v>12666.7062571971</v>
      </c>
      <c r="J30" s="172">
        <v>10.2159553558835</v>
      </c>
      <c r="K30" s="172">
        <v>9.5119102384259708</v>
      </c>
      <c r="L30" s="172">
        <v>11.117398936377599</v>
      </c>
      <c r="M30" s="172">
        <v>9.5933763727422896</v>
      </c>
    </row>
    <row r="31" spans="2:15" x14ac:dyDescent="0.3">
      <c r="B31" s="172" t="s">
        <v>185</v>
      </c>
      <c r="C31" s="172" t="s">
        <v>186</v>
      </c>
      <c r="D31" s="172">
        <v>12666.7062571971</v>
      </c>
      <c r="E31" s="172">
        <v>12666.7062571971</v>
      </c>
      <c r="F31" s="172">
        <v>10.2159553558835</v>
      </c>
      <c r="G31" s="172">
        <v>9.5119102384259708</v>
      </c>
      <c r="H31" s="172">
        <v>12666.7062571971</v>
      </c>
      <c r="I31" s="172">
        <v>12666.7062571971</v>
      </c>
      <c r="J31" s="172">
        <v>10.2159553558835</v>
      </c>
      <c r="K31" s="172">
        <v>9.5119102384259708</v>
      </c>
      <c r="L31" s="172">
        <v>11.122189001544101</v>
      </c>
      <c r="M31" s="172">
        <v>9.5882401412120295</v>
      </c>
    </row>
    <row r="32" spans="2:15" x14ac:dyDescent="0.3">
      <c r="B32" s="172" t="s">
        <v>187</v>
      </c>
      <c r="C32" s="172" t="s">
        <v>188</v>
      </c>
      <c r="D32" s="172">
        <v>10171.102685334199</v>
      </c>
      <c r="E32" s="172">
        <v>10171.102685334199</v>
      </c>
      <c r="F32" s="172">
        <v>10.311013013486001</v>
      </c>
      <c r="G32" s="172">
        <v>9.4390014189849794</v>
      </c>
      <c r="H32" s="172">
        <v>10171.102685334199</v>
      </c>
      <c r="I32" s="172">
        <v>10171.102685334199</v>
      </c>
      <c r="J32" s="172">
        <v>10.311013013486001</v>
      </c>
      <c r="K32" s="172">
        <v>9.4390014189849794</v>
      </c>
      <c r="L32" s="172">
        <v>11.129336974906099</v>
      </c>
      <c r="M32" s="172">
        <v>9.5827623592985507</v>
      </c>
    </row>
    <row r="33" spans="2:13" x14ac:dyDescent="0.3">
      <c r="B33" s="172" t="s">
        <v>189</v>
      </c>
      <c r="C33" s="172" t="s">
        <v>190</v>
      </c>
      <c r="D33" s="172">
        <v>848.73018227297905</v>
      </c>
      <c r="E33" s="172">
        <v>848.73018227297905</v>
      </c>
      <c r="F33" s="172">
        <v>16.908304498395498</v>
      </c>
      <c r="G33" s="172">
        <v>8.1247837405592698</v>
      </c>
      <c r="H33" s="172">
        <v>848.73018227297905</v>
      </c>
      <c r="I33" s="172">
        <v>848.73018227297905</v>
      </c>
      <c r="J33" s="172">
        <v>16.908304498395498</v>
      </c>
      <c r="K33" s="172">
        <v>8.1247837405592698</v>
      </c>
      <c r="L33" s="172">
        <v>15.5171453257487</v>
      </c>
      <c r="M33" s="172">
        <v>7.9475564629126101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4.0978834433206299E-10</v>
      </c>
      <c r="G6" s="172">
        <v>1078.0868729679801</v>
      </c>
      <c r="H6" s="172">
        <v>51.599739452360701</v>
      </c>
      <c r="I6" s="172">
        <v>8629.8260962629902</v>
      </c>
      <c r="J6" s="172">
        <v>3.9904827097756301E-9</v>
      </c>
      <c r="K6" s="172">
        <v>7.0132298439561703E-9</v>
      </c>
    </row>
    <row r="7" spans="2:12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2.57286523980446E-10</v>
      </c>
      <c r="G7" s="172">
        <v>1078.0868729686399</v>
      </c>
      <c r="H7" s="172">
        <v>51.599739452376198</v>
      </c>
      <c r="I7" s="172">
        <v>8629.8260962692802</v>
      </c>
      <c r="J7" s="172">
        <v>154.79921835609699</v>
      </c>
      <c r="K7" s="172">
        <v>3234.2606189016101</v>
      </c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1.4443211048565801E-10</v>
      </c>
      <c r="G8" s="172">
        <v>56.668556932333502</v>
      </c>
      <c r="H8" s="172">
        <v>773.54471370074896</v>
      </c>
      <c r="I8" s="172">
        <v>13130.702209028699</v>
      </c>
      <c r="J8" s="172">
        <v>1.16766804844347E-9</v>
      </c>
      <c r="K8" s="172">
        <v>2.4658041161029599E-9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1.3193187141067E-10</v>
      </c>
      <c r="G9" s="172">
        <v>56.668556932344401</v>
      </c>
      <c r="H9" s="172">
        <v>773.544713701109</v>
      </c>
      <c r="I9" s="172">
        <v>13130.7022090351</v>
      </c>
      <c r="J9" s="172">
        <v>2320.6341411032899</v>
      </c>
      <c r="K9" s="172">
        <v>170.00567079669901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3.2430493550416298E-8</v>
      </c>
      <c r="G10" s="172">
        <v>16759.125848363801</v>
      </c>
      <c r="H10" s="172">
        <v>345.68628534060298</v>
      </c>
      <c r="I10" s="172">
        <v>153037.52666237799</v>
      </c>
      <c r="J10" s="172">
        <v>154.79921821489199</v>
      </c>
      <c r="K10" s="172">
        <v>3234.2606184676101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3.2135020593282903E-8</v>
      </c>
      <c r="G11" s="172">
        <v>16794.663592133798</v>
      </c>
      <c r="H11" s="172">
        <v>347.06453435370298</v>
      </c>
      <c r="I11" s="172">
        <v>153413.353065745</v>
      </c>
      <c r="J11" s="172">
        <v>1331.4229143268999</v>
      </c>
      <c r="K11" s="172">
        <v>61823.701695944801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5.3672848982480199E-9</v>
      </c>
      <c r="G12" s="172">
        <v>317.44326045936498</v>
      </c>
      <c r="H12" s="172">
        <v>14756.607109582401</v>
      </c>
      <c r="I12" s="172">
        <v>129184.05453044501</v>
      </c>
      <c r="J12" s="172">
        <v>2320.63414103897</v>
      </c>
      <c r="K12" s="172">
        <v>170.005670835861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5.3172592842580197E-9</v>
      </c>
      <c r="G13" s="172">
        <v>318.18664065446097</v>
      </c>
      <c r="H13" s="172">
        <v>14782.2103575375</v>
      </c>
      <c r="I13" s="172">
        <v>129650.872056951</v>
      </c>
      <c r="J13" s="172">
        <v>53872.433453790698</v>
      </c>
      <c r="K13" s="172">
        <v>1181.5790883683101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2.05599750388657E-7</v>
      </c>
      <c r="G14" s="172">
        <v>34070.3050770189</v>
      </c>
      <c r="H14" s="172">
        <v>641.53768700604905</v>
      </c>
      <c r="I14" s="172">
        <v>313620.934556728</v>
      </c>
      <c r="J14" s="172">
        <v>1331.4229135303201</v>
      </c>
      <c r="K14" s="172">
        <v>61823.701693196002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2.0560236113607701E-7</v>
      </c>
      <c r="G15" s="172">
        <v>34100.6660404133</v>
      </c>
      <c r="H15" s="172">
        <v>642.64544378685798</v>
      </c>
      <c r="I15" s="172">
        <v>313942.76913147798</v>
      </c>
      <c r="J15" s="172">
        <v>3553.5163729610399</v>
      </c>
      <c r="K15" s="172">
        <v>180612.66278206999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1.62602967477825E-8</v>
      </c>
      <c r="G16" s="172">
        <v>612.07084048280694</v>
      </c>
      <c r="H16" s="172">
        <v>30115.701829664002</v>
      </c>
      <c r="I16" s="172">
        <v>258628.95161578199</v>
      </c>
      <c r="J16" s="172">
        <v>53872.433453507998</v>
      </c>
      <c r="K16" s="172">
        <v>1181.5790883454799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1.6184468628732901E-8</v>
      </c>
      <c r="G17" s="172">
        <v>613.00985881165104</v>
      </c>
      <c r="H17" s="172">
        <v>30137.542311821398</v>
      </c>
      <c r="I17" s="172">
        <v>259033.32598209701</v>
      </c>
      <c r="J17" s="172">
        <v>158850.76786485099</v>
      </c>
      <c r="K17" s="172">
        <v>3259.6675979084298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2.89564011694764E-7</v>
      </c>
      <c r="G18" s="172">
        <v>48705.241736327203</v>
      </c>
      <c r="H18" s="172">
        <v>874.887812909883</v>
      </c>
      <c r="I18" s="172">
        <v>449516.64085445303</v>
      </c>
      <c r="J18" s="172">
        <v>3553.5163725553398</v>
      </c>
      <c r="K18" s="172">
        <v>180612.66278072199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2.8965829528394701E-7</v>
      </c>
      <c r="G19" s="172">
        <v>48730.895527241701</v>
      </c>
      <c r="H19" s="172">
        <v>875.82063751748103</v>
      </c>
      <c r="I19" s="172">
        <v>449788.76684546098</v>
      </c>
      <c r="J19" s="172">
        <v>6545.1612368828501</v>
      </c>
      <c r="K19" s="172">
        <v>349451.50911273097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2.03778006251932E-8</v>
      </c>
      <c r="G20" s="172">
        <v>849.40823377414699</v>
      </c>
      <c r="H20" s="172">
        <v>43026.303456214002</v>
      </c>
      <c r="I20" s="172">
        <v>369455.54412840802</v>
      </c>
      <c r="J20" s="172">
        <v>158850.76786470899</v>
      </c>
      <c r="K20" s="172">
        <v>3259.6675978942299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2.0291791794375599E-8</v>
      </c>
      <c r="G21" s="172">
        <v>850.30303806563097</v>
      </c>
      <c r="H21" s="172">
        <v>43044.763213967097</v>
      </c>
      <c r="I21" s="172">
        <v>369801.04514878802</v>
      </c>
      <c r="J21" s="172">
        <v>307873.98968125199</v>
      </c>
      <c r="K21" s="172">
        <v>6135.2015588402201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4.13850492338329E-7</v>
      </c>
      <c r="G22" s="172">
        <v>61133.102599682199</v>
      </c>
      <c r="H22" s="172">
        <v>1069.4115406288499</v>
      </c>
      <c r="I22" s="172">
        <v>564931.49803814699</v>
      </c>
      <c r="J22" s="172">
        <v>6545.1612361534799</v>
      </c>
      <c r="K22" s="172">
        <v>349451.509110671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4.13735766690124E-7</v>
      </c>
      <c r="G23" s="172">
        <v>61155.053012983997</v>
      </c>
      <c r="H23" s="172">
        <v>1070.23003729074</v>
      </c>
      <c r="I23" s="172">
        <v>565164.27616614604</v>
      </c>
      <c r="J23" s="172">
        <v>10152.098819004401</v>
      </c>
      <c r="K23" s="172">
        <v>559802.79314442095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4.6502467963317602E-8</v>
      </c>
      <c r="G24" s="172">
        <v>1049.1816146342201</v>
      </c>
      <c r="H24" s="172">
        <v>53941.552934158499</v>
      </c>
      <c r="I24" s="172">
        <v>464274.3532061</v>
      </c>
      <c r="J24" s="172">
        <v>307873.98968085402</v>
      </c>
      <c r="K24" s="172">
        <v>6135.2015588424001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4.6368853321835501E-8</v>
      </c>
      <c r="G25" s="172">
        <v>1050.0097265878101</v>
      </c>
      <c r="H25" s="172">
        <v>53957.334062147398</v>
      </c>
      <c r="I25" s="172">
        <v>464571.91351641098</v>
      </c>
      <c r="J25" s="172">
        <v>493193.86532895197</v>
      </c>
      <c r="K25" s="172">
        <v>9653.6396132751106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5.6611688883338304E-7</v>
      </c>
      <c r="G26" s="172">
        <v>71844.924691636596</v>
      </c>
      <c r="H26" s="172">
        <v>1239.03567218383</v>
      </c>
      <c r="I26" s="172">
        <v>664379.10983249103</v>
      </c>
      <c r="J26" s="172">
        <v>10152.0988182693</v>
      </c>
      <c r="K26" s="172">
        <v>559802.79314178298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5.6628046190452302E-7</v>
      </c>
      <c r="G27" s="172">
        <v>71863.963853955895</v>
      </c>
      <c r="H27" s="172">
        <v>1239.7622848639</v>
      </c>
      <c r="I27" s="172">
        <v>664580.90530392295</v>
      </c>
      <c r="J27" s="172">
        <v>14283.2013108829</v>
      </c>
      <c r="K27" s="172">
        <v>804998.02789090201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2.9955444630418897E-8</v>
      </c>
      <c r="G28" s="172">
        <v>1224.0799454235901</v>
      </c>
      <c r="H28" s="172">
        <v>63325.796890973703</v>
      </c>
      <c r="I28" s="172">
        <v>546347.51365484099</v>
      </c>
      <c r="J28" s="172">
        <v>493193.865328877</v>
      </c>
      <c r="K28" s="172">
        <v>9653.6396132167501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2.9829558638469402E-8</v>
      </c>
      <c r="G29" s="172">
        <v>1224.8320317784301</v>
      </c>
      <c r="H29" s="172">
        <v>63339.497971930199</v>
      </c>
      <c r="I29" s="172">
        <v>546606.61101734196</v>
      </c>
      <c r="J29" s="172">
        <v>708828.61356422701</v>
      </c>
      <c r="K29" s="172">
        <v>13722.9306380161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6.54646366383945E-7</v>
      </c>
      <c r="G30" s="172">
        <v>81176.420172609796</v>
      </c>
      <c r="H30" s="172">
        <v>1387.64806565189</v>
      </c>
      <c r="I30" s="172">
        <v>750985.25255960994</v>
      </c>
      <c r="J30" s="172">
        <v>14283.2013104649</v>
      </c>
      <c r="K30" s="172">
        <v>804998.02788939502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6.54811152978065E-7</v>
      </c>
      <c r="G31" s="172">
        <v>81193.010913950202</v>
      </c>
      <c r="H31" s="172">
        <v>1388.2879356241101</v>
      </c>
      <c r="I31" s="172">
        <v>751161.02310295403</v>
      </c>
      <c r="J31" s="172">
        <v>18872.524126921198</v>
      </c>
      <c r="K31" s="172">
        <v>1079808.4072332301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1.8387045167765498E-8</v>
      </c>
      <c r="G32" s="172">
        <v>1377.47837730474</v>
      </c>
      <c r="H32" s="172">
        <v>71516.8892606382</v>
      </c>
      <c r="I32" s="172">
        <v>618021.21137162298</v>
      </c>
      <c r="J32" s="172">
        <v>708828.61356423399</v>
      </c>
      <c r="K32" s="172">
        <v>13722.930637977201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1.8332035396396801E-8</v>
      </c>
      <c r="G33" s="172">
        <v>1378.14100212467</v>
      </c>
      <c r="H33" s="172">
        <v>71528.883120848797</v>
      </c>
      <c r="I33" s="172">
        <v>618247.32834147499</v>
      </c>
      <c r="J33" s="172">
        <v>950197.17724864103</v>
      </c>
      <c r="K33" s="172">
        <v>18274.624855085902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7.4582737482212298E-7</v>
      </c>
      <c r="G34" s="172">
        <v>89284.449056436497</v>
      </c>
      <c r="H34" s="172">
        <v>1516.8366099815701</v>
      </c>
      <c r="I34" s="172">
        <v>826217.53213255701</v>
      </c>
      <c r="J34" s="172">
        <v>18872.5241265115</v>
      </c>
      <c r="K34" s="172">
        <v>1079808.4072316301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7.4588717605440905E-7</v>
      </c>
      <c r="G35" s="172">
        <v>89298.700623319295</v>
      </c>
      <c r="H35" s="172">
        <v>1517.3873282665099</v>
      </c>
      <c r="I35" s="172">
        <v>826368.43457577296</v>
      </c>
      <c r="J35" s="172">
        <v>23861.3002209605</v>
      </c>
      <c r="K35" s="172">
        <v>1379878.6623029199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1.7281495364986001E-8</v>
      </c>
      <c r="G36" s="172">
        <v>1509.9099016345101</v>
      </c>
      <c r="H36" s="172">
        <v>78682.291892438996</v>
      </c>
      <c r="I36" s="172">
        <v>680313.14174452098</v>
      </c>
      <c r="J36" s="172">
        <v>950197.17724874394</v>
      </c>
      <c r="K36" s="172">
        <v>18274.624855031201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1.7194915775963801E-8</v>
      </c>
      <c r="G37" s="172">
        <v>1510.4716006982001</v>
      </c>
      <c r="H37" s="172">
        <v>78692.6560481013</v>
      </c>
      <c r="I37" s="172">
        <v>680507.00067643903</v>
      </c>
      <c r="J37" s="172">
        <v>1213617.62865013</v>
      </c>
      <c r="K37" s="172">
        <v>23244.7270605626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8.1230446426978797E-7</v>
      </c>
      <c r="G38" s="172">
        <v>96125.976051594698</v>
      </c>
      <c r="H38" s="172">
        <v>1627.78344955583</v>
      </c>
      <c r="I38" s="172">
        <v>889663.45103627199</v>
      </c>
      <c r="J38" s="172">
        <v>23861.300220630099</v>
      </c>
      <c r="K38" s="172">
        <v>1379878.66230179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8.1229838377087801E-7</v>
      </c>
      <c r="G39" s="172">
        <v>96137.543792572498</v>
      </c>
      <c r="H39" s="172">
        <v>1628.24197832917</v>
      </c>
      <c r="I39" s="172">
        <v>889785.80774848699</v>
      </c>
      <c r="J39" s="172">
        <v>29191.766972398</v>
      </c>
      <c r="K39" s="172">
        <v>1701145.1881041301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2.4647764952089498E-8</v>
      </c>
      <c r="G40" s="172">
        <v>1623.02718938659</v>
      </c>
      <c r="H40" s="172">
        <v>84776.584662568101</v>
      </c>
      <c r="I40" s="172">
        <v>732739.38794448704</v>
      </c>
      <c r="J40" s="172">
        <v>1213617.62865011</v>
      </c>
      <c r="K40" s="172">
        <v>23244.727060528799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2.4570395009004501E-8</v>
      </c>
      <c r="G41" s="172">
        <v>1623.4764679536299</v>
      </c>
      <c r="H41" s="172">
        <v>84785.049474112893</v>
      </c>
      <c r="I41" s="172">
        <v>732896.28612179903</v>
      </c>
      <c r="J41" s="172">
        <v>1495716.6386844199</v>
      </c>
      <c r="K41" s="172">
        <v>28569.236032398301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8.2763658982484003E-7</v>
      </c>
      <c r="G42" s="172">
        <v>101363.652703489</v>
      </c>
      <c r="H42" s="172">
        <v>1718.23410725026</v>
      </c>
      <c r="I42" s="172">
        <v>938186.87466887501</v>
      </c>
      <c r="J42" s="172">
        <v>29191.766972261499</v>
      </c>
      <c r="K42" s="172">
        <v>1701145.1881039201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8.2757609599517004E-7</v>
      </c>
      <c r="G43" s="172">
        <v>101371.465730314</v>
      </c>
      <c r="H43" s="172">
        <v>1718.5666803372901</v>
      </c>
      <c r="I43" s="172">
        <v>938269.37806395802</v>
      </c>
      <c r="J43" s="172">
        <v>34804.7860538104</v>
      </c>
      <c r="K43" s="172">
        <v>2039151.9453771401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1.5201655675771199E-8</v>
      </c>
      <c r="G44" s="172">
        <v>1715.85796827216</v>
      </c>
      <c r="H44" s="172">
        <v>89475.727279396204</v>
      </c>
      <c r="I44" s="172">
        <v>772855.33544019901</v>
      </c>
      <c r="J44" s="172">
        <v>1495716.6386841601</v>
      </c>
      <c r="K44" s="172">
        <v>28569.236032432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1.5240269867238501E-8</v>
      </c>
      <c r="G45" s="172">
        <v>1716.16428550205</v>
      </c>
      <c r="H45" s="172">
        <v>89481.511988753002</v>
      </c>
      <c r="I45" s="172">
        <v>772962.08467627596</v>
      </c>
      <c r="J45" s="172">
        <v>1792739.78884198</v>
      </c>
      <c r="K45" s="172">
        <v>34184.095288151599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8.4496313772428502E-7</v>
      </c>
      <c r="G46" s="172">
        <v>104299.327121011</v>
      </c>
      <c r="H46" s="172">
        <v>1775.7203796895501</v>
      </c>
      <c r="I46" s="172">
        <v>965358.86393221898</v>
      </c>
      <c r="J46" s="172">
        <v>34804.786053698503</v>
      </c>
      <c r="K46" s="172">
        <v>2039151.94537687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8.4494130601414404E-7</v>
      </c>
      <c r="G47" s="172">
        <v>104302.38796370399</v>
      </c>
      <c r="H47" s="172">
        <v>1775.8693789245001</v>
      </c>
      <c r="I47" s="172">
        <v>965391.13346031599</v>
      </c>
      <c r="J47" s="172">
        <v>41469.479794463601</v>
      </c>
      <c r="K47" s="172">
        <v>2438539.3551619998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2.3457026076540701E-8</v>
      </c>
      <c r="G48" s="172">
        <v>1775.7471058382901</v>
      </c>
      <c r="H48" s="172">
        <v>92109.097132780793</v>
      </c>
      <c r="I48" s="172">
        <v>795609.028447447</v>
      </c>
      <c r="J48" s="172">
        <v>1792739.7888418599</v>
      </c>
      <c r="K48" s="172">
        <v>34184.095288166798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2.34832563445462E-8</v>
      </c>
      <c r="G49" s="172">
        <v>1775.8692810039799</v>
      </c>
      <c r="H49" s="172">
        <v>92111.548790382498</v>
      </c>
      <c r="I49" s="172">
        <v>795654.61596643995</v>
      </c>
      <c r="J49" s="172">
        <v>2144050.5222695</v>
      </c>
      <c r="K49" s="172">
        <v>40855.840919868198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3" zoomScale="80" zoomScaleNormal="80" workbookViewId="0">
      <selection activeCell="A36" sqref="A36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1.4020084440342799</v>
      </c>
      <c r="N5" s="172">
        <v>1.49681290618739</v>
      </c>
      <c r="O5" s="172">
        <v>3293634.7020000299</v>
      </c>
      <c r="P5" s="172">
        <v>115032.28170514099</v>
      </c>
      <c r="Q5" s="172">
        <v>11289.336120099601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1.4975929029113999</v>
      </c>
      <c r="N6" s="172">
        <v>1.4324256522840699</v>
      </c>
      <c r="O6" s="172">
        <v>3293634.7020000299</v>
      </c>
      <c r="P6" s="172">
        <v>110084.026182616</v>
      </c>
      <c r="Q6" s="172">
        <v>11540.2739434499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106249.93777252155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106249.93777252155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4.0978834433206299E-10</v>
      </c>
      <c r="F15" s="172">
        <v>1078.0868729679801</v>
      </c>
      <c r="G15" s="172">
        <v>51.599739452360701</v>
      </c>
      <c r="H15" s="172">
        <v>8629.8260962629902</v>
      </c>
      <c r="I15" s="172">
        <v>3.9904827097756301E-9</v>
      </c>
      <c r="J15" s="172">
        <v>7.0132298439561703E-9</v>
      </c>
      <c r="K15" s="166"/>
      <c r="L15" s="166" t="s">
        <v>189</v>
      </c>
      <c r="M15">
        <f>+F15</f>
        <v>1078.0868729679801</v>
      </c>
      <c r="N15">
        <f>+G15</f>
        <v>51.599739452360701</v>
      </c>
      <c r="O15" s="18">
        <f t="shared" ref="O15:P19" si="0">+M15*$O$55</f>
        <v>1098.2493015829334</v>
      </c>
      <c r="P15" s="19">
        <f t="shared" si="0"/>
        <v>52.564760073003498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3.2430493550416298E-8</v>
      </c>
      <c r="F16" s="172">
        <v>16759.125848363801</v>
      </c>
      <c r="G16" s="172">
        <v>345.68628534060298</v>
      </c>
      <c r="H16" s="172">
        <v>153037.52666237799</v>
      </c>
      <c r="I16" s="172">
        <v>154.79921821489199</v>
      </c>
      <c r="J16" s="172">
        <v>3234.2606184676101</v>
      </c>
      <c r="K16" s="166"/>
      <c r="L16" s="166" t="s">
        <v>187</v>
      </c>
      <c r="M16" s="13">
        <f>+F16-F15</f>
        <v>15681.038975395821</v>
      </c>
      <c r="N16">
        <f>+G16-G15</f>
        <v>294.08654588824226</v>
      </c>
      <c r="O16" s="18">
        <f t="shared" si="0"/>
        <v>15974.306463273961</v>
      </c>
      <c r="P16" s="19">
        <f t="shared" si="0"/>
        <v>299.58656554043034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2.05599750388657E-7</v>
      </c>
      <c r="F17" s="172">
        <v>34070.3050770189</v>
      </c>
      <c r="G17" s="172">
        <v>641.53768700604905</v>
      </c>
      <c r="H17" s="172">
        <v>313620.934556728</v>
      </c>
      <c r="I17" s="172">
        <v>1331.4229135303201</v>
      </c>
      <c r="J17" s="172">
        <v>61823.701693196002</v>
      </c>
      <c r="K17" s="166"/>
      <c r="L17" s="166" t="s">
        <v>185</v>
      </c>
      <c r="M17" s="13">
        <f t="shared" ref="M17:M25" si="1">+F17-F16</f>
        <v>17311.179228655099</v>
      </c>
      <c r="N17" s="13">
        <f t="shared" ref="N17:N25" si="2">+G17-G16</f>
        <v>295.85140166544608</v>
      </c>
      <c r="O17" s="18">
        <f t="shared" si="0"/>
        <v>17634.933672002993</v>
      </c>
      <c r="P17" s="19">
        <f t="shared" si="0"/>
        <v>301.3844277288203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2.89564011694764E-7</v>
      </c>
      <c r="F18" s="172">
        <v>48705.241736327203</v>
      </c>
      <c r="G18" s="172">
        <v>874.887812909883</v>
      </c>
      <c r="H18" s="172">
        <v>449516.64085445303</v>
      </c>
      <c r="I18" s="172">
        <v>3553.5163725553398</v>
      </c>
      <c r="J18" s="172">
        <v>180612.66278072199</v>
      </c>
      <c r="K18" s="166"/>
      <c r="L18" s="166" t="s">
        <v>183</v>
      </c>
      <c r="M18" s="13">
        <f t="shared" si="1"/>
        <v>14634.936659308303</v>
      </c>
      <c r="N18" s="13">
        <f t="shared" si="2"/>
        <v>233.35012590383394</v>
      </c>
      <c r="O18" s="18">
        <f t="shared" si="0"/>
        <v>14908.639895175855</v>
      </c>
      <c r="P18" s="19">
        <f t="shared" si="0"/>
        <v>237.71425032997948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4.13850492338329E-7</v>
      </c>
      <c r="F19" s="172">
        <v>61133.102599682199</v>
      </c>
      <c r="G19" s="172">
        <v>1069.4115406288499</v>
      </c>
      <c r="H19" s="172">
        <v>564931.49803814699</v>
      </c>
      <c r="I19" s="172">
        <v>6545.1612361534799</v>
      </c>
      <c r="J19" s="172">
        <v>349451.509110671</v>
      </c>
      <c r="K19" s="166"/>
      <c r="L19" s="166" t="s">
        <v>181</v>
      </c>
      <c r="M19" s="13">
        <f t="shared" si="1"/>
        <v>12427.860863354996</v>
      </c>
      <c r="N19" s="13">
        <f t="shared" si="2"/>
        <v>194.52372771896694</v>
      </c>
      <c r="O19" s="18">
        <f t="shared" si="0"/>
        <v>12660.287269590821</v>
      </c>
      <c r="P19" s="19">
        <f t="shared" si="0"/>
        <v>198.16171912057894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5.6611688883338304E-7</v>
      </c>
      <c r="F20" s="172">
        <v>71844.924691636596</v>
      </c>
      <c r="G20" s="172">
        <v>1239.03567218383</v>
      </c>
      <c r="H20" s="172">
        <v>664379.10983249103</v>
      </c>
      <c r="I20" s="172">
        <v>10152.0988182693</v>
      </c>
      <c r="J20" s="172">
        <v>559802.79314178298</v>
      </c>
      <c r="K20" s="166"/>
      <c r="L20" s="166" t="s">
        <v>179</v>
      </c>
      <c r="M20" s="113">
        <f t="shared" si="1"/>
        <v>10711.822091954396</v>
      </c>
      <c r="N20" s="113">
        <f t="shared" si="2"/>
        <v>169.62413155498007</v>
      </c>
      <c r="O20" s="18">
        <f t="shared" ref="O20:O25" si="3">+M20*$O$55</f>
        <v>10912.155064816337</v>
      </c>
      <c r="P20" s="19">
        <f t="shared" ref="P20:P25" si="4">+N20*$O$55</f>
        <v>172.79644960244443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6.54646366383945E-7</v>
      </c>
      <c r="F21" s="172">
        <v>81176.420172609796</v>
      </c>
      <c r="G21" s="172">
        <v>1387.64806565189</v>
      </c>
      <c r="H21" s="172">
        <v>750985.25255960994</v>
      </c>
      <c r="I21" s="172">
        <v>14283.2013104649</v>
      </c>
      <c r="J21" s="172">
        <v>804998.02788939502</v>
      </c>
      <c r="K21" s="166"/>
      <c r="L21" s="166" t="s">
        <v>39</v>
      </c>
      <c r="M21" s="113">
        <f t="shared" si="1"/>
        <v>9331.4954809732008</v>
      </c>
      <c r="N21" s="113">
        <f t="shared" si="2"/>
        <v>148.61239346805996</v>
      </c>
      <c r="O21" s="18">
        <f t="shared" si="3"/>
        <v>9506.0135242065026</v>
      </c>
      <c r="P21" s="19">
        <f t="shared" si="4"/>
        <v>151.3917490559339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7.4582737482212298E-7</v>
      </c>
      <c r="F22" s="172">
        <v>89284.449056436497</v>
      </c>
      <c r="G22" s="172">
        <v>1516.8366099815701</v>
      </c>
      <c r="H22" s="172">
        <v>826217.53213255701</v>
      </c>
      <c r="I22" s="172">
        <v>18872.5241265115</v>
      </c>
      <c r="J22" s="172">
        <v>1079808.4072316301</v>
      </c>
      <c r="K22" s="166"/>
      <c r="L22" s="166" t="s">
        <v>26</v>
      </c>
      <c r="M22" s="113">
        <f t="shared" si="1"/>
        <v>8108.0288838267006</v>
      </c>
      <c r="N22" s="113">
        <f t="shared" si="2"/>
        <v>129.1885443296801</v>
      </c>
      <c r="O22" s="18">
        <f t="shared" si="3"/>
        <v>8259.665600381908</v>
      </c>
      <c r="P22" s="19">
        <f t="shared" si="4"/>
        <v>131.60463422765466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8.1230446426978797E-7</v>
      </c>
      <c r="F23" s="172">
        <v>96125.976051594698</v>
      </c>
      <c r="G23" s="172">
        <v>1627.78344955583</v>
      </c>
      <c r="H23" s="172">
        <v>889663.45103627199</v>
      </c>
      <c r="I23" s="172">
        <v>23861.300220630099</v>
      </c>
      <c r="J23" s="172">
        <v>1379878.66230179</v>
      </c>
      <c r="K23" s="166"/>
      <c r="L23" s="166" t="s">
        <v>25</v>
      </c>
      <c r="M23" s="113">
        <f t="shared" si="1"/>
        <v>6841.5269951582013</v>
      </c>
      <c r="N23" s="113">
        <f t="shared" si="2"/>
        <v>110.94683957425991</v>
      </c>
      <c r="O23" s="18">
        <f t="shared" si="3"/>
        <v>6969.4775371005198</v>
      </c>
      <c r="P23" s="19">
        <f t="shared" si="4"/>
        <v>113.02177229912681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8.2763658982484003E-7</v>
      </c>
      <c r="F24" s="172">
        <v>101363.652703489</v>
      </c>
      <c r="G24" s="172">
        <v>1718.23410725026</v>
      </c>
      <c r="H24" s="172">
        <v>938186.87466887501</v>
      </c>
      <c r="I24" s="172">
        <v>29191.766972261499</v>
      </c>
      <c r="J24" s="172">
        <v>1701145.1881039201</v>
      </c>
      <c r="K24" s="166"/>
      <c r="L24" s="166" t="s">
        <v>24</v>
      </c>
      <c r="M24" s="113">
        <f t="shared" si="1"/>
        <v>5237.6766518943041</v>
      </c>
      <c r="N24" s="113">
        <f t="shared" si="2"/>
        <v>90.450657694429992</v>
      </c>
      <c r="O24" s="18">
        <f t="shared" si="3"/>
        <v>5335.6319134320847</v>
      </c>
      <c r="P24" s="19">
        <f t="shared" si="4"/>
        <v>92.142269914805937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8.4496313772428502E-7</v>
      </c>
      <c r="F25" s="172">
        <v>104299.327121011</v>
      </c>
      <c r="G25" s="172">
        <v>1775.7203796895501</v>
      </c>
      <c r="H25" s="172">
        <v>965358.86393221898</v>
      </c>
      <c r="I25" s="172">
        <v>34804.786053698503</v>
      </c>
      <c r="J25" s="172">
        <v>2039151.94537687</v>
      </c>
      <c r="K25" s="166"/>
      <c r="L25" s="166" t="s">
        <v>22</v>
      </c>
      <c r="M25" s="113">
        <f t="shared" si="1"/>
        <v>2935.6744175219937</v>
      </c>
      <c r="N25" s="113">
        <f t="shared" si="2"/>
        <v>57.486272439290133</v>
      </c>
      <c r="O25" s="30">
        <f t="shared" si="3"/>
        <v>2990.5775309576302</v>
      </c>
      <c r="P25" s="24">
        <f t="shared" si="4"/>
        <v>58.561383261487642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1.4443211048565801E-10</v>
      </c>
      <c r="F34" s="172">
        <v>56.668556932333502</v>
      </c>
      <c r="G34" s="172">
        <v>773.54471370074896</v>
      </c>
      <c r="H34" s="172">
        <v>13130.702209028699</v>
      </c>
      <c r="I34" s="172">
        <v>1.16766804844347E-9</v>
      </c>
      <c r="J34" s="172">
        <v>2.4658041161029599E-9</v>
      </c>
      <c r="L34" s="113" t="s">
        <v>189</v>
      </c>
      <c r="M34" s="13">
        <f>+F34</f>
        <v>56.668556932333502</v>
      </c>
      <c r="N34" s="13">
        <f>+G34</f>
        <v>773.54471370074896</v>
      </c>
      <c r="O34" s="18">
        <f>+M34*$O$56</f>
        <v>65.368468860783125</v>
      </c>
      <c r="P34" s="19">
        <f>+N34*$O$56</f>
        <v>892.30141488073741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5.3672848982480199E-9</v>
      </c>
      <c r="F35" s="172">
        <v>317.44326045936498</v>
      </c>
      <c r="G35" s="172">
        <v>14756.607109582401</v>
      </c>
      <c r="H35" s="172">
        <v>129184.05453044501</v>
      </c>
      <c r="I35" s="172">
        <v>2320.63414103897</v>
      </c>
      <c r="J35" s="172">
        <v>170.005670835861</v>
      </c>
      <c r="L35" s="113" t="s">
        <v>187</v>
      </c>
      <c r="M35" s="13">
        <f>+F35-F34</f>
        <v>260.77470352703148</v>
      </c>
      <c r="N35" s="13">
        <f>+G35-G34</f>
        <v>13983.062395881652</v>
      </c>
      <c r="O35" s="18">
        <f t="shared" ref="O35:P44" si="5">+M35*$O$56</f>
        <v>300.80954959805024</v>
      </c>
      <c r="P35" s="19">
        <f t="shared" si="5"/>
        <v>16129.780398237826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1.62602967477825E-8</v>
      </c>
      <c r="F36" s="172">
        <v>612.07084048280694</v>
      </c>
      <c r="G36" s="172">
        <v>30115.701829664002</v>
      </c>
      <c r="H36" s="172">
        <v>258628.95161578199</v>
      </c>
      <c r="I36" s="172">
        <v>53872.433453507998</v>
      </c>
      <c r="J36" s="172">
        <v>1181.5790883454799</v>
      </c>
      <c r="L36" s="113" t="s">
        <v>185</v>
      </c>
      <c r="M36" s="13">
        <f t="shared" ref="M36:M44" si="6">+F36-F35</f>
        <v>294.62758002344196</v>
      </c>
      <c r="N36" s="13">
        <f t="shared" ref="N36:N44" si="7">+G36-G35</f>
        <v>15359.094720081601</v>
      </c>
      <c r="O36" s="18">
        <f t="shared" si="5"/>
        <v>339.85961232941509</v>
      </c>
      <c r="P36" s="19">
        <f t="shared" si="5"/>
        <v>17717.06497023251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2.03778006251932E-8</v>
      </c>
      <c r="F37" s="172">
        <v>849.40823377414699</v>
      </c>
      <c r="G37" s="172">
        <v>43026.303456214002</v>
      </c>
      <c r="H37" s="172">
        <v>369455.54412840802</v>
      </c>
      <c r="I37" s="172">
        <v>158850.76786470899</v>
      </c>
      <c r="J37" s="172">
        <v>3259.6675978942299</v>
      </c>
      <c r="L37" s="113" t="s">
        <v>183</v>
      </c>
      <c r="M37" s="13">
        <f t="shared" si="6"/>
        <v>237.33739329134005</v>
      </c>
      <c r="N37" s="13">
        <f t="shared" si="7"/>
        <v>12910.60162655</v>
      </c>
      <c r="O37" s="18">
        <f t="shared" si="5"/>
        <v>273.77407936097143</v>
      </c>
      <c r="P37" s="19">
        <f t="shared" si="5"/>
        <v>14892.672516909943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4.6502467963317602E-8</v>
      </c>
      <c r="F38" s="172">
        <v>1049.1816146342201</v>
      </c>
      <c r="G38" s="172">
        <v>53941.552934158499</v>
      </c>
      <c r="H38" s="172">
        <v>464274.3532061</v>
      </c>
      <c r="I38" s="172">
        <v>307873.98968085402</v>
      </c>
      <c r="J38" s="172">
        <v>6135.2015588424001</v>
      </c>
      <c r="L38" s="113" t="s">
        <v>181</v>
      </c>
      <c r="M38" s="13">
        <f t="shared" si="6"/>
        <v>199.77338086007308</v>
      </c>
      <c r="N38" s="13">
        <f t="shared" si="7"/>
        <v>10915.249477944497</v>
      </c>
      <c r="O38" s="18">
        <f t="shared" si="5"/>
        <v>230.44313695085501</v>
      </c>
      <c r="P38" s="19">
        <f t="shared" si="5"/>
        <v>12590.988446356278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2.9955444630418897E-8</v>
      </c>
      <c r="F39" s="172">
        <v>1224.0799454235901</v>
      </c>
      <c r="G39" s="172">
        <v>63325.796890973703</v>
      </c>
      <c r="H39" s="172">
        <v>546347.51365484099</v>
      </c>
      <c r="I39" s="172">
        <v>493193.865328877</v>
      </c>
      <c r="J39" s="172">
        <v>9653.6396132167501</v>
      </c>
      <c r="L39" s="113" t="s">
        <v>179</v>
      </c>
      <c r="M39" s="113">
        <f t="shared" si="6"/>
        <v>174.89833078936999</v>
      </c>
      <c r="N39" s="113">
        <f t="shared" si="7"/>
        <v>9384.243956815204</v>
      </c>
      <c r="O39" s="18">
        <f t="shared" si="5"/>
        <v>201.74920112505319</v>
      </c>
      <c r="P39" s="19">
        <f t="shared" si="5"/>
        <v>10824.938768170019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1.8387045167765498E-8</v>
      </c>
      <c r="F40" s="172">
        <v>1377.47837730474</v>
      </c>
      <c r="G40" s="172">
        <v>71516.8892606382</v>
      </c>
      <c r="H40" s="172">
        <v>618021.21137162298</v>
      </c>
      <c r="I40" s="172">
        <v>708828.61356423399</v>
      </c>
      <c r="J40" s="172">
        <v>13722.930637977201</v>
      </c>
      <c r="L40" s="13" t="s">
        <v>39</v>
      </c>
      <c r="M40" s="113">
        <f t="shared" si="6"/>
        <v>153.39843188114992</v>
      </c>
      <c r="N40" s="113">
        <f t="shared" si="7"/>
        <v>8191.0923696644968</v>
      </c>
      <c r="O40" s="18">
        <f t="shared" si="5"/>
        <v>176.94857890398373</v>
      </c>
      <c r="P40" s="19">
        <f t="shared" si="5"/>
        <v>9448.6112844123836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1.7281495364986001E-8</v>
      </c>
      <c r="F41" s="172">
        <v>1509.9099016345101</v>
      </c>
      <c r="G41" s="172">
        <v>78682.291892438996</v>
      </c>
      <c r="H41" s="172">
        <v>680313.14174452098</v>
      </c>
      <c r="I41" s="172">
        <v>950197.17724874394</v>
      </c>
      <c r="J41" s="172">
        <v>18274.624855031201</v>
      </c>
      <c r="L41" s="13" t="s">
        <v>26</v>
      </c>
      <c r="M41" s="113">
        <f t="shared" si="6"/>
        <v>132.43152432977013</v>
      </c>
      <c r="N41" s="113">
        <f t="shared" si="7"/>
        <v>7165.4026318007964</v>
      </c>
      <c r="O41" s="18">
        <f t="shared" si="5"/>
        <v>152.76277433133762</v>
      </c>
      <c r="P41" s="19">
        <f t="shared" si="5"/>
        <v>8265.4548512879574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2.4647764952089498E-8</v>
      </c>
      <c r="F42" s="172">
        <v>1623.02718938659</v>
      </c>
      <c r="G42" s="172">
        <v>84776.584662568101</v>
      </c>
      <c r="H42" s="172">
        <v>732739.38794448704</v>
      </c>
      <c r="I42" s="172">
        <v>1213617.62865011</v>
      </c>
      <c r="J42" s="172">
        <v>23244.727060528799</v>
      </c>
      <c r="L42" s="13" t="s">
        <v>25</v>
      </c>
      <c r="M42" s="113">
        <f t="shared" si="6"/>
        <v>113.11728775207985</v>
      </c>
      <c r="N42" s="113">
        <f t="shared" si="7"/>
        <v>6094.2927701291046</v>
      </c>
      <c r="O42" s="18">
        <f t="shared" si="5"/>
        <v>130.48336330264115</v>
      </c>
      <c r="P42" s="19">
        <f t="shared" si="5"/>
        <v>7029.9052726606251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1.5201655675771199E-8</v>
      </c>
      <c r="F43" s="172">
        <v>1715.85796827216</v>
      </c>
      <c r="G43" s="172">
        <v>89475.727279396204</v>
      </c>
      <c r="H43" s="172">
        <v>772855.33544019901</v>
      </c>
      <c r="I43" s="172">
        <v>1495716.6386841601</v>
      </c>
      <c r="J43" s="172">
        <v>28569.236032432</v>
      </c>
      <c r="L43" s="13" t="s">
        <v>24</v>
      </c>
      <c r="M43" s="113">
        <f t="shared" si="6"/>
        <v>92.830778885569998</v>
      </c>
      <c r="N43" s="113">
        <f t="shared" si="7"/>
        <v>4699.1426168281032</v>
      </c>
      <c r="O43" s="18">
        <f t="shared" si="5"/>
        <v>107.08241408281347</v>
      </c>
      <c r="P43" s="19">
        <f t="shared" si="5"/>
        <v>5420.5678501271459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2.3457026076540701E-8</v>
      </c>
      <c r="F44" s="172">
        <v>1775.7471058382901</v>
      </c>
      <c r="G44" s="172">
        <v>92109.097132780793</v>
      </c>
      <c r="H44" s="172">
        <v>795609.028447447</v>
      </c>
      <c r="I44" s="172">
        <v>1792739.7888418599</v>
      </c>
      <c r="J44" s="172">
        <v>34184.095288166798</v>
      </c>
      <c r="L44" s="13" t="s">
        <v>22</v>
      </c>
      <c r="M44" s="113">
        <f t="shared" si="6"/>
        <v>59.889137566130103</v>
      </c>
      <c r="N44" s="113">
        <f t="shared" si="7"/>
        <v>2633.3698533845891</v>
      </c>
      <c r="O44" s="30">
        <f t="shared" si="5"/>
        <v>69.083481846297403</v>
      </c>
      <c r="P44" s="24">
        <f t="shared" si="5"/>
        <v>3037.6519992461217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103529.0535346269</v>
      </c>
      <c r="O51" s="14" t="str">
        <f>+K10</f>
        <v>USAR TA</v>
      </c>
      <c r="P51" s="107">
        <f>+IF(O51="USAR TA",(I10),N51)</f>
        <v>106249.93777252155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99075.623564354406</v>
      </c>
      <c r="O52" s="14" t="str">
        <f>+K11</f>
        <v>USAR TA</v>
      </c>
      <c r="P52" s="107">
        <f>+IF(O52="USAR TB",(N52),I11)</f>
        <v>106249.93777252155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104299.327121011</v>
      </c>
      <c r="N55" s="16" t="str">
        <f>+IF(M55&lt;P51,"ESCALAR",N51)</f>
        <v>ESCALAR</v>
      </c>
      <c r="O55" s="14">
        <f>+IF(N55="ESCALAR",(P51/M55))</f>
        <v>1.0187020444460528</v>
      </c>
      <c r="P55" s="19">
        <f>+M55*O55</f>
        <v>106249.93777252155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92109.097132780793</v>
      </c>
      <c r="N56" s="112" t="str">
        <f>+IF(M56&lt;P52,"ESCALAR",M56)</f>
        <v>ESCALAR</v>
      </c>
      <c r="O56" s="23">
        <f>+IF(N56="ESCALAR",(P52/M56))</f>
        <v>1.1535227364063279</v>
      </c>
      <c r="P56" s="24">
        <f>+M56*O56</f>
        <v>106249.93777252155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1.4975929029113999</v>
      </c>
      <c r="E62" s="172">
        <v>1.8901137973403301E-4</v>
      </c>
      <c r="F62" s="172">
        <v>0.75678829880283804</v>
      </c>
      <c r="G62" s="172">
        <v>0</v>
      </c>
      <c r="H62" s="172">
        <v>1.8901137973403301E-4</v>
      </c>
      <c r="I62" s="172">
        <v>0.75678829880283804</v>
      </c>
      <c r="J62" s="172">
        <v>0</v>
      </c>
      <c r="K62" s="172">
        <v>0.16737444595041201</v>
      </c>
      <c r="L62" s="172">
        <v>4.63192883616663E-5</v>
      </c>
      <c r="M62" s="172">
        <v>6.7090552782784807E-2</v>
      </c>
      <c r="N62" s="172">
        <v>0.16737444595041201</v>
      </c>
      <c r="O62" s="172">
        <v>4.63192883616663E-5</v>
      </c>
      <c r="P62" s="172">
        <v>6.7090552782784807E-2</v>
      </c>
    </row>
    <row r="63" spans="2:16" x14ac:dyDescent="0.3">
      <c r="B63" s="172" t="s">
        <v>238</v>
      </c>
      <c r="C63" s="172">
        <v>2</v>
      </c>
      <c r="D63" s="172">
        <v>1.4020084440342799</v>
      </c>
      <c r="E63" s="172">
        <v>0.82130476629467997</v>
      </c>
      <c r="F63" s="172">
        <v>4.0073456217795602E-4</v>
      </c>
      <c r="G63" s="172">
        <v>0</v>
      </c>
      <c r="H63" s="172">
        <v>0.82149377767441401</v>
      </c>
      <c r="I63" s="172">
        <v>0.75718903336501597</v>
      </c>
      <c r="J63" s="172">
        <v>0</v>
      </c>
      <c r="K63" s="172">
        <v>9.8220170344158001E-5</v>
      </c>
      <c r="L63" s="172">
        <v>0.18608202812295199</v>
      </c>
      <c r="M63" s="172">
        <v>4.11816678448161E-4</v>
      </c>
      <c r="N63" s="172">
        <v>0.16747266612075601</v>
      </c>
      <c r="O63" s="172">
        <v>0.18612834741131301</v>
      </c>
      <c r="P63" s="172">
        <v>6.7502369461232906E-2</v>
      </c>
    </row>
    <row r="64" spans="2:16" x14ac:dyDescent="0.3">
      <c r="B64" s="172" t="s">
        <v>238</v>
      </c>
      <c r="C64" s="172">
        <v>3</v>
      </c>
      <c r="D64" s="172">
        <v>1.16307146074212</v>
      </c>
      <c r="E64" s="172">
        <v>6.0331988475679805E-4</v>
      </c>
      <c r="F64" s="172">
        <v>6.5606821380685396E-2</v>
      </c>
      <c r="G64" s="172">
        <v>0</v>
      </c>
      <c r="H64" s="172">
        <v>0.82209709755917004</v>
      </c>
      <c r="I64" s="172">
        <v>0.82279585474570205</v>
      </c>
      <c r="J64" s="172">
        <v>0</v>
      </c>
      <c r="K64" s="172">
        <v>1.74618516420805E-2</v>
      </c>
      <c r="L64" s="172">
        <v>1.0610916485029599E-4</v>
      </c>
      <c r="M64" s="172">
        <v>0.77006714851175195</v>
      </c>
      <c r="N64" s="172">
        <v>0.18493451776283701</v>
      </c>
      <c r="O64" s="172">
        <v>0.186234456576163</v>
      </c>
      <c r="P64" s="172">
        <v>0.83756951797298496</v>
      </c>
    </row>
    <row r="65" spans="2:16" x14ac:dyDescent="0.3">
      <c r="B65" s="172" t="s">
        <v>238</v>
      </c>
      <c r="C65" s="172">
        <v>4</v>
      </c>
      <c r="D65" s="172">
        <v>0.487394392088698</v>
      </c>
      <c r="E65" s="172">
        <v>3.9467719706967403E-5</v>
      </c>
      <c r="F65" s="172">
        <v>9.3756179729976394E-2</v>
      </c>
      <c r="G65" s="172">
        <v>0</v>
      </c>
      <c r="H65" s="172">
        <v>0.82213656527887702</v>
      </c>
      <c r="I65" s="172">
        <v>0.91655203447567801</v>
      </c>
      <c r="J65" s="172">
        <v>0</v>
      </c>
      <c r="K65" s="172">
        <v>0.54781897229993404</v>
      </c>
      <c r="L65" s="172">
        <v>2.4830468153393598E-4</v>
      </c>
      <c r="M65" s="172">
        <v>7.3231109424469303E-3</v>
      </c>
      <c r="N65" s="172">
        <v>0.73275349006277102</v>
      </c>
      <c r="O65" s="172">
        <v>0.186482761257697</v>
      </c>
      <c r="P65" s="172">
        <v>0.84489262891543104</v>
      </c>
    </row>
    <row r="66" spans="2:16" x14ac:dyDescent="0.3">
      <c r="B66" s="172" t="s">
        <v>238</v>
      </c>
      <c r="C66" s="172">
        <v>5</v>
      </c>
      <c r="D66" s="172">
        <v>0.45668924724114102</v>
      </c>
      <c r="E66" s="172">
        <v>0.105181503652047</v>
      </c>
      <c r="F66" s="172">
        <v>7.9324326874788604E-5</v>
      </c>
      <c r="G66" s="172">
        <v>0</v>
      </c>
      <c r="H66" s="172">
        <v>0.92731806893092406</v>
      </c>
      <c r="I66" s="172">
        <v>0.91663135880255298</v>
      </c>
      <c r="J66" s="172">
        <v>0</v>
      </c>
      <c r="K66" s="172">
        <v>4.6198667360811401E-4</v>
      </c>
      <c r="L66" s="172">
        <v>0.602465528715874</v>
      </c>
      <c r="M66" s="172">
        <v>4.4437251968586202E-5</v>
      </c>
      <c r="N66" s="172">
        <v>0.73321547673637899</v>
      </c>
      <c r="O66" s="172">
        <v>0.78894828997357103</v>
      </c>
      <c r="P66" s="172">
        <v>0.84493706616740005</v>
      </c>
    </row>
    <row r="67" spans="2:16" x14ac:dyDescent="0.3">
      <c r="B67" s="172" t="s">
        <v>238</v>
      </c>
      <c r="C67" s="172">
        <v>6</v>
      </c>
      <c r="D67" s="172">
        <v>0.38291969492918398</v>
      </c>
      <c r="E67" s="172">
        <v>1.05824938324185E-4</v>
      </c>
      <c r="F67" s="172">
        <v>8.0052376002635803E-3</v>
      </c>
      <c r="G67" s="172">
        <v>0</v>
      </c>
      <c r="H67" s="172">
        <v>0.92742389386924895</v>
      </c>
      <c r="I67" s="172">
        <v>0.92463659640281604</v>
      </c>
      <c r="J67" s="172">
        <v>0</v>
      </c>
      <c r="K67" s="172">
        <v>5.1151767092867499E-2</v>
      </c>
      <c r="L67" s="172">
        <v>5.4420607056299304E-4</v>
      </c>
      <c r="M67" s="172">
        <v>8.8021891953529302E-2</v>
      </c>
      <c r="N67" s="172">
        <v>0.78436724382924605</v>
      </c>
      <c r="O67" s="172">
        <v>0.78949249604413396</v>
      </c>
      <c r="P67" s="172">
        <v>0.93295895812092899</v>
      </c>
    </row>
    <row r="68" spans="2:16" x14ac:dyDescent="0.3">
      <c r="B68" s="172" t="s">
        <v>238</v>
      </c>
      <c r="C68" s="172">
        <v>7</v>
      </c>
      <c r="D68" s="172">
        <v>0.27849155017061999</v>
      </c>
      <c r="E68" s="172">
        <v>2.3526497998548799E-5</v>
      </c>
      <c r="F68" s="172">
        <v>3.2367914070693199E-2</v>
      </c>
      <c r="G68" s="172">
        <v>0</v>
      </c>
      <c r="H68" s="172">
        <v>0.92744742036724703</v>
      </c>
      <c r="I68" s="172">
        <v>0.95700451047350998</v>
      </c>
      <c r="J68" s="172">
        <v>0</v>
      </c>
      <c r="K68" s="172">
        <v>6.3809112301913995E-2</v>
      </c>
      <c r="L68" s="172">
        <v>4.7213622375238697E-5</v>
      </c>
      <c r="M68" s="172">
        <v>2.75407513767819E-3</v>
      </c>
      <c r="N68" s="172">
        <v>0.84817635613116005</v>
      </c>
      <c r="O68" s="172">
        <v>0.78953970966650999</v>
      </c>
      <c r="P68" s="172">
        <v>0.935713033258608</v>
      </c>
    </row>
    <row r="69" spans="2:16" x14ac:dyDescent="0.3">
      <c r="B69" s="172" t="s">
        <v>238</v>
      </c>
      <c r="C69" s="172">
        <v>8</v>
      </c>
      <c r="D69" s="172">
        <v>0.26007978458903902</v>
      </c>
      <c r="E69" s="172">
        <v>3.4570263631232098E-2</v>
      </c>
      <c r="F69" s="172">
        <v>5.0830043534659099E-5</v>
      </c>
      <c r="G69" s="172">
        <v>0</v>
      </c>
      <c r="H69" s="172">
        <v>0.96201768399847898</v>
      </c>
      <c r="I69" s="172">
        <v>0.957055340517044</v>
      </c>
      <c r="J69" s="172">
        <v>0</v>
      </c>
      <c r="K69" s="172">
        <v>1.02045482286784E-4</v>
      </c>
      <c r="L69" s="172">
        <v>7.0190847766287701E-2</v>
      </c>
      <c r="M69" s="172">
        <v>3.0623239732917303E-5</v>
      </c>
      <c r="N69" s="172">
        <v>0.84827840161344703</v>
      </c>
      <c r="O69" s="172">
        <v>0.85973055743279703</v>
      </c>
      <c r="P69" s="172">
        <v>0.93574365649834101</v>
      </c>
    </row>
    <row r="70" spans="2:16" x14ac:dyDescent="0.3">
      <c r="B70" s="172" t="s">
        <v>238</v>
      </c>
      <c r="C70" s="172">
        <v>9</v>
      </c>
      <c r="D70" s="172">
        <v>0.22396962702933501</v>
      </c>
      <c r="E70" s="172">
        <v>5.7623280864914497E-5</v>
      </c>
      <c r="F70" s="172">
        <v>2.6782053661498998E-3</v>
      </c>
      <c r="G70" s="172">
        <v>0</v>
      </c>
      <c r="H70" s="172">
        <v>0.96207530727934398</v>
      </c>
      <c r="I70" s="172">
        <v>0.95973354588319404</v>
      </c>
      <c r="J70" s="172">
        <v>0</v>
      </c>
      <c r="K70" s="172">
        <v>4.6743532051166702E-3</v>
      </c>
      <c r="L70" s="172">
        <v>1.29027288778092E-4</v>
      </c>
      <c r="M70" s="172">
        <v>3.0181337076235899E-2</v>
      </c>
      <c r="N70" s="172">
        <v>0.85295275481856403</v>
      </c>
      <c r="O70" s="172">
        <v>0.85985958472157498</v>
      </c>
      <c r="P70" s="172">
        <v>0.96592499357457595</v>
      </c>
    </row>
    <row r="71" spans="2:16" x14ac:dyDescent="0.3">
      <c r="B71" s="172" t="s">
        <v>238</v>
      </c>
      <c r="C71" s="172">
        <v>10</v>
      </c>
      <c r="D71" s="172">
        <v>0.190180984296137</v>
      </c>
      <c r="E71" s="172">
        <v>2.2254194934485201E-5</v>
      </c>
      <c r="F71" s="172">
        <v>1.6527566759471101E-2</v>
      </c>
      <c r="G71" s="172">
        <v>0</v>
      </c>
      <c r="H71" s="172">
        <v>0.96209756147427805</v>
      </c>
      <c r="I71" s="172">
        <v>0.97626111264266502</v>
      </c>
      <c r="J71" s="172">
        <v>0</v>
      </c>
      <c r="K71" s="172">
        <v>7.0662372235009305E-2</v>
      </c>
      <c r="L71" s="172">
        <v>9.7828654057266395E-5</v>
      </c>
      <c r="M71" s="172">
        <v>1.1695134584896901E-3</v>
      </c>
      <c r="N71" s="172">
        <v>0.92361512705357296</v>
      </c>
      <c r="O71" s="172">
        <v>0.85995741337563303</v>
      </c>
      <c r="P71" s="172">
        <v>0.96709450703306599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1098.2493020961899</v>
      </c>
      <c r="E6" s="172">
        <v>8.4820505732904905E-4</v>
      </c>
      <c r="F6" s="172">
        <v>1294792.2116316101</v>
      </c>
      <c r="G6" s="172">
        <v>52.564760059999102</v>
      </c>
      <c r="H6" s="172">
        <v>3.7242297252713499E-5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17072.555680929701</v>
      </c>
      <c r="E7" s="172">
        <v>1.0971163835740701E-3</v>
      </c>
      <c r="F7" s="172">
        <v>15561298.6338902</v>
      </c>
      <c r="G7" s="172">
        <v>352.15132626688199</v>
      </c>
      <c r="H7" s="172">
        <v>4.2615212346776601E-5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34707.4891974395</v>
      </c>
      <c r="E8" s="172">
        <v>1.5857566193531699E-3</v>
      </c>
      <c r="F8" s="172">
        <v>21887021.4847955</v>
      </c>
      <c r="G8" s="172">
        <v>653.53575268697898</v>
      </c>
      <c r="H8" s="172">
        <v>7.7212205137224595E-5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49616.128942258198</v>
      </c>
      <c r="E9" s="172">
        <v>2.0158310456027E-3</v>
      </c>
      <c r="F9" s="172">
        <v>24613237.825903099</v>
      </c>
      <c r="G9" s="172">
        <v>891.25000198467296</v>
      </c>
      <c r="H9" s="172">
        <v>1.09864901547388E-4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62276.416142411101</v>
      </c>
      <c r="E10" s="172">
        <v>2.3804982865587199E-3</v>
      </c>
      <c r="F10" s="172">
        <v>26161084.212515399</v>
      </c>
      <c r="G10" s="172">
        <v>1089.4117198720101</v>
      </c>
      <c r="H10" s="172">
        <v>1.3775885328070001E-4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73188.571089640798</v>
      </c>
      <c r="E11" s="172">
        <v>2.6849357087241799E-3</v>
      </c>
      <c r="F11" s="172">
        <v>27258965.960275501</v>
      </c>
      <c r="G11" s="172">
        <v>1262.20816943977</v>
      </c>
      <c r="H11" s="172">
        <v>1.6149717123648899E-4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82694.584545772799</v>
      </c>
      <c r="E12" s="172">
        <v>2.9601577130002402E-3</v>
      </c>
      <c r="F12" s="172">
        <v>27935871.180984601</v>
      </c>
      <c r="G12" s="172">
        <v>1413.59991739058</v>
      </c>
      <c r="H12" s="172">
        <v>1.81626507939479E-4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90954.250087735301</v>
      </c>
      <c r="E13" s="172">
        <v>3.1815319612818502E-3</v>
      </c>
      <c r="F13" s="172">
        <v>28588193.1077912</v>
      </c>
      <c r="G13" s="172">
        <v>1545.20455111873</v>
      </c>
      <c r="H13" s="172">
        <v>1.98313057705864E-4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97923.727579545099</v>
      </c>
      <c r="E14" s="172">
        <v>3.3345227915768899E-3</v>
      </c>
      <c r="F14" s="172">
        <v>29366639.156554502</v>
      </c>
      <c r="G14" s="172">
        <v>1658.2263231951799</v>
      </c>
      <c r="H14" s="172">
        <v>2.10967929544005E-4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103259.359475552</v>
      </c>
      <c r="E15" s="172">
        <v>3.3533880792635099E-3</v>
      </c>
      <c r="F15" s="172">
        <v>30792546.831689999</v>
      </c>
      <c r="G15" s="172">
        <v>1750.3685931177099</v>
      </c>
      <c r="H15" s="172">
        <v>2.1731412742661399E-4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106249.936993525</v>
      </c>
      <c r="E16" s="172">
        <v>2.8829934873375001E-3</v>
      </c>
      <c r="F16" s="172">
        <v>36854032.955741897</v>
      </c>
      <c r="G16" s="172">
        <v>1808.92997607592</v>
      </c>
      <c r="H16" s="172">
        <v>1.9724172839178801E-4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1098.2493020987699</v>
      </c>
      <c r="E17" s="172">
        <v>8.42305966328172E-4</v>
      </c>
      <c r="F17" s="172">
        <v>1303860.29068073</v>
      </c>
      <c r="G17" s="172">
        <v>52.564760049394401</v>
      </c>
      <c r="H17" s="172">
        <v>3.7171994355187897E-5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17072.555680874499</v>
      </c>
      <c r="E18" s="172">
        <v>1.10152899374318E-3</v>
      </c>
      <c r="F18" s="172">
        <v>15498961.6958325</v>
      </c>
      <c r="G18" s="172">
        <v>352.151323627615</v>
      </c>
      <c r="H18" s="172">
        <v>6.3166564941840499E-5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34707.4891970545</v>
      </c>
      <c r="E19" s="172">
        <v>1.5941952948197501E-3</v>
      </c>
      <c r="F19" s="172">
        <v>21771165.2454593</v>
      </c>
      <c r="G19" s="172">
        <v>653.53575417798402</v>
      </c>
      <c r="H19" s="172">
        <v>8.9743413415144306E-5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49616.128942278403</v>
      </c>
      <c r="E20" s="172">
        <v>2.0255266811132402E-3</v>
      </c>
      <c r="F20" s="172">
        <v>24495421.0699457</v>
      </c>
      <c r="G20" s="172">
        <v>891.25000709390304</v>
      </c>
      <c r="H20" s="172">
        <v>1.14206984639447E-4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62276.416142679001</v>
      </c>
      <c r="E21" s="172">
        <v>2.3917278979508302E-3</v>
      </c>
      <c r="F21" s="172">
        <v>26038253.0119901</v>
      </c>
      <c r="G21" s="172">
        <v>1089.4117286706501</v>
      </c>
      <c r="H21" s="172">
        <v>1.3517827679552399E-4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73188.571089946403</v>
      </c>
      <c r="E22" s="172">
        <v>2.6972234742979398E-3</v>
      </c>
      <c r="F22" s="172">
        <v>27134782.0406304</v>
      </c>
      <c r="G22" s="172">
        <v>1262.2081784152699</v>
      </c>
      <c r="H22" s="172">
        <v>1.5319119230256399E-4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82694.584546219005</v>
      </c>
      <c r="E23" s="172">
        <v>2.96495809504134E-3</v>
      </c>
      <c r="F23" s="172">
        <v>27890641.923243102</v>
      </c>
      <c r="G23" s="172">
        <v>1413.5999299593</v>
      </c>
      <c r="H23" s="172">
        <v>1.6829714736899001E-4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90954.250088179397</v>
      </c>
      <c r="E24" s="172">
        <v>3.1871549367996298E-3</v>
      </c>
      <c r="F24" s="172">
        <v>28537756.052584901</v>
      </c>
      <c r="G24" s="172">
        <v>1545.20456505077</v>
      </c>
      <c r="H24" s="172">
        <v>1.7996174600711499E-4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97923.7275799747</v>
      </c>
      <c r="E25" s="172">
        <v>3.3409278478814699E-3</v>
      </c>
      <c r="F25" s="172">
        <v>29310338.935355801</v>
      </c>
      <c r="G25" s="172">
        <v>1658.2263379124399</v>
      </c>
      <c r="H25" s="172">
        <v>1.8811089041814499E-4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103259.35947604899</v>
      </c>
      <c r="E26" s="172">
        <v>3.35528393885293E-3</v>
      </c>
      <c r="F26" s="172">
        <v>30775147.903384499</v>
      </c>
      <c r="G26" s="172">
        <v>1750.3686077596101</v>
      </c>
      <c r="H26" s="172">
        <v>1.9374499898773E-4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106249.93699400499</v>
      </c>
      <c r="E27" s="172">
        <v>2.8893023752609502E-3</v>
      </c>
      <c r="F27" s="172">
        <v>36773560.948050201</v>
      </c>
      <c r="G27" s="172">
        <v>1808.92999162665</v>
      </c>
      <c r="H27" s="172">
        <v>1.7909822246767499E-4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65.368468849143994</v>
      </c>
      <c r="E28" s="172">
        <v>2.71146275011108E-5</v>
      </c>
      <c r="F28" s="172">
        <v>0</v>
      </c>
      <c r="G28" s="172">
        <v>892.30141477849497</v>
      </c>
      <c r="H28" s="172">
        <v>6.3335757099917598E-4</v>
      </c>
      <c r="I28" s="172">
        <v>1408843.0542810301</v>
      </c>
    </row>
    <row r="29" spans="2:9" hidden="1" x14ac:dyDescent="0.3">
      <c r="B29" s="172" t="s">
        <v>187</v>
      </c>
      <c r="C29" s="172" t="s">
        <v>81</v>
      </c>
      <c r="D29" s="172">
        <v>366.17801654557701</v>
      </c>
      <c r="E29" s="172">
        <v>2.30229489162178E-5</v>
      </c>
      <c r="F29" s="172">
        <v>0</v>
      </c>
      <c r="G29" s="172">
        <v>17022.081798907999</v>
      </c>
      <c r="H29" s="172">
        <v>1.12837733185975E-3</v>
      </c>
      <c r="I29" s="172">
        <v>15085451.752963601</v>
      </c>
    </row>
    <row r="30" spans="2:9" hidden="1" x14ac:dyDescent="0.3">
      <c r="B30" s="172" t="s">
        <v>185</v>
      </c>
      <c r="C30" s="172" t="s">
        <v>81</v>
      </c>
      <c r="D30" s="172">
        <v>706.03762539589104</v>
      </c>
      <c r="E30" s="172">
        <v>3.30379556552563E-5</v>
      </c>
      <c r="F30" s="172">
        <v>0</v>
      </c>
      <c r="G30" s="172">
        <v>34739.146806600802</v>
      </c>
      <c r="H30" s="172">
        <v>1.6817220162212299E-3</v>
      </c>
      <c r="I30" s="172">
        <v>20656890.063590001</v>
      </c>
    </row>
    <row r="31" spans="2:9" hidden="1" x14ac:dyDescent="0.3">
      <c r="B31" s="172" t="s">
        <v>183</v>
      </c>
      <c r="C31" s="172" t="s">
        <v>81</v>
      </c>
      <c r="D31" s="172">
        <v>979.81170140978702</v>
      </c>
      <c r="E31" s="172">
        <v>4.2559667866894103E-5</v>
      </c>
      <c r="F31" s="172">
        <v>0</v>
      </c>
      <c r="G31" s="172">
        <v>49631.819365542397</v>
      </c>
      <c r="H31" s="172">
        <v>2.1885571228485801E-3</v>
      </c>
      <c r="I31" s="172">
        <v>22677872.488401301</v>
      </c>
    </row>
    <row r="32" spans="2:9" hidden="1" x14ac:dyDescent="0.3">
      <c r="B32" s="172" t="s">
        <v>181</v>
      </c>
      <c r="C32" s="172" t="s">
        <v>81</v>
      </c>
      <c r="D32" s="172">
        <v>1210.2548367980701</v>
      </c>
      <c r="E32" s="172">
        <v>5.08554762184045E-5</v>
      </c>
      <c r="F32" s="172">
        <v>0</v>
      </c>
      <c r="G32" s="172">
        <v>62222.807846120697</v>
      </c>
      <c r="H32" s="172">
        <v>2.6218138093264398E-3</v>
      </c>
      <c r="I32" s="172">
        <v>23732733.2798305</v>
      </c>
    </row>
    <row r="33" spans="2:9" hidden="1" x14ac:dyDescent="0.3">
      <c r="B33" s="172" t="s">
        <v>179</v>
      </c>
      <c r="C33" s="172" t="s">
        <v>81</v>
      </c>
      <c r="D33" s="172">
        <v>1412.0040354139401</v>
      </c>
      <c r="E33" s="172">
        <v>5.7966527412519603E-5</v>
      </c>
      <c r="F33" s="172">
        <v>0</v>
      </c>
      <c r="G33" s="172">
        <v>73047.746624349893</v>
      </c>
      <c r="H33" s="172">
        <v>2.98821518281221E-3</v>
      </c>
      <c r="I33" s="172">
        <v>24445276.579983301</v>
      </c>
    </row>
    <row r="34" spans="2:9" hidden="1" x14ac:dyDescent="0.3">
      <c r="B34" s="172" t="s">
        <v>39</v>
      </c>
      <c r="C34" s="172" t="s">
        <v>81</v>
      </c>
      <c r="D34" s="172">
        <v>1588.9526127925701</v>
      </c>
      <c r="E34" s="172">
        <v>6.3800504363003895E-5</v>
      </c>
      <c r="F34" s="172">
        <v>0</v>
      </c>
      <c r="G34" s="172">
        <v>82496.357937881898</v>
      </c>
      <c r="H34" s="172">
        <v>3.29474942183421E-3</v>
      </c>
      <c r="I34" s="172">
        <v>25038735.082911301</v>
      </c>
    </row>
    <row r="35" spans="2:9" hidden="1" x14ac:dyDescent="0.3">
      <c r="B35" s="172" t="s">
        <v>26</v>
      </c>
      <c r="C35" s="172" t="s">
        <v>81</v>
      </c>
      <c r="D35" s="172">
        <v>1741.7153857967</v>
      </c>
      <c r="E35" s="172">
        <v>6.8126070912092406E-5</v>
      </c>
      <c r="F35" s="172">
        <v>0</v>
      </c>
      <c r="G35" s="172">
        <v>90761.812800468906</v>
      </c>
      <c r="H35" s="172">
        <v>3.5371575407856198E-3</v>
      </c>
      <c r="I35" s="172">
        <v>25659533.609664999</v>
      </c>
    </row>
    <row r="36" spans="2:9" hidden="1" x14ac:dyDescent="0.3">
      <c r="B36" s="172" t="s">
        <v>25</v>
      </c>
      <c r="C36" s="172" t="s">
        <v>81</v>
      </c>
      <c r="D36" s="172">
        <v>1872.1987481027199</v>
      </c>
      <c r="E36" s="172">
        <v>7.0527142157584096E-5</v>
      </c>
      <c r="F36" s="172">
        <v>0</v>
      </c>
      <c r="G36" s="172">
        <v>97791.718083324304</v>
      </c>
      <c r="H36" s="172">
        <v>3.6907285446884201E-3</v>
      </c>
      <c r="I36" s="172">
        <v>26496589.196207099</v>
      </c>
    </row>
    <row r="37" spans="2:9" hidden="1" x14ac:dyDescent="0.3">
      <c r="B37" s="172" t="s">
        <v>24</v>
      </c>
      <c r="C37" s="172" t="s">
        <v>81</v>
      </c>
      <c r="D37" s="172">
        <v>1979.2811618241999</v>
      </c>
      <c r="E37" s="172">
        <v>6.9781167241651397E-5</v>
      </c>
      <c r="F37" s="172">
        <v>0</v>
      </c>
      <c r="G37" s="172">
        <v>103212.285934364</v>
      </c>
      <c r="H37" s="172">
        <v>3.4633170358981699E-3</v>
      </c>
      <c r="I37" s="172">
        <v>29801570.247407898</v>
      </c>
    </row>
    <row r="38" spans="2:9" hidden="1" x14ac:dyDescent="0.3">
      <c r="B38" s="172" t="s">
        <v>22</v>
      </c>
      <c r="C38" s="172" t="s">
        <v>81</v>
      </c>
      <c r="D38" s="172">
        <v>2048.3646433886702</v>
      </c>
      <c r="E38" s="172">
        <v>1.01463258102885E-4</v>
      </c>
      <c r="F38" s="172">
        <v>0</v>
      </c>
      <c r="G38" s="172">
        <v>106249.937940163</v>
      </c>
      <c r="H38" s="172">
        <v>3.0514532933715202E-3</v>
      </c>
      <c r="I38" s="172">
        <v>34819454.117473401</v>
      </c>
    </row>
    <row r="39" spans="2:9" x14ac:dyDescent="0.3">
      <c r="B39" s="172" t="s">
        <v>189</v>
      </c>
      <c r="C39" s="172" t="s">
        <v>82</v>
      </c>
      <c r="D39" s="172">
        <v>65.368468846453794</v>
      </c>
      <c r="E39" s="172">
        <v>3.7734593852268699E-5</v>
      </c>
      <c r="F39" s="172">
        <v>0</v>
      </c>
      <c r="G39" s="172">
        <v>892.30141478909297</v>
      </c>
      <c r="H39" s="172">
        <v>6.0078036105190601E-4</v>
      </c>
      <c r="I39" s="172">
        <v>1485237.3223831099</v>
      </c>
    </row>
    <row r="40" spans="2:9" x14ac:dyDescent="0.3">
      <c r="B40" s="172" t="s">
        <v>187</v>
      </c>
      <c r="C40" s="172" t="s">
        <v>82</v>
      </c>
      <c r="D40" s="172">
        <v>366.178016599204</v>
      </c>
      <c r="E40" s="172">
        <v>6.3223789915407594E-5</v>
      </c>
      <c r="F40" s="172">
        <v>0</v>
      </c>
      <c r="G40" s="172">
        <v>17022.081801579101</v>
      </c>
      <c r="H40" s="172">
        <v>1.05781968872201E-3</v>
      </c>
      <c r="I40" s="172">
        <v>16091666.6451388</v>
      </c>
    </row>
    <row r="41" spans="2:9" x14ac:dyDescent="0.3">
      <c r="B41" s="172" t="s">
        <v>185</v>
      </c>
      <c r="C41" s="172" t="s">
        <v>82</v>
      </c>
      <c r="D41" s="172">
        <v>706.03762578531803</v>
      </c>
      <c r="E41" s="172">
        <v>1.2114070398624701E-4</v>
      </c>
      <c r="F41" s="172">
        <v>0</v>
      </c>
      <c r="G41" s="172">
        <v>34739.146805091397</v>
      </c>
      <c r="H41" s="172">
        <v>1.55809678612393E-3</v>
      </c>
      <c r="I41" s="172">
        <v>22295885.027471099</v>
      </c>
    </row>
    <row r="42" spans="2:9" x14ac:dyDescent="0.3">
      <c r="B42" s="172" t="s">
        <v>183</v>
      </c>
      <c r="C42" s="172" t="s">
        <v>82</v>
      </c>
      <c r="D42" s="172">
        <v>979.81170138888206</v>
      </c>
      <c r="E42" s="172">
        <v>1.79104362973455E-4</v>
      </c>
      <c r="F42" s="172">
        <v>0</v>
      </c>
      <c r="G42" s="172">
        <v>49631.8193603728</v>
      </c>
      <c r="H42" s="172">
        <v>2.1004885562233701E-3</v>
      </c>
      <c r="I42" s="172">
        <v>23628702.5765137</v>
      </c>
    </row>
    <row r="43" spans="2:9" x14ac:dyDescent="0.3">
      <c r="B43" s="172" t="s">
        <v>181</v>
      </c>
      <c r="C43" s="172" t="s">
        <v>82</v>
      </c>
      <c r="D43" s="172">
        <v>1210.2548365279899</v>
      </c>
      <c r="E43" s="172">
        <v>2.29112234343831E-4</v>
      </c>
      <c r="F43" s="172">
        <v>0</v>
      </c>
      <c r="G43" s="172">
        <v>62222.8078372198</v>
      </c>
      <c r="H43" s="172">
        <v>2.5693399922178299E-3</v>
      </c>
      <c r="I43" s="172">
        <v>24217428.610337298</v>
      </c>
    </row>
    <row r="44" spans="2:9" x14ac:dyDescent="0.3">
      <c r="B44" s="172" t="s">
        <v>179</v>
      </c>
      <c r="C44" s="172" t="s">
        <v>82</v>
      </c>
      <c r="D44" s="172">
        <v>1412.0040351054399</v>
      </c>
      <c r="E44" s="172">
        <v>2.7210987126536197E-4</v>
      </c>
      <c r="F44" s="172">
        <v>0</v>
      </c>
      <c r="G44" s="172">
        <v>73047.746615270706</v>
      </c>
      <c r="H44" s="172">
        <v>2.96630350813715E-3</v>
      </c>
      <c r="I44" s="172">
        <v>24625850.4616559</v>
      </c>
    </row>
    <row r="45" spans="2:9" x14ac:dyDescent="0.3">
      <c r="B45" s="172" t="s">
        <v>39</v>
      </c>
      <c r="C45" s="172" t="s">
        <v>82</v>
      </c>
      <c r="D45" s="172">
        <v>1588.95261234179</v>
      </c>
      <c r="E45" s="172">
        <v>3.0951506436859802E-4</v>
      </c>
      <c r="F45" s="172">
        <v>0</v>
      </c>
      <c r="G45" s="172">
        <v>82496.357925168704</v>
      </c>
      <c r="H45" s="172">
        <v>3.3007199587929302E-3</v>
      </c>
      <c r="I45" s="172">
        <v>24993443.5380993</v>
      </c>
    </row>
    <row r="46" spans="2:9" x14ac:dyDescent="0.3">
      <c r="B46" s="172" t="s">
        <v>26</v>
      </c>
      <c r="C46" s="172" t="s">
        <v>82</v>
      </c>
      <c r="D46" s="172">
        <v>1741.71538534818</v>
      </c>
      <c r="E46" s="172">
        <v>3.4194684159203102E-4</v>
      </c>
      <c r="F46" s="172">
        <v>0</v>
      </c>
      <c r="G46" s="172">
        <v>90761.812786376293</v>
      </c>
      <c r="H46" s="172">
        <v>3.5744218846276198E-3</v>
      </c>
      <c r="I46" s="172">
        <v>25392025.820094701</v>
      </c>
    </row>
    <row r="47" spans="2:9" x14ac:dyDescent="0.3">
      <c r="B47" s="172" t="s">
        <v>25</v>
      </c>
      <c r="C47" s="172" t="s">
        <v>82</v>
      </c>
      <c r="D47" s="172">
        <v>1872.1987476684701</v>
      </c>
      <c r="E47" s="172">
        <v>3.6464789512434298E-4</v>
      </c>
      <c r="F47" s="172">
        <v>0</v>
      </c>
      <c r="G47" s="172">
        <v>97791.718068437796</v>
      </c>
      <c r="H47" s="172">
        <v>3.7682044303022598E-3</v>
      </c>
      <c r="I47" s="172">
        <v>25951808.050019599</v>
      </c>
    </row>
    <row r="48" spans="2:9" x14ac:dyDescent="0.3">
      <c r="B48" s="172" t="s">
        <v>24</v>
      </c>
      <c r="C48" s="172" t="s">
        <v>82</v>
      </c>
      <c r="D48" s="172">
        <v>1979.2811613224801</v>
      </c>
      <c r="E48" s="172">
        <v>3.60734880905435E-4</v>
      </c>
      <c r="F48" s="172">
        <v>0</v>
      </c>
      <c r="G48" s="172">
        <v>103212.28591955399</v>
      </c>
      <c r="H48" s="172">
        <v>3.5661260345907502E-3</v>
      </c>
      <c r="I48" s="172">
        <v>28942411.1538442</v>
      </c>
    </row>
    <row r="49" spans="2:9" x14ac:dyDescent="0.3">
      <c r="B49" s="172" t="s">
        <v>22</v>
      </c>
      <c r="C49" s="172" t="s">
        <v>82</v>
      </c>
      <c r="D49" s="172">
        <v>2048.3646429048499</v>
      </c>
      <c r="E49" s="172">
        <v>3.0263587272830601E-4</v>
      </c>
      <c r="F49" s="172">
        <v>0</v>
      </c>
      <c r="G49" s="172">
        <v>106249.937924433</v>
      </c>
      <c r="H49" s="172">
        <v>3.1297267620904699E-3</v>
      </c>
      <c r="I49" s="172">
        <v>33948630.663676299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-5.1659299060702303E-10</v>
      </c>
      <c r="H6" s="172">
        <v>-1098.2493020953</v>
      </c>
      <c r="I6" s="172">
        <v>-52.564760060008403</v>
      </c>
      <c r="J6" s="172">
        <v>8298.3064771741501</v>
      </c>
      <c r="K6" s="172">
        <v>-4.5282604332896897E-9</v>
      </c>
      <c r="L6" s="172">
        <v>9.40326572163031E-9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-3.2741809263825401E-10</v>
      </c>
      <c r="H7" s="172">
        <v>-1098.2493020961899</v>
      </c>
      <c r="I7" s="172">
        <v>-52.564760059999102</v>
      </c>
      <c r="J7" s="172">
        <v>8298.3064771841691</v>
      </c>
      <c r="K7" s="172">
        <v>157.69428017757701</v>
      </c>
      <c r="L7" s="172">
        <v>-3294.7479062811099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-4.7293724492192299E-10</v>
      </c>
      <c r="H8" s="172">
        <v>-1098.24930209796</v>
      </c>
      <c r="I8" s="172">
        <v>-52.564760049340698</v>
      </c>
      <c r="J8" s="172">
        <v>7770.2077303922997</v>
      </c>
      <c r="K8" s="172">
        <v>-4.3139891658938698E-9</v>
      </c>
      <c r="L8" s="172">
        <v>8.4974089986644702E-9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-3.2741809263825401E-10</v>
      </c>
      <c r="H9" s="172">
        <v>-1098.2493020987699</v>
      </c>
      <c r="I9" s="172">
        <v>-52.564760049394401</v>
      </c>
      <c r="J9" s="172">
        <v>7770.2077304000404</v>
      </c>
      <c r="K9" s="172">
        <v>157.69428014535299</v>
      </c>
      <c r="L9" s="172">
        <v>-3294.7479062894099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2.5465851649642001E-10</v>
      </c>
      <c r="H10" s="172">
        <v>-65.368468849112105</v>
      </c>
      <c r="I10" s="172">
        <v>-892.30141477766904</v>
      </c>
      <c r="J10" s="172">
        <v>-14718.317518403701</v>
      </c>
      <c r="K10" s="172">
        <v>1.9342678569955801E-9</v>
      </c>
      <c r="L10" s="172">
        <v>-4.2732608562801E-9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2.3283064365386999E-10</v>
      </c>
      <c r="H11" s="172">
        <v>-65.368468849143994</v>
      </c>
      <c r="I11" s="172">
        <v>-892.30141477849497</v>
      </c>
      <c r="J11" s="172">
        <v>-14718.317518419401</v>
      </c>
      <c r="K11" s="172">
        <v>2676.90424433512</v>
      </c>
      <c r="L11" s="172">
        <v>-196.10540655128801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2.1793766791233801E-10</v>
      </c>
      <c r="H12" s="172">
        <v>-65.368468846420399</v>
      </c>
      <c r="I12" s="172">
        <v>-892.30141478821702</v>
      </c>
      <c r="J12" s="172">
        <v>-14394.0811870623</v>
      </c>
      <c r="K12" s="172">
        <v>1.6864305507624499E-9</v>
      </c>
      <c r="L12" s="172">
        <v>-3.7416612030938301E-9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1.99179339688271E-10</v>
      </c>
      <c r="H13" s="172">
        <v>-65.368468846453794</v>
      </c>
      <c r="I13" s="172">
        <v>-892.30141478909297</v>
      </c>
      <c r="J13" s="172">
        <v>-14394.081187079601</v>
      </c>
      <c r="K13" s="172">
        <v>2676.9042443672802</v>
      </c>
      <c r="L13" s="172">
        <v>-196.105406542742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12085.1999999941</v>
      </c>
      <c r="H14" s="172">
        <v>1.1651081877062101E-8</v>
      </c>
      <c r="I14" s="172">
        <v>-3.3707010516081899E-9</v>
      </c>
      <c r="J14" s="172">
        <v>-1.4057337693884601E-7</v>
      </c>
      <c r="K14" s="172">
        <v>102308.759999951</v>
      </c>
      <c r="L14" s="172">
        <v>-205508.24999989901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18781.199999996301</v>
      </c>
      <c r="H15" s="172">
        <v>1.1725319382094299E-8</v>
      </c>
      <c r="I15" s="172">
        <v>-3.3650735531409699E-9</v>
      </c>
      <c r="J15" s="172">
        <v>-1.4127613212622199E-7</v>
      </c>
      <c r="K15" s="172">
        <v>154004.75999998499</v>
      </c>
      <c r="L15" s="172">
        <v>-317756.24999989901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-3.4524418879300402E-8</v>
      </c>
      <c r="H16" s="172">
        <v>-17072.555680928199</v>
      </c>
      <c r="I16" s="172">
        <v>-352.15132626686301</v>
      </c>
      <c r="J16" s="172">
        <v>170878.005121239</v>
      </c>
      <c r="K16" s="172">
        <v>157.69427982333599</v>
      </c>
      <c r="L16" s="172">
        <v>-3294.7479057286901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-3.4517142921686199E-8</v>
      </c>
      <c r="H17" s="172">
        <v>-17072.555680929701</v>
      </c>
      <c r="I17" s="172">
        <v>-352.15132626688199</v>
      </c>
      <c r="J17" s="172">
        <v>170878.005121255</v>
      </c>
      <c r="K17" s="172">
        <v>1390.2239217577901</v>
      </c>
      <c r="L17" s="172">
        <v>-63048.692788979701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-3.4133336157537997E-8</v>
      </c>
      <c r="H18" s="172">
        <v>-17072.555680873302</v>
      </c>
      <c r="I18" s="172">
        <v>-352.15132362762301</v>
      </c>
      <c r="J18" s="172">
        <v>140575.428293337</v>
      </c>
      <c r="K18" s="172">
        <v>157.69427979464899</v>
      </c>
      <c r="L18" s="172">
        <v>-3294.7479057433202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-3.4002368920482702E-8</v>
      </c>
      <c r="H19" s="172">
        <v>-17072.555680874499</v>
      </c>
      <c r="I19" s="172">
        <v>-352.151323627615</v>
      </c>
      <c r="J19" s="172">
        <v>140575.42829335001</v>
      </c>
      <c r="K19" s="172">
        <v>1390.22391249252</v>
      </c>
      <c r="L19" s="172">
        <v>-63048.692788804699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-6.4092091633938303E-9</v>
      </c>
      <c r="H20" s="172">
        <v>-366.17801654555001</v>
      </c>
      <c r="I20" s="172">
        <v>-17022.081798906998</v>
      </c>
      <c r="J20" s="172">
        <v>-193432.495608064</v>
      </c>
      <c r="K20" s="172">
        <v>2676.9042442435898</v>
      </c>
      <c r="L20" s="172">
        <v>-196.105406449871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-6.42285158392042E-9</v>
      </c>
      <c r="H21" s="172">
        <v>-366.17801654557701</v>
      </c>
      <c r="I21" s="172">
        <v>-17022.081798907999</v>
      </c>
      <c r="J21" s="172">
        <v>-193432.49560807401</v>
      </c>
      <c r="K21" s="172">
        <v>62254.190540418298</v>
      </c>
      <c r="L21" s="172">
        <v>-1477.7284643590001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-6.7232122091809296E-9</v>
      </c>
      <c r="H22" s="172">
        <v>-366.178016599138</v>
      </c>
      <c r="I22" s="172">
        <v>-17022.081801578399</v>
      </c>
      <c r="J22" s="172">
        <v>-162629.97020595599</v>
      </c>
      <c r="K22" s="172">
        <v>2676.9042442734599</v>
      </c>
      <c r="L22" s="172">
        <v>-196.105406434879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-6.71298039378598E-9</v>
      </c>
      <c r="H23" s="172">
        <v>-366.178016599204</v>
      </c>
      <c r="I23" s="172">
        <v>-17022.081801579101</v>
      </c>
      <c r="J23" s="172">
        <v>-162629.97020596301</v>
      </c>
      <c r="K23" s="172">
        <v>62254.190549798703</v>
      </c>
      <c r="L23" s="172">
        <v>-1477.7284645321499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381105.978750346</v>
      </c>
      <c r="H24" s="172">
        <v>-7.5386526532383902E-6</v>
      </c>
      <c r="I24" s="172">
        <v>-5.0800039730347602E-8</v>
      </c>
      <c r="J24" s="172">
        <v>7.1094550548878006E-5</v>
      </c>
      <c r="K24" s="172">
        <v>3592723.72289473</v>
      </c>
      <c r="L24" s="172">
        <v>-3710130.0478133499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434361.978750346</v>
      </c>
      <c r="H25" s="172">
        <v>-7.5385349873613399E-6</v>
      </c>
      <c r="I25" s="172">
        <v>-5.0795449624274598E-8</v>
      </c>
      <c r="J25" s="172">
        <v>7.1093400947575005E-5</v>
      </c>
      <c r="K25" s="172">
        <v>4102730.92289491</v>
      </c>
      <c r="L25" s="172">
        <v>-4274274.04783973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-2.15852196561173E-7</v>
      </c>
      <c r="H26" s="172">
        <v>-34707.489197438998</v>
      </c>
      <c r="I26" s="172">
        <v>-653.53575268699603</v>
      </c>
      <c r="J26" s="172">
        <v>352004.08443596301</v>
      </c>
      <c r="K26" s="172">
        <v>1390.2239201761199</v>
      </c>
      <c r="L26" s="172">
        <v>-63048.692785760897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-2.1596861188299999E-7</v>
      </c>
      <c r="H27" s="172">
        <v>-34707.4891974395</v>
      </c>
      <c r="I27" s="172">
        <v>-653.53575268697898</v>
      </c>
      <c r="J27" s="172">
        <v>352004.08443596901</v>
      </c>
      <c r="K27" s="172">
        <v>3677.5990545803602</v>
      </c>
      <c r="L27" s="172">
        <v>-184524.90497679499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-2.17775777855422E-7</v>
      </c>
      <c r="H28" s="172">
        <v>-34707.4891970545</v>
      </c>
      <c r="I28" s="172">
        <v>-653.535754177949</v>
      </c>
      <c r="J28" s="172">
        <v>288775.29858029902</v>
      </c>
      <c r="K28" s="172">
        <v>1390.22391088309</v>
      </c>
      <c r="L28" s="172">
        <v>-63048.692785548803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-2.17797605728265E-7</v>
      </c>
      <c r="H29" s="172">
        <v>-34707.4891970545</v>
      </c>
      <c r="I29" s="172">
        <v>-653.53575417798402</v>
      </c>
      <c r="J29" s="172">
        <v>288775.29858029902</v>
      </c>
      <c r="K29" s="172">
        <v>3677.59905050624</v>
      </c>
      <c r="L29" s="172">
        <v>-184524.90497523799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-2.6071575121022801E-8</v>
      </c>
      <c r="H30" s="172">
        <v>-706.03762539588195</v>
      </c>
      <c r="I30" s="172">
        <v>-34739.146806599398</v>
      </c>
      <c r="J30" s="172">
        <v>-387926.33535280399</v>
      </c>
      <c r="K30" s="172">
        <v>62254.190539970499</v>
      </c>
      <c r="L30" s="172">
        <v>-1477.7284641270101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-2.59697117144242E-8</v>
      </c>
      <c r="H31" s="172">
        <v>-706.03762539589104</v>
      </c>
      <c r="I31" s="172">
        <v>-34739.146806600802</v>
      </c>
      <c r="J31" s="172">
        <v>-387926.33535282302</v>
      </c>
      <c r="K31" s="172">
        <v>183841.20436307101</v>
      </c>
      <c r="L31" s="172">
        <v>-3948.8601530143401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-2.41798261413351E-8</v>
      </c>
      <c r="H32" s="172">
        <v>-706.03762578530097</v>
      </c>
      <c r="I32" s="172">
        <v>-34739.146805090197</v>
      </c>
      <c r="J32" s="172">
        <v>-323664.19306776399</v>
      </c>
      <c r="K32" s="172">
        <v>62254.190549375402</v>
      </c>
      <c r="L32" s="172">
        <v>-1477.72846434133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-2.4170731194317301E-8</v>
      </c>
      <c r="H33" s="172">
        <v>-706.03762578531803</v>
      </c>
      <c r="I33" s="172">
        <v>-34739.146805091397</v>
      </c>
      <c r="J33" s="172">
        <v>-323664.19306778</v>
      </c>
      <c r="K33" s="172">
        <v>183841.204367194</v>
      </c>
      <c r="L33" s="172">
        <v>-3948.8601545899801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790350.75750041101</v>
      </c>
      <c r="H34" s="172">
        <v>-2.0218248096171E-5</v>
      </c>
      <c r="I34" s="172">
        <v>3.5473682657993797E-8</v>
      </c>
      <c r="J34" s="172">
        <v>1.9276374132459799E-4</v>
      </c>
      <c r="K34" s="172">
        <v>7480766.4857869996</v>
      </c>
      <c r="L34" s="172">
        <v>-7614336.4706460498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843606.75750041101</v>
      </c>
      <c r="H35" s="172">
        <v>-2.0218223141910099E-5</v>
      </c>
      <c r="I35" s="172">
        <v>3.5477057735988598E-8</v>
      </c>
      <c r="J35" s="172">
        <v>1.9276354305475301E-4</v>
      </c>
      <c r="K35" s="172">
        <v>7990773.6857868703</v>
      </c>
      <c r="L35" s="172">
        <v>-8178480.4707168099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-3.0374212656170098E-7</v>
      </c>
      <c r="H36" s="172">
        <v>-49616.128942256997</v>
      </c>
      <c r="I36" s="172">
        <v>-891.25000198465898</v>
      </c>
      <c r="J36" s="172">
        <v>505319.65722289099</v>
      </c>
      <c r="K36" s="172">
        <v>3677.5990538156502</v>
      </c>
      <c r="L36" s="172">
        <v>-184524.90497526701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-3.0382943805307102E-7</v>
      </c>
      <c r="H37" s="172">
        <v>-49616.128942258198</v>
      </c>
      <c r="I37" s="172">
        <v>-891.25000198467296</v>
      </c>
      <c r="J37" s="172">
        <v>505319.65722290502</v>
      </c>
      <c r="K37" s="172">
        <v>6796.9740607610702</v>
      </c>
      <c r="L37" s="172">
        <v>-358181.35627316701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-3.0650335247628401E-7</v>
      </c>
      <c r="H38" s="172">
        <v>-49616.128942276999</v>
      </c>
      <c r="I38" s="172">
        <v>-891.25000709393498</v>
      </c>
      <c r="J38" s="172">
        <v>414222.055420705</v>
      </c>
      <c r="K38" s="172">
        <v>3677.5990497302801</v>
      </c>
      <c r="L38" s="172">
        <v>-184524.904973697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-3.0651062843389799E-7</v>
      </c>
      <c r="H39" s="172">
        <v>-49616.128942278403</v>
      </c>
      <c r="I39" s="172">
        <v>-891.25000709390304</v>
      </c>
      <c r="J39" s="172">
        <v>414222.05542072002</v>
      </c>
      <c r="K39" s="172">
        <v>6796.9740745588797</v>
      </c>
      <c r="L39" s="172">
        <v>-358181.35627166898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-3.4026015782728798E-8</v>
      </c>
      <c r="H40" s="172">
        <v>-979.81170140974905</v>
      </c>
      <c r="I40" s="172">
        <v>-49631.819365543</v>
      </c>
      <c r="J40" s="172">
        <v>-551539.21108349506</v>
      </c>
      <c r="K40" s="172">
        <v>183841.20436285</v>
      </c>
      <c r="L40" s="172">
        <v>-3948.8601529172101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-3.4076947486028102E-8</v>
      </c>
      <c r="H41" s="172">
        <v>-979.81170140978702</v>
      </c>
      <c r="I41" s="172">
        <v>-49631.819365542397</v>
      </c>
      <c r="J41" s="172">
        <v>-551539.21108348097</v>
      </c>
      <c r="K41" s="172">
        <v>357552.57214224897</v>
      </c>
      <c r="L41" s="172">
        <v>-7378.2011078507103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-3.1512172427028398E-8</v>
      </c>
      <c r="H42" s="172">
        <v>-979.81170138884397</v>
      </c>
      <c r="I42" s="172">
        <v>-49631.819360373796</v>
      </c>
      <c r="J42" s="172">
        <v>-459128.84487916698</v>
      </c>
      <c r="K42" s="172">
        <v>183841.20436698399</v>
      </c>
      <c r="L42" s="172">
        <v>-3948.8601545024799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-3.1433955882675899E-8</v>
      </c>
      <c r="H43" s="172">
        <v>-979.81170138888206</v>
      </c>
      <c r="I43" s="172">
        <v>-49631.8193603728</v>
      </c>
      <c r="J43" s="172">
        <v>-459128.844879148</v>
      </c>
      <c r="K43" s="172">
        <v>357552.57212829002</v>
      </c>
      <c r="L43" s="172">
        <v>-7378.2011093650899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1199595.5362504199</v>
      </c>
      <c r="H44" s="172">
        <v>-3.1497317991124901E-5</v>
      </c>
      <c r="I44" s="172">
        <v>9.7066909177101506E-8</v>
      </c>
      <c r="J44" s="172">
        <v>3.0340395824168798E-4</v>
      </c>
      <c r="K44" s="172">
        <v>11368809.248678301</v>
      </c>
      <c r="L44" s="172">
        <v>-11518542.8935239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1252851.5362504199</v>
      </c>
      <c r="H45" s="172">
        <v>-3.1497245856826298E-5</v>
      </c>
      <c r="I45" s="172">
        <v>9.7065310455946006E-8</v>
      </c>
      <c r="J45" s="172">
        <v>3.0340306420839597E-4</v>
      </c>
      <c r="K45" s="172">
        <v>11878816.448677899</v>
      </c>
      <c r="L45" s="172">
        <v>-12082686.8936341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-4.34247340308502E-7</v>
      </c>
      <c r="H46" s="172">
        <v>-62276.416142410599</v>
      </c>
      <c r="I46" s="172">
        <v>-1089.411719872</v>
      </c>
      <c r="J46" s="172">
        <v>635555.30364336004</v>
      </c>
      <c r="K46" s="172">
        <v>6796.9740594421201</v>
      </c>
      <c r="L46" s="172">
        <v>-358181.35627087398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-4.3407271732576202E-7</v>
      </c>
      <c r="H47" s="172">
        <v>-62276.416142411101</v>
      </c>
      <c r="I47" s="172">
        <v>-1089.4117198720101</v>
      </c>
      <c r="J47" s="172">
        <v>635555.30364336097</v>
      </c>
      <c r="K47" s="172">
        <v>10609.915078996301</v>
      </c>
      <c r="L47" s="172">
        <v>-576148.81276931497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-4.38882125308737E-7</v>
      </c>
      <c r="H48" s="172">
        <v>-62276.416142678303</v>
      </c>
      <c r="I48" s="172">
        <v>-1089.4117286706301</v>
      </c>
      <c r="J48" s="172">
        <v>520784.61726885103</v>
      </c>
      <c r="K48" s="172">
        <v>6796.9740732114897</v>
      </c>
      <c r="L48" s="172">
        <v>-358181.35626933997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-4.38896677223966E-7</v>
      </c>
      <c r="H49" s="172">
        <v>-62276.416142679001</v>
      </c>
      <c r="I49" s="172">
        <v>-1089.4117286706501</v>
      </c>
      <c r="J49" s="172">
        <v>520784.617268854</v>
      </c>
      <c r="K49" s="172">
        <v>10609.9151235594</v>
      </c>
      <c r="L49" s="172">
        <v>-576148.81276871497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-7.17536750016734E-8</v>
      </c>
      <c r="H50" s="172">
        <v>-1210.2548367980501</v>
      </c>
      <c r="I50" s="172">
        <v>-62222.807846120602</v>
      </c>
      <c r="J50" s="172">
        <v>-689876.13851640502</v>
      </c>
      <c r="K50" s="172">
        <v>357552.57214166701</v>
      </c>
      <c r="L50" s="172">
        <v>-7378.20110721323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-7.1673639467917396E-8</v>
      </c>
      <c r="H51" s="172">
        <v>-1210.2548367980701</v>
      </c>
      <c r="I51" s="172">
        <v>-62222.807846120697</v>
      </c>
      <c r="J51" s="172">
        <v>-689876.13851640502</v>
      </c>
      <c r="K51" s="172">
        <v>575332.39960308897</v>
      </c>
      <c r="L51" s="172">
        <v>-11614.0930360077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-6.7077053245157003E-8</v>
      </c>
      <c r="H52" s="172">
        <v>-1210.2548365279899</v>
      </c>
      <c r="I52" s="172">
        <v>-62222.807837219603</v>
      </c>
      <c r="J52" s="172">
        <v>-573665.96143674594</v>
      </c>
      <c r="K52" s="172">
        <v>357552.57212773699</v>
      </c>
      <c r="L52" s="172">
        <v>-7378.2011087642004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-6.6997017711400999E-8</v>
      </c>
      <c r="H53" s="172">
        <v>-1210.2548365279899</v>
      </c>
      <c r="I53" s="172">
        <v>-62222.8078372198</v>
      </c>
      <c r="J53" s="172">
        <v>-573665.96143674594</v>
      </c>
      <c r="K53" s="172">
        <v>575332.39955800702</v>
      </c>
      <c r="L53" s="172">
        <v>-11614.0930366134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1608840.3150003101</v>
      </c>
      <c r="H54" s="172">
        <v>-3.5936888025389601E-5</v>
      </c>
      <c r="I54" s="172">
        <v>9.2241844384943801E-8</v>
      </c>
      <c r="J54" s="172">
        <v>3.4675090091695898E-4</v>
      </c>
      <c r="K54" s="172">
        <v>15256852.011567401</v>
      </c>
      <c r="L54" s="172">
        <v>-15422749.3164386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1662096.3150003101</v>
      </c>
      <c r="H55" s="172">
        <v>-3.5936876372488802E-5</v>
      </c>
      <c r="I55" s="172">
        <v>9.2243283233983701E-8</v>
      </c>
      <c r="J55" s="172">
        <v>3.46750908647664E-4</v>
      </c>
      <c r="K55" s="172">
        <v>15766859.211567</v>
      </c>
      <c r="L55" s="172">
        <v>-15986893.3165644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-5.9555895859375596E-7</v>
      </c>
      <c r="H56" s="172">
        <v>-73188.571089641395</v>
      </c>
      <c r="I56" s="172">
        <v>-1262.20816943976</v>
      </c>
      <c r="J56" s="172">
        <v>747785.69190498802</v>
      </c>
      <c r="K56" s="172">
        <v>10609.915077694701</v>
      </c>
      <c r="L56" s="172">
        <v>-576148.81276641297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-5.9550802689045699E-7</v>
      </c>
      <c r="H57" s="172">
        <v>-73188.571089640798</v>
      </c>
      <c r="I57" s="172">
        <v>-1262.20816943977</v>
      </c>
      <c r="J57" s="172">
        <v>747785.69190498197</v>
      </c>
      <c r="K57" s="172">
        <v>15027.6436707347</v>
      </c>
      <c r="L57" s="172">
        <v>-832308.81158015796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-6.0025922721251803E-7</v>
      </c>
      <c r="H58" s="172">
        <v>-73188.571089946505</v>
      </c>
      <c r="I58" s="172">
        <v>-1262.2081784152499</v>
      </c>
      <c r="J58" s="172">
        <v>612614.54408511997</v>
      </c>
      <c r="K58" s="172">
        <v>10609.915122246</v>
      </c>
      <c r="L58" s="172">
        <v>-576148.81276581797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-6.0017191572114804E-7</v>
      </c>
      <c r="H59" s="172">
        <v>-73188.571089946403</v>
      </c>
      <c r="I59" s="172">
        <v>-1262.2081784152699</v>
      </c>
      <c r="J59" s="172">
        <v>612614.54408511799</v>
      </c>
      <c r="K59" s="172">
        <v>15027.6437467003</v>
      </c>
      <c r="L59" s="172">
        <v>-832308.811580632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-5.3805706556886401E-8</v>
      </c>
      <c r="H60" s="172">
        <v>-1412.0040354139501</v>
      </c>
      <c r="I60" s="172">
        <v>-73047.746624348598</v>
      </c>
      <c r="J60" s="172">
        <v>-808771.55137962801</v>
      </c>
      <c r="K60" s="172">
        <v>575332.39960294799</v>
      </c>
      <c r="L60" s="172">
        <v>-11614.0930364048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-5.3783878684043898E-8</v>
      </c>
      <c r="H61" s="172">
        <v>-1412.0040354139401</v>
      </c>
      <c r="I61" s="172">
        <v>-73047.746624349893</v>
      </c>
      <c r="J61" s="172">
        <v>-808771.55137964606</v>
      </c>
      <c r="K61" s="172">
        <v>830999.51278816897</v>
      </c>
      <c r="L61" s="172">
        <v>-16556.1071603538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-4.9058144213631703E-8</v>
      </c>
      <c r="H62" s="172">
        <v>-1412.0040351054199</v>
      </c>
      <c r="I62" s="172">
        <v>-73047.746615270502</v>
      </c>
      <c r="J62" s="172">
        <v>-672106.69065302797</v>
      </c>
      <c r="K62" s="172">
        <v>575332.39955788106</v>
      </c>
      <c r="L62" s="172">
        <v>-11614.093037013499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-4.9116351874545197E-8</v>
      </c>
      <c r="H63" s="172">
        <v>-1412.0040351054399</v>
      </c>
      <c r="I63" s="172">
        <v>-73047.746615270706</v>
      </c>
      <c r="J63" s="172">
        <v>-672106.69065302797</v>
      </c>
      <c r="K63" s="172">
        <v>830999.51271132706</v>
      </c>
      <c r="L63" s="172">
        <v>-16556.1071598817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2018085.0937497399</v>
      </c>
      <c r="H64" s="172">
        <v>-4.2126900268613099E-5</v>
      </c>
      <c r="I64" s="172">
        <v>9.4597680799779495E-8</v>
      </c>
      <c r="J64" s="172">
        <v>4.0640870975039401E-4</v>
      </c>
      <c r="K64" s="172">
        <v>19144894.774454299</v>
      </c>
      <c r="L64" s="172">
        <v>-19326955.739360999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2071341.0937497399</v>
      </c>
      <c r="H65" s="172">
        <v>-4.2126916241613799E-5</v>
      </c>
      <c r="I65" s="172">
        <v>9.4597737643198303E-8</v>
      </c>
      <c r="J65" s="172">
        <v>4.06408856179041E-4</v>
      </c>
      <c r="K65" s="172">
        <v>19654901.974454001</v>
      </c>
      <c r="L65" s="172">
        <v>-19891099.739508498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-6.8926601670682399E-7</v>
      </c>
      <c r="H66" s="172">
        <v>-82694.584545772203</v>
      </c>
      <c r="I66" s="172">
        <v>-1413.59991739059</v>
      </c>
      <c r="J66" s="172">
        <v>845544.42557237402</v>
      </c>
      <c r="K66" s="172">
        <v>15027.6436700124</v>
      </c>
      <c r="L66" s="172">
        <v>-832308.81157852605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-6.8914960138499705E-7</v>
      </c>
      <c r="H67" s="172">
        <v>-82694.584545772799</v>
      </c>
      <c r="I67" s="172">
        <v>-1413.59991739058</v>
      </c>
      <c r="J67" s="172">
        <v>845544.42557237798</v>
      </c>
      <c r="K67" s="172">
        <v>19975.243380880402</v>
      </c>
      <c r="L67" s="172">
        <v>-1121739.85748873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-6.9332600105553897E-7</v>
      </c>
      <c r="H68" s="172">
        <v>-82694.584546218699</v>
      </c>
      <c r="I68" s="172">
        <v>-1413.59992995928</v>
      </c>
      <c r="J68" s="172">
        <v>692603.28110678797</v>
      </c>
      <c r="K68" s="172">
        <v>15027.643745978001</v>
      </c>
      <c r="L68" s="172">
        <v>-832308.81157901301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-6.9342786446213701E-7</v>
      </c>
      <c r="H69" s="172">
        <v>-82694.584546219005</v>
      </c>
      <c r="I69" s="172">
        <v>-1413.5999299593</v>
      </c>
      <c r="J69" s="172">
        <v>692603.28110679099</v>
      </c>
      <c r="K69" s="172">
        <v>19975.243500835099</v>
      </c>
      <c r="L69" s="172">
        <v>-1121739.8574907801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-3.9268343243747903E-8</v>
      </c>
      <c r="H70" s="172">
        <v>-1588.9526127925601</v>
      </c>
      <c r="I70" s="172">
        <v>-82496.357937881199</v>
      </c>
      <c r="J70" s="172">
        <v>-912541.21119407797</v>
      </c>
      <c r="K70" s="172">
        <v>830999.512788155</v>
      </c>
      <c r="L70" s="172">
        <v>-16556.107160677901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-3.9231963455676999E-8</v>
      </c>
      <c r="H71" s="172">
        <v>-1588.9526127925701</v>
      </c>
      <c r="I71" s="172">
        <v>-82496.357937881898</v>
      </c>
      <c r="J71" s="172">
        <v>-912541.21119408903</v>
      </c>
      <c r="K71" s="172">
        <v>1119736.76557074</v>
      </c>
      <c r="L71" s="172">
        <v>-22117.441305452401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-3.5066477721557001E-8</v>
      </c>
      <c r="H72" s="172">
        <v>-1588.95261234179</v>
      </c>
      <c r="I72" s="172">
        <v>-82496.357925168093</v>
      </c>
      <c r="J72" s="172">
        <v>-758023.97597777005</v>
      </c>
      <c r="K72" s="172">
        <v>830999.51271131705</v>
      </c>
      <c r="L72" s="172">
        <v>-16556.1071601966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-3.5091943573206703E-8</v>
      </c>
      <c r="H73" s="172">
        <v>-1588.95261234179</v>
      </c>
      <c r="I73" s="172">
        <v>-82496.357925168704</v>
      </c>
      <c r="J73" s="172">
        <v>-758023.97597777797</v>
      </c>
      <c r="K73" s="172">
        <v>1119736.7654494101</v>
      </c>
      <c r="L73" s="172">
        <v>-22117.441303392501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2427329.8724995898</v>
      </c>
      <c r="H74" s="172">
        <v>-4.5274746014456502E-5</v>
      </c>
      <c r="I74" s="172">
        <v>3.1722407811685103E-8</v>
      </c>
      <c r="J74" s="172">
        <v>4.3580359852057898E-4</v>
      </c>
      <c r="K74" s="172">
        <v>23032937.537344798</v>
      </c>
      <c r="L74" s="172">
        <v>-23231162.162312999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2480585.8724995898</v>
      </c>
      <c r="H75" s="172">
        <v>-4.5274726630850603E-5</v>
      </c>
      <c r="I75" s="172">
        <v>3.1721839377496501E-8</v>
      </c>
      <c r="J75" s="172">
        <v>4.3580333476711498E-4</v>
      </c>
      <c r="K75" s="172">
        <v>23542944.737344701</v>
      </c>
      <c r="L75" s="172">
        <v>-23795306.162471499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-7.8618177212774796E-7</v>
      </c>
      <c r="H76" s="172">
        <v>-90954.250087735898</v>
      </c>
      <c r="I76" s="172">
        <v>-1545.20455111876</v>
      </c>
      <c r="J76" s="172">
        <v>930485.16860222805</v>
      </c>
      <c r="K76" s="172">
        <v>19975.2433801835</v>
      </c>
      <c r="L76" s="172">
        <v>-1121739.8574870101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-7.8600714914500703E-7</v>
      </c>
      <c r="H77" s="172">
        <v>-90954.250087735301</v>
      </c>
      <c r="I77" s="172">
        <v>-1545.20455111873</v>
      </c>
      <c r="J77" s="172">
        <v>930485.16860222199</v>
      </c>
      <c r="K77" s="172">
        <v>25383.459309100799</v>
      </c>
      <c r="L77" s="172">
        <v>-1440079.7327940799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-7.8890298027545203E-7</v>
      </c>
      <c r="H78" s="172">
        <v>-90954.250088179906</v>
      </c>
      <c r="I78" s="172">
        <v>-1545.20456505071</v>
      </c>
      <c r="J78" s="172">
        <v>762103.99839176005</v>
      </c>
      <c r="K78" s="172">
        <v>19975.2435001419</v>
      </c>
      <c r="L78" s="172">
        <v>-1121739.8574890799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-7.8872835729271205E-7</v>
      </c>
      <c r="H79" s="172">
        <v>-90954.250088179397</v>
      </c>
      <c r="I79" s="172">
        <v>-1545.20456505077</v>
      </c>
      <c r="J79" s="172">
        <v>762103.99839175295</v>
      </c>
      <c r="K79" s="172">
        <v>25383.459477821401</v>
      </c>
      <c r="L79" s="172">
        <v>-1440079.73279771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-5.9153535403311302E-9</v>
      </c>
      <c r="H80" s="172">
        <v>-1741.7153857967101</v>
      </c>
      <c r="I80" s="172">
        <v>-90761.8128004678</v>
      </c>
      <c r="J80" s="172">
        <v>-1003338.03902845</v>
      </c>
      <c r="K80" s="172">
        <v>1119736.7655708599</v>
      </c>
      <c r="L80" s="172">
        <v>-22117.4413061058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-5.9662852436304101E-9</v>
      </c>
      <c r="H81" s="172">
        <v>-1741.7153857967</v>
      </c>
      <c r="I81" s="172">
        <v>-90761.812800468906</v>
      </c>
      <c r="J81" s="172">
        <v>-1003338.03902846</v>
      </c>
      <c r="K81" s="172">
        <v>1437403.1103725</v>
      </c>
      <c r="L81" s="172">
        <v>-28213.445156393602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-3.1905074138194302E-9</v>
      </c>
      <c r="H82" s="172">
        <v>-1741.7153853482</v>
      </c>
      <c r="I82" s="172">
        <v>-90761.812786375507</v>
      </c>
      <c r="J82" s="172">
        <v>-833200.05246911501</v>
      </c>
      <c r="K82" s="172">
        <v>1119736.76544952</v>
      </c>
      <c r="L82" s="172">
        <v>-22117.441304018601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-3.17959347739816E-9</v>
      </c>
      <c r="H83" s="172">
        <v>-1741.71538534818</v>
      </c>
      <c r="I83" s="172">
        <v>-90761.812786376293</v>
      </c>
      <c r="J83" s="172">
        <v>-833200.05246912595</v>
      </c>
      <c r="K83" s="172">
        <v>1437403.1102018401</v>
      </c>
      <c r="L83" s="172">
        <v>-28213.4451527374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2836574.6512491601</v>
      </c>
      <c r="H84" s="172">
        <v>-4.7472779101553897E-5</v>
      </c>
      <c r="I84" s="172">
        <v>-4.5416115312946204E-9</v>
      </c>
      <c r="J84" s="172">
        <v>4.5625508710145401E-4</v>
      </c>
      <c r="K84" s="172">
        <v>26920980.300233498</v>
      </c>
      <c r="L84" s="172">
        <v>-27135368.5852715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2889830.6512491601</v>
      </c>
      <c r="H85" s="172">
        <v>-4.7472802350512197E-5</v>
      </c>
      <c r="I85" s="172">
        <v>-4.5440629037329902E-9</v>
      </c>
      <c r="J85" s="172">
        <v>4.5625528355230899E-4</v>
      </c>
      <c r="K85" s="172">
        <v>27430987.500233501</v>
      </c>
      <c r="L85" s="172">
        <v>-27699512.5854376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-8.5702049545943705E-7</v>
      </c>
      <c r="H86" s="172">
        <v>-97923.727579544502</v>
      </c>
      <c r="I86" s="172">
        <v>-1658.2263231951899</v>
      </c>
      <c r="J86" s="172">
        <v>1002135.80773874</v>
      </c>
      <c r="K86" s="172">
        <v>25383.4593085372</v>
      </c>
      <c r="L86" s="172">
        <v>-1440079.7327928699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-8.5690408013761001E-7</v>
      </c>
      <c r="H87" s="172">
        <v>-97923.727579545099</v>
      </c>
      <c r="I87" s="172">
        <v>-1658.2263231951799</v>
      </c>
      <c r="J87" s="172">
        <v>1002135.80773875</v>
      </c>
      <c r="K87" s="172">
        <v>31187.251439722</v>
      </c>
      <c r="L87" s="172">
        <v>-1782812.7793212701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-8.5860665421932904E-7</v>
      </c>
      <c r="H88" s="172">
        <v>-97923.727579974293</v>
      </c>
      <c r="I88" s="172">
        <v>-1658.2263379124199</v>
      </c>
      <c r="J88" s="172">
        <v>820730.19710340805</v>
      </c>
      <c r="K88" s="172">
        <v>25383.459477261498</v>
      </c>
      <c r="L88" s="172">
        <v>-1440079.73279651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-8.5847568698227395E-7</v>
      </c>
      <c r="H89" s="172">
        <v>-97923.7275799747</v>
      </c>
      <c r="I89" s="172">
        <v>-1658.2263379124399</v>
      </c>
      <c r="J89" s="172">
        <v>820730.19710341201</v>
      </c>
      <c r="K89" s="172">
        <v>31187.251659956099</v>
      </c>
      <c r="L89" s="172">
        <v>-1782812.7793264301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4.3437466956675102E-9</v>
      </c>
      <c r="H90" s="172">
        <v>-1872.1987481027099</v>
      </c>
      <c r="I90" s="172">
        <v>-97791.718083323794</v>
      </c>
      <c r="J90" s="172">
        <v>-1080556.4162072099</v>
      </c>
      <c r="K90" s="172">
        <v>1437403.11037246</v>
      </c>
      <c r="L90" s="172">
        <v>-28213.445156645201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4.3801264837384199E-9</v>
      </c>
      <c r="H91" s="172">
        <v>-1872.1987481027199</v>
      </c>
      <c r="I91" s="172">
        <v>-97791.718083324304</v>
      </c>
      <c r="J91" s="172">
        <v>-1080556.4162072199</v>
      </c>
      <c r="K91" s="172">
        <v>1779674.1236641</v>
      </c>
      <c r="L91" s="172">
        <v>-34766.140775005202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5.96264726482332E-9</v>
      </c>
      <c r="H92" s="172">
        <v>-1872.1987476684601</v>
      </c>
      <c r="I92" s="172">
        <v>-97791.718068437607</v>
      </c>
      <c r="J92" s="172">
        <v>-897133.78037120099</v>
      </c>
      <c r="K92" s="172">
        <v>1437403.1102018</v>
      </c>
      <c r="L92" s="172">
        <v>-28213.4451529705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5.9444573707878598E-9</v>
      </c>
      <c r="H93" s="172">
        <v>-1872.1987476684701</v>
      </c>
      <c r="I93" s="172">
        <v>-97791.718068437796</v>
      </c>
      <c r="J93" s="172">
        <v>-897133.78037120402</v>
      </c>
      <c r="K93" s="172">
        <v>1779674.1234413299</v>
      </c>
      <c r="L93" s="172">
        <v>-34766.140769809703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3245819.4299990698</v>
      </c>
      <c r="H94" s="172">
        <v>-4.87922660568074E-5</v>
      </c>
      <c r="I94" s="172">
        <v>-3.6160152205866298E-8</v>
      </c>
      <c r="J94" s="172">
        <v>4.6835313651172301E-4</v>
      </c>
      <c r="K94" s="172">
        <v>30809023.063124601</v>
      </c>
      <c r="L94" s="172">
        <v>-31039575.008243501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3299075.4299990698</v>
      </c>
      <c r="H95" s="172">
        <v>-4.8792251448048801E-5</v>
      </c>
      <c r="I95" s="172">
        <v>-3.6161367233944501E-8</v>
      </c>
      <c r="J95" s="172">
        <v>4.6835299417580202E-4</v>
      </c>
      <c r="K95" s="172">
        <v>31319030.263124701</v>
      </c>
      <c r="L95" s="172">
        <v>-31603719.008414298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-8.7189982878044205E-7</v>
      </c>
      <c r="H96" s="172">
        <v>-103259.359475552</v>
      </c>
      <c r="I96" s="172">
        <v>-1750.3685931177199</v>
      </c>
      <c r="J96" s="172">
        <v>1056926.7014610199</v>
      </c>
      <c r="K96" s="172">
        <v>31187.251439514999</v>
      </c>
      <c r="L96" s="172">
        <v>-1782812.7793210801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-8.7182706920430096E-7</v>
      </c>
      <c r="H97" s="172">
        <v>-103259.359475552</v>
      </c>
      <c r="I97" s="172">
        <v>-1750.3685931177099</v>
      </c>
      <c r="J97" s="172">
        <v>1056926.7014610199</v>
      </c>
      <c r="K97" s="172">
        <v>37313.541515427802</v>
      </c>
      <c r="L97" s="172">
        <v>-2144220.5374855101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-8.7628723122179498E-7</v>
      </c>
      <c r="H98" s="172">
        <v>-103259.35947604899</v>
      </c>
      <c r="I98" s="172">
        <v>-1750.3686077596001</v>
      </c>
      <c r="J98" s="172">
        <v>865560.764061113</v>
      </c>
      <c r="K98" s="172">
        <v>31187.251659722198</v>
      </c>
      <c r="L98" s="172">
        <v>-1782812.77932618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-8.7625085143372395E-7</v>
      </c>
      <c r="H99" s="172">
        <v>-103259.35947604899</v>
      </c>
      <c r="I99" s="172">
        <v>-1750.3686077596101</v>
      </c>
      <c r="J99" s="172">
        <v>865560.764061113</v>
      </c>
      <c r="K99" s="172">
        <v>37313.541786881397</v>
      </c>
      <c r="L99" s="172">
        <v>-2144220.5374923502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-3.4706317819654902E-8</v>
      </c>
      <c r="H100" s="172">
        <v>-1979.2811618241999</v>
      </c>
      <c r="I100" s="172">
        <v>-103212.285934363</v>
      </c>
      <c r="J100" s="172">
        <v>-1140029.7053286999</v>
      </c>
      <c r="K100" s="172">
        <v>1779674.12366374</v>
      </c>
      <c r="L100" s="172">
        <v>-34766.140774332402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-3.4753611544147101E-8</v>
      </c>
      <c r="H101" s="172">
        <v>-1979.2811618241999</v>
      </c>
      <c r="I101" s="172">
        <v>-103212.285934364</v>
      </c>
      <c r="J101" s="172">
        <v>-1140029.7053287099</v>
      </c>
      <c r="K101" s="172">
        <v>2140917.1244340101</v>
      </c>
      <c r="L101" s="172">
        <v>-41693.624840716402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-3.01733962260187E-8</v>
      </c>
      <c r="H102" s="172">
        <v>-1979.2811613224801</v>
      </c>
      <c r="I102" s="172">
        <v>-103212.285919553</v>
      </c>
      <c r="J102" s="172">
        <v>-946375.93296877504</v>
      </c>
      <c r="K102" s="172">
        <v>1779674.123441</v>
      </c>
      <c r="L102" s="172">
        <v>-34766.140769190002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-3.0191586120054099E-8</v>
      </c>
      <c r="H103" s="172">
        <v>-1979.2811613224801</v>
      </c>
      <c r="I103" s="172">
        <v>-103212.28591955399</v>
      </c>
      <c r="J103" s="172">
        <v>-946375.93296877795</v>
      </c>
      <c r="K103" s="172">
        <v>2140917.1241594399</v>
      </c>
      <c r="L103" s="172">
        <v>-41693.624833818401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3655064.2087494498</v>
      </c>
      <c r="H104" s="172">
        <v>-4.9134538130601902E-5</v>
      </c>
      <c r="I104" s="172">
        <v>-3.8131865665036497E-8</v>
      </c>
      <c r="J104" s="172">
        <v>4.71680699092758E-4</v>
      </c>
      <c r="K104" s="172">
        <v>34697065.826018199</v>
      </c>
      <c r="L104" s="172">
        <v>-34943781.4312291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3708320.2087494498</v>
      </c>
      <c r="H105" s="172">
        <v>-4.9134537249528903E-5</v>
      </c>
      <c r="I105" s="172">
        <v>-3.8132014879011E-8</v>
      </c>
      <c r="J105" s="172">
        <v>4.7168071841951998E-4</v>
      </c>
      <c r="K105" s="172">
        <v>35207073.026018299</v>
      </c>
      <c r="L105" s="172">
        <v>-35507925.431400999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-8.8942761067301003E-7</v>
      </c>
      <c r="H106" s="172">
        <v>-106249.936993525</v>
      </c>
      <c r="I106" s="172">
        <v>-1808.92997607592</v>
      </c>
      <c r="J106" s="172">
        <v>1087563.21667833</v>
      </c>
      <c r="K106" s="172">
        <v>37313.541515255303</v>
      </c>
      <c r="L106" s="172">
        <v>-2144220.5374852498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-8.8944943854585301E-7</v>
      </c>
      <c r="H107" s="172">
        <v>-106249.936993525</v>
      </c>
      <c r="I107" s="172">
        <v>-1808.92997607592</v>
      </c>
      <c r="J107" s="172">
        <v>1087563.21667833</v>
      </c>
      <c r="K107" s="172">
        <v>44549.261419558199</v>
      </c>
      <c r="L107" s="172">
        <v>-2569220.2854593499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-8.9550303528085404E-7</v>
      </c>
      <c r="H108" s="172">
        <v>-106249.93699400499</v>
      </c>
      <c r="I108" s="172">
        <v>-1808.92999162664</v>
      </c>
      <c r="J108" s="172">
        <v>890627.91261530097</v>
      </c>
      <c r="K108" s="172">
        <v>37313.541786690701</v>
      </c>
      <c r="L108" s="172">
        <v>-2144220.5374920499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-8.9554669102653903E-7</v>
      </c>
      <c r="H109" s="172">
        <v>-106249.93699400499</v>
      </c>
      <c r="I109" s="172">
        <v>-1808.92999162665</v>
      </c>
      <c r="J109" s="172">
        <v>890627.91261530097</v>
      </c>
      <c r="K109" s="172">
        <v>44549.261753196501</v>
      </c>
      <c r="L109" s="172">
        <v>-2569220.2854680698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-5.11736288899556E-8</v>
      </c>
      <c r="H110" s="172">
        <v>-2048.3646433886702</v>
      </c>
      <c r="I110" s="172">
        <v>-106249.937940163</v>
      </c>
      <c r="J110" s="172">
        <v>-1173363.8811426</v>
      </c>
      <c r="K110" s="172">
        <v>2140917.1244338299</v>
      </c>
      <c r="L110" s="172">
        <v>-41693.624840427598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-5.1164533942937897E-8</v>
      </c>
      <c r="H111" s="172">
        <v>-2048.3646433886702</v>
      </c>
      <c r="I111" s="172">
        <v>-106249.937940163</v>
      </c>
      <c r="J111" s="172">
        <v>-1173363.8811426</v>
      </c>
      <c r="K111" s="172">
        <v>2565916.8761944799</v>
      </c>
      <c r="L111" s="172">
        <v>-49887.083413982698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-4.4999978854320897E-8</v>
      </c>
      <c r="H112" s="172">
        <v>-2048.3646429048499</v>
      </c>
      <c r="I112" s="172">
        <v>-106249.937924433</v>
      </c>
      <c r="J112" s="172">
        <v>-973993.887282916</v>
      </c>
      <c r="K112" s="172">
        <v>2140917.1241592802</v>
      </c>
      <c r="L112" s="172">
        <v>-41693.624833559799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-4.4997250370215598E-8</v>
      </c>
      <c r="H113" s="172">
        <v>-2048.3646429048499</v>
      </c>
      <c r="I113" s="172">
        <v>-106249.937924433</v>
      </c>
      <c r="J113" s="172">
        <v>-973993.88728291797</v>
      </c>
      <c r="K113" s="172">
        <v>2565916.87585701</v>
      </c>
      <c r="L113" s="172">
        <v>-49887.083405179597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4172308.9874995798</v>
      </c>
      <c r="H114" s="172">
        <v>-4.9284596059351302E-5</v>
      </c>
      <c r="I114" s="172">
        <v>-6.4734621219031396E-8</v>
      </c>
      <c r="J114" s="172">
        <v>4.7263120524121399E-4</v>
      </c>
      <c r="K114" s="172">
        <v>39617183.588909902</v>
      </c>
      <c r="L114" s="172">
        <v>-39827058.479211502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4232956.9874995798</v>
      </c>
      <c r="H115" s="172">
        <v>-4.9284600009968899E-5</v>
      </c>
      <c r="I115" s="172">
        <v>-6.4736276783605704E-8</v>
      </c>
      <c r="J115" s="172">
        <v>4.7263121109608597E-4</v>
      </c>
      <c r="K115" s="172">
        <v>40198307.5889102</v>
      </c>
      <c r="L115" s="172">
        <v>-40468122.479408599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5</xdr:row>
                    <xdr:rowOff>0</xdr:rowOff>
                  </from>
                  <to>
                    <xdr:col>15</xdr:col>
                    <xdr:colOff>510540</xdr:colOff>
                    <xdr:row>45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68" workbookViewId="0">
      <selection activeCell="B435" sqref="B435:G445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2.6350096637613299E-2</v>
      </c>
      <c r="F6" s="172">
        <v>2.5790374157313101E-2</v>
      </c>
      <c r="G6" s="172">
        <v>1.02170276696593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2.7057234859250601E-2</v>
      </c>
      <c r="F7" s="172">
        <v>2.5143603934199898E-2</v>
      </c>
      <c r="G7" s="172">
        <v>1.0761080603265401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2.60348463522154E-2</v>
      </c>
      <c r="F8" s="172">
        <v>2.41721189395834E-2</v>
      </c>
      <c r="G8" s="172">
        <v>1.0770609898655501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2.4461604702633401E-2</v>
      </c>
      <c r="F9" s="172">
        <v>2.2695076102959202E-2</v>
      </c>
      <c r="G9" s="172">
        <v>1.0778375270327401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2.2377110822653101E-2</v>
      </c>
      <c r="F10" s="172">
        <v>2.0747463083923199E-2</v>
      </c>
      <c r="G10" s="172">
        <v>1.07854684363761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1.98580228911612E-2</v>
      </c>
      <c r="F11" s="172">
        <v>1.8400009133567902E-2</v>
      </c>
      <c r="G11" s="172">
        <v>1.0792398387962401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1.69741968603421E-2</v>
      </c>
      <c r="F12" s="172">
        <v>1.5717392693141801E-2</v>
      </c>
      <c r="G12" s="172">
        <v>1.0799626370440401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1.37877503833516E-2</v>
      </c>
      <c r="F13" s="172">
        <v>1.27572349801415E-2</v>
      </c>
      <c r="G13" s="172">
        <v>1.08077889956674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1.0359139858370701E-2</v>
      </c>
      <c r="F14" s="172">
        <v>9.5757030188596704E-3</v>
      </c>
      <c r="G14" s="172">
        <v>1.08181507279079</v>
      </c>
    </row>
    <row r="15" spans="2:7" s="172" customFormat="1" x14ac:dyDescent="0.3">
      <c r="B15" s="172" t="s">
        <v>24</v>
      </c>
      <c r="C15" s="172" t="s">
        <v>79</v>
      </c>
      <c r="D15" s="172" t="s">
        <v>218</v>
      </c>
      <c r="E15" s="172">
        <v>6.7617717775258698E-3</v>
      </c>
      <c r="F15" s="172">
        <v>6.2411802272827896E-3</v>
      </c>
      <c r="G15" s="172">
        <v>1.08341235652311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3.1328330099670899E-3</v>
      </c>
      <c r="F16" s="172">
        <v>2.8829934873375001E-3</v>
      </c>
      <c r="G16" s="172">
        <v>1.0866597596307199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2.6883042231218901E-2</v>
      </c>
      <c r="F17" s="172">
        <v>2.6285513505526801E-2</v>
      </c>
      <c r="G17" s="172">
        <v>1.0227322447235601</v>
      </c>
    </row>
    <row r="18" spans="2:7" hidden="1" x14ac:dyDescent="0.3">
      <c r="B18" s="172" t="s">
        <v>187</v>
      </c>
      <c r="C18" s="172" t="s">
        <v>80</v>
      </c>
      <c r="D18" s="172" t="s">
        <v>218</v>
      </c>
      <c r="E18" s="172">
        <v>2.7583967187125601E-2</v>
      </c>
      <c r="F18" s="172">
        <v>2.5183580435005501E-2</v>
      </c>
      <c r="G18" s="172">
        <v>1.0953155472993601</v>
      </c>
    </row>
    <row r="19" spans="2:7" hidden="1" x14ac:dyDescent="0.3">
      <c r="B19" s="172" t="s">
        <v>185</v>
      </c>
      <c r="C19" s="172" t="s">
        <v>80</v>
      </c>
      <c r="D19" s="172" t="s">
        <v>218</v>
      </c>
      <c r="E19" s="172">
        <v>2.65445428910571E-2</v>
      </c>
      <c r="F19" s="172">
        <v>2.4212211935897201E-2</v>
      </c>
      <c r="G19" s="172">
        <v>1.0963287022819299</v>
      </c>
    </row>
    <row r="20" spans="2:7" hidden="1" x14ac:dyDescent="0.3">
      <c r="B20" s="172" t="s">
        <v>183</v>
      </c>
      <c r="C20" s="172" t="s">
        <v>80</v>
      </c>
      <c r="D20" s="172" t="s">
        <v>218</v>
      </c>
      <c r="E20" s="172">
        <v>2.49465618651089E-2</v>
      </c>
      <c r="F20" s="172">
        <v>2.2734222830594699E-2</v>
      </c>
      <c r="G20" s="172">
        <v>1.09731315871229</v>
      </c>
    </row>
    <row r="21" spans="2:7" hidden="1" x14ac:dyDescent="0.3">
      <c r="B21" s="172" t="s">
        <v>181</v>
      </c>
      <c r="C21" s="172" t="s">
        <v>80</v>
      </c>
      <c r="D21" s="172" t="s">
        <v>218</v>
      </c>
      <c r="E21" s="172">
        <v>2.2827494764457199E-2</v>
      </c>
      <c r="F21" s="172">
        <v>2.0784552850634901E-2</v>
      </c>
      <c r="G21" s="172">
        <v>1.09829135745684</v>
      </c>
    </row>
    <row r="22" spans="2:7" hidden="1" x14ac:dyDescent="0.3">
      <c r="B22" s="172" t="s">
        <v>179</v>
      </c>
      <c r="C22" s="172" t="s">
        <v>80</v>
      </c>
      <c r="D22" s="172" t="s">
        <v>218</v>
      </c>
      <c r="E22" s="172">
        <v>2.0265054100581999E-2</v>
      </c>
      <c r="F22" s="172">
        <v>1.8434048504764499E-2</v>
      </c>
      <c r="G22" s="172">
        <v>1.0993273721366299</v>
      </c>
    </row>
    <row r="23" spans="2:7" hidden="1" x14ac:dyDescent="0.3">
      <c r="B23" s="172" t="s">
        <v>39</v>
      </c>
      <c r="C23" s="172" t="s">
        <v>80</v>
      </c>
      <c r="D23" s="172" t="s">
        <v>218</v>
      </c>
      <c r="E23" s="172">
        <v>1.7329826531985101E-2</v>
      </c>
      <c r="F23" s="172">
        <v>1.5747480213153201E-2</v>
      </c>
      <c r="G23" s="172">
        <v>1.10048250878323</v>
      </c>
    </row>
    <row r="24" spans="2:7" hidden="1" x14ac:dyDescent="0.3">
      <c r="B24" s="172" t="s">
        <v>26</v>
      </c>
      <c r="C24" s="172" t="s">
        <v>80</v>
      </c>
      <c r="D24" s="172" t="s">
        <v>218</v>
      </c>
      <c r="E24" s="172">
        <v>1.40842938384755E-2</v>
      </c>
      <c r="F24" s="172">
        <v>1.27825221181119E-2</v>
      </c>
      <c r="G24" s="172">
        <v>1.1018399740157001</v>
      </c>
    </row>
    <row r="25" spans="2:7" hidden="1" x14ac:dyDescent="0.3">
      <c r="B25" s="172" t="s">
        <v>25</v>
      </c>
      <c r="C25" s="172" t="s">
        <v>80</v>
      </c>
      <c r="D25" s="172" t="s">
        <v>218</v>
      </c>
      <c r="E25" s="172">
        <v>1.0588999847545201E-2</v>
      </c>
      <c r="F25" s="172">
        <v>9.5953671813122608E-3</v>
      </c>
      <c r="G25" s="172">
        <v>1.10355337606758</v>
      </c>
    </row>
    <row r="26" spans="2:7" hidden="1" x14ac:dyDescent="0.3">
      <c r="B26" s="172" t="s">
        <v>24</v>
      </c>
      <c r="C26" s="172" t="s">
        <v>80</v>
      </c>
      <c r="D26" s="172" t="s">
        <v>218</v>
      </c>
      <c r="E26" s="172">
        <v>6.9175471413458504E-3</v>
      </c>
      <c r="F26" s="172">
        <v>6.2544393334307896E-3</v>
      </c>
      <c r="G26" s="172">
        <v>1.10602194258575</v>
      </c>
    </row>
    <row r="27" spans="2:7" hidden="1" x14ac:dyDescent="0.3">
      <c r="B27" s="172" t="s">
        <v>22</v>
      </c>
      <c r="C27" s="172" t="s">
        <v>80</v>
      </c>
      <c r="D27" s="172" t="s">
        <v>218</v>
      </c>
      <c r="E27" s="172">
        <v>3.2087534438237698E-3</v>
      </c>
      <c r="F27" s="172">
        <v>2.8893023752609502E-3</v>
      </c>
      <c r="G27" s="172">
        <v>1.11056339111408</v>
      </c>
    </row>
    <row r="28" spans="2:7" hidden="1" x14ac:dyDescent="0.3">
      <c r="B28" s="172" t="s">
        <v>189</v>
      </c>
      <c r="C28" s="172" t="s">
        <v>81</v>
      </c>
      <c r="D28" s="172" t="s">
        <v>221</v>
      </c>
      <c r="E28" s="172">
        <v>2.7808384560021399E-2</v>
      </c>
      <c r="F28" s="172">
        <v>2.7758206809075901E-2</v>
      </c>
      <c r="G28" s="172">
        <v>1.00180767263861</v>
      </c>
    </row>
    <row r="29" spans="2:7" hidden="1" x14ac:dyDescent="0.3">
      <c r="B29" s="172" t="s">
        <v>187</v>
      </c>
      <c r="C29" s="172" t="s">
        <v>81</v>
      </c>
      <c r="D29" s="172" t="s">
        <v>221</v>
      </c>
      <c r="E29" s="172">
        <v>2.7301850675392501E-2</v>
      </c>
      <c r="F29" s="172">
        <v>2.69812358440914E-2</v>
      </c>
      <c r="G29" s="172">
        <v>1.0118828816127601</v>
      </c>
    </row>
    <row r="30" spans="2:7" hidden="1" x14ac:dyDescent="0.3">
      <c r="B30" s="172" t="s">
        <v>185</v>
      </c>
      <c r="C30" s="172" t="s">
        <v>81</v>
      </c>
      <c r="D30" s="172" t="s">
        <v>221</v>
      </c>
      <c r="E30" s="172">
        <v>2.6327707819186901E-2</v>
      </c>
      <c r="F30" s="172">
        <v>2.60280287955682E-2</v>
      </c>
      <c r="G30" s="172">
        <v>1.0115137041676301</v>
      </c>
    </row>
    <row r="31" spans="2:7" hidden="1" x14ac:dyDescent="0.3">
      <c r="B31" s="172" t="s">
        <v>183</v>
      </c>
      <c r="C31" s="172" t="s">
        <v>81</v>
      </c>
      <c r="D31" s="172" t="s">
        <v>221</v>
      </c>
      <c r="E31" s="172">
        <v>2.4786265193319602E-2</v>
      </c>
      <c r="F31" s="172">
        <v>2.45123016574459E-2</v>
      </c>
      <c r="G31" s="172">
        <v>1.0111765732856199</v>
      </c>
    </row>
    <row r="32" spans="2:7" hidden="1" x14ac:dyDescent="0.3">
      <c r="B32" s="172" t="s">
        <v>181</v>
      </c>
      <c r="C32" s="172" t="s">
        <v>81</v>
      </c>
      <c r="D32" s="172" t="s">
        <v>221</v>
      </c>
      <c r="E32" s="172">
        <v>2.27159449572891E-2</v>
      </c>
      <c r="F32" s="172">
        <v>2.24660006513785E-2</v>
      </c>
      <c r="G32" s="172">
        <v>1.0111254472831701</v>
      </c>
    </row>
    <row r="33" spans="2:7" hidden="1" x14ac:dyDescent="0.3">
      <c r="B33" s="172" t="s">
        <v>179</v>
      </c>
      <c r="C33" s="172" t="s">
        <v>81</v>
      </c>
      <c r="D33" s="172" t="s">
        <v>221</v>
      </c>
      <c r="E33" s="172">
        <v>2.0193074545112901E-2</v>
      </c>
      <c r="F33" s="172">
        <v>1.9964901137319298E-2</v>
      </c>
      <c r="G33" s="172">
        <v>1.0114287271559399</v>
      </c>
    </row>
    <row r="34" spans="2:7" hidden="1" x14ac:dyDescent="0.3">
      <c r="B34" s="172" t="s">
        <v>39</v>
      </c>
      <c r="C34" s="172" t="s">
        <v>81</v>
      </c>
      <c r="D34" s="172" t="s">
        <v>221</v>
      </c>
      <c r="E34" s="172">
        <v>1.7287579101781698E-2</v>
      </c>
      <c r="F34" s="172">
        <v>1.7078923590642899E-2</v>
      </c>
      <c r="G34" s="172">
        <v>1.01221713476446</v>
      </c>
    </row>
    <row r="35" spans="2:7" hidden="1" x14ac:dyDescent="0.3">
      <c r="B35" s="172" t="s">
        <v>26</v>
      </c>
      <c r="C35" s="172" t="s">
        <v>81</v>
      </c>
      <c r="D35" s="172" t="s">
        <v>221</v>
      </c>
      <c r="E35" s="172">
        <v>1.40607387821866E-2</v>
      </c>
      <c r="F35" s="172">
        <v>1.3869052929217999E-2</v>
      </c>
      <c r="G35" s="172">
        <v>1.0138211205874601</v>
      </c>
    </row>
    <row r="36" spans="2:7" hidden="1" x14ac:dyDescent="0.3">
      <c r="B36" s="172" t="s">
        <v>25</v>
      </c>
      <c r="C36" s="172" t="s">
        <v>81</v>
      </c>
      <c r="D36" s="172" t="s">
        <v>221</v>
      </c>
      <c r="E36" s="172">
        <v>1.05723178461205E-2</v>
      </c>
      <c r="F36" s="172">
        <v>1.03946188319421E-2</v>
      </c>
      <c r="G36" s="172">
        <v>1.01709528911559</v>
      </c>
    </row>
    <row r="37" spans="2:7" hidden="1" x14ac:dyDescent="0.3">
      <c r="B37" s="172" t="s">
        <v>24</v>
      </c>
      <c r="C37" s="172" t="s">
        <v>81</v>
      </c>
      <c r="D37" s="172" t="s">
        <v>221</v>
      </c>
      <c r="E37" s="172">
        <v>6.8984447210507401E-3</v>
      </c>
      <c r="F37" s="172">
        <v>6.7334596266412699E-3</v>
      </c>
      <c r="G37" s="172">
        <v>1.02450227721819</v>
      </c>
    </row>
    <row r="38" spans="2:7" hidden="1" x14ac:dyDescent="0.3">
      <c r="B38" s="172" t="s">
        <v>22</v>
      </c>
      <c r="C38" s="172" t="s">
        <v>81</v>
      </c>
      <c r="D38" s="172" t="s">
        <v>221</v>
      </c>
      <c r="E38" s="172">
        <v>3.1854111207537902E-3</v>
      </c>
      <c r="F38" s="172">
        <v>3.0514532933715202E-3</v>
      </c>
      <c r="G38" s="172">
        <v>1.04389968139878</v>
      </c>
    </row>
    <row r="39" spans="2:7" hidden="1" x14ac:dyDescent="0.3">
      <c r="B39" s="172" t="s">
        <v>189</v>
      </c>
      <c r="C39" s="172" t="s">
        <v>82</v>
      </c>
      <c r="D39" s="172" t="s">
        <v>221</v>
      </c>
      <c r="E39" s="172">
        <v>2.5920393580248301E-2</v>
      </c>
      <c r="F39" s="172">
        <v>2.5038668000744901E-2</v>
      </c>
      <c r="G39" s="172">
        <v>1.0352145561208399</v>
      </c>
    </row>
    <row r="40" spans="2:7" hidden="1" x14ac:dyDescent="0.3">
      <c r="B40" s="172" t="s">
        <v>187</v>
      </c>
      <c r="C40" s="172" t="s">
        <v>82</v>
      </c>
      <c r="D40" s="172" t="s">
        <v>221</v>
      </c>
      <c r="E40" s="172">
        <v>3.1772315903544797E-2</v>
      </c>
      <c r="F40" s="172">
        <v>2.77275108575421E-2</v>
      </c>
      <c r="G40" s="172">
        <v>1.14587696193805</v>
      </c>
    </row>
    <row r="41" spans="2:7" hidden="1" x14ac:dyDescent="0.3">
      <c r="B41" s="172" t="s">
        <v>185</v>
      </c>
      <c r="C41" s="172" t="s">
        <v>82</v>
      </c>
      <c r="D41" s="172" t="s">
        <v>221</v>
      </c>
      <c r="E41" s="172">
        <v>3.06971508937511E-2</v>
      </c>
      <c r="F41" s="172">
        <v>2.67521882516049E-2</v>
      </c>
      <c r="G41" s="172">
        <v>1.14746317591084</v>
      </c>
    </row>
    <row r="42" spans="2:7" hidden="1" x14ac:dyDescent="0.3">
      <c r="B42" s="172" t="s">
        <v>183</v>
      </c>
      <c r="C42" s="172" t="s">
        <v>82</v>
      </c>
      <c r="D42" s="172" t="s">
        <v>221</v>
      </c>
      <c r="E42" s="172">
        <v>2.8949585050937102E-2</v>
      </c>
      <c r="F42" s="172">
        <v>2.51984475351687E-2</v>
      </c>
      <c r="G42" s="172">
        <v>1.14886383419189</v>
      </c>
    </row>
    <row r="43" spans="2:7" hidden="1" x14ac:dyDescent="0.3">
      <c r="B43" s="172" t="s">
        <v>181</v>
      </c>
      <c r="C43" s="172" t="s">
        <v>82</v>
      </c>
      <c r="D43" s="172" t="s">
        <v>221</v>
      </c>
      <c r="E43" s="172">
        <v>2.6562529513956198E-2</v>
      </c>
      <c r="F43" s="172">
        <v>2.3097958978945399E-2</v>
      </c>
      <c r="G43" s="172">
        <v>1.1499946613537999</v>
      </c>
    </row>
    <row r="44" spans="2:7" hidden="1" x14ac:dyDescent="0.3">
      <c r="B44" s="172" t="s">
        <v>179</v>
      </c>
      <c r="C44" s="172" t="s">
        <v>82</v>
      </c>
      <c r="D44" s="172" t="s">
        <v>221</v>
      </c>
      <c r="E44" s="172">
        <v>2.36266099467883E-2</v>
      </c>
      <c r="F44" s="172">
        <v>2.05286189867275E-2</v>
      </c>
      <c r="G44" s="172">
        <v>1.15091083146234</v>
      </c>
    </row>
    <row r="45" spans="2:7" hidden="1" x14ac:dyDescent="0.3">
      <c r="B45" s="172" t="s">
        <v>39</v>
      </c>
      <c r="C45" s="172" t="s">
        <v>82</v>
      </c>
      <c r="D45" s="172" t="s">
        <v>221</v>
      </c>
      <c r="E45" s="172">
        <v>2.02249306446265E-2</v>
      </c>
      <c r="F45" s="172">
        <v>1.7562315478590398E-2</v>
      </c>
      <c r="G45" s="172">
        <v>1.1516095738789101</v>
      </c>
    </row>
    <row r="46" spans="2:7" hidden="1" x14ac:dyDescent="0.3">
      <c r="B46" s="172" t="s">
        <v>26</v>
      </c>
      <c r="C46" s="172" t="s">
        <v>82</v>
      </c>
      <c r="D46" s="172" t="s">
        <v>221</v>
      </c>
      <c r="E46" s="172">
        <v>1.6428986582843801E-2</v>
      </c>
      <c r="F46" s="172">
        <v>1.42615955197975E-2</v>
      </c>
      <c r="G46" s="172">
        <v>1.15197395410897</v>
      </c>
    </row>
    <row r="47" spans="2:7" hidden="1" x14ac:dyDescent="0.3">
      <c r="B47" s="172" t="s">
        <v>25</v>
      </c>
      <c r="C47" s="172" t="s">
        <v>82</v>
      </c>
      <c r="D47" s="172" t="s">
        <v>221</v>
      </c>
      <c r="E47" s="172">
        <v>1.2307449751668999E-2</v>
      </c>
      <c r="F47" s="172">
        <v>1.06871736351698E-2</v>
      </c>
      <c r="G47" s="172">
        <v>1.1516094125360801</v>
      </c>
    </row>
    <row r="48" spans="2:7" hidden="1" x14ac:dyDescent="0.3">
      <c r="B48" s="172" t="s">
        <v>24</v>
      </c>
      <c r="C48" s="172" t="s">
        <v>82</v>
      </c>
      <c r="D48" s="172" t="s">
        <v>221</v>
      </c>
      <c r="E48" s="172">
        <v>7.9519579066313194E-3</v>
      </c>
      <c r="F48" s="172">
        <v>6.9189692048675696E-3</v>
      </c>
      <c r="G48" s="172">
        <v>1.14929806321974</v>
      </c>
    </row>
    <row r="49" spans="2:7" hidden="1" x14ac:dyDescent="0.3">
      <c r="B49" s="172" t="s">
        <v>22</v>
      </c>
      <c r="C49" s="172" t="s">
        <v>82</v>
      </c>
      <c r="D49" s="172" t="s">
        <v>221</v>
      </c>
      <c r="E49" s="172">
        <v>3.5720407299241501E-3</v>
      </c>
      <c r="F49" s="172">
        <v>3.1297267620904699E-3</v>
      </c>
      <c r="G49" s="172">
        <v>1.1413267040405299</v>
      </c>
    </row>
    <row r="50" spans="2:7" hidden="1" x14ac:dyDescent="0.3">
      <c r="B50" s="172" t="s">
        <v>189</v>
      </c>
      <c r="C50" s="172" t="s">
        <v>246</v>
      </c>
      <c r="D50" s="172" t="s">
        <v>218</v>
      </c>
      <c r="E50" s="172">
        <v>3.2668655287075902E-3</v>
      </c>
      <c r="F50" s="172">
        <v>3.2138082538027699E-3</v>
      </c>
      <c r="G50" s="172">
        <v>1.0165091600726499</v>
      </c>
    </row>
    <row r="51" spans="2:7" hidden="1" x14ac:dyDescent="0.3">
      <c r="B51" s="172" t="s">
        <v>189</v>
      </c>
      <c r="C51" s="172" t="s">
        <v>246</v>
      </c>
      <c r="D51" s="172" t="s">
        <v>221</v>
      </c>
      <c r="E51" s="172">
        <v>4.42205563619532E-4</v>
      </c>
      <c r="F51" s="172">
        <v>3.99759743695677E-4</v>
      </c>
      <c r="G51" s="172">
        <v>1.1061783248394501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2.4345871717756599E-3</v>
      </c>
      <c r="F52" s="172">
        <v>2.3390494272515299E-3</v>
      </c>
      <c r="G52" s="172">
        <v>1.04084468819301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2.0820499364665301E-3</v>
      </c>
      <c r="F53" s="172">
        <v>1.9966116058710202E-3</v>
      </c>
      <c r="G53" s="172">
        <v>1.04279166280727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1.72996829608857E-3</v>
      </c>
      <c r="F54" s="172">
        <v>1.65069282130166E-3</v>
      </c>
      <c r="G54" s="172">
        <v>1.04802557675413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1.39161632884665E-3</v>
      </c>
      <c r="F55" s="172">
        <v>1.3196446024260401E-3</v>
      </c>
      <c r="G55" s="172">
        <v>1.05453871920386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1.07380909634195E-3</v>
      </c>
      <c r="F56" s="172">
        <v>1.0101828158148099E-3</v>
      </c>
      <c r="G56" s="172">
        <v>1.0629849167210701</v>
      </c>
    </row>
    <row r="57" spans="2:7" hidden="1" x14ac:dyDescent="0.3">
      <c r="B57" s="172" t="s">
        <v>39</v>
      </c>
      <c r="C57" s="172" t="s">
        <v>246</v>
      </c>
      <c r="D57" s="172" t="s">
        <v>218</v>
      </c>
      <c r="E57" s="172">
        <v>7.8331049959303204E-4</v>
      </c>
      <c r="F57" s="172">
        <v>7.2908815371992397E-4</v>
      </c>
      <c r="G57" s="172">
        <v>1.0743700821313</v>
      </c>
    </row>
    <row r="58" spans="2:7" hidden="1" x14ac:dyDescent="0.3">
      <c r="B58" s="172" t="s">
        <v>26</v>
      </c>
      <c r="C58" s="172" t="s">
        <v>246</v>
      </c>
      <c r="D58" s="172" t="s">
        <v>218</v>
      </c>
      <c r="E58" s="172">
        <v>5.2690170922545601E-4</v>
      </c>
      <c r="F58" s="172">
        <v>4.8313332426029099E-4</v>
      </c>
      <c r="G58" s="172">
        <v>1.0905927676013201</v>
      </c>
    </row>
    <row r="59" spans="2:7" hidden="1" x14ac:dyDescent="0.3">
      <c r="B59" s="172" t="s">
        <v>25</v>
      </c>
      <c r="C59" s="172" t="s">
        <v>246</v>
      </c>
      <c r="D59" s="172" t="s">
        <v>218</v>
      </c>
      <c r="E59" s="172">
        <v>3.1180664780475898E-4</v>
      </c>
      <c r="F59" s="172">
        <v>2.7952452019736702E-4</v>
      </c>
      <c r="G59" s="172">
        <v>1.11548943035337</v>
      </c>
    </row>
    <row r="60" spans="2:7" hidden="1" x14ac:dyDescent="0.3">
      <c r="B60" s="172" t="s">
        <v>24</v>
      </c>
      <c r="C60" s="172" t="s">
        <v>246</v>
      </c>
      <c r="D60" s="172" t="s">
        <v>218</v>
      </c>
      <c r="E60" s="172">
        <v>1.4536924891902299E-4</v>
      </c>
      <c r="F60" s="172">
        <v>1.25464152572517E-4</v>
      </c>
      <c r="G60" s="172">
        <v>1.15865166215506</v>
      </c>
    </row>
    <row r="61" spans="2:7" hidden="1" x14ac:dyDescent="0.3">
      <c r="B61" s="172" t="s">
        <v>24</v>
      </c>
      <c r="C61" s="172" t="s">
        <v>246</v>
      </c>
      <c r="D61" s="172" t="s">
        <v>221</v>
      </c>
      <c r="E61" s="172">
        <v>3.2565346164601897E-5</v>
      </c>
      <c r="F61" s="172">
        <v>1.26602498180959E-5</v>
      </c>
      <c r="G61" s="172">
        <v>2.5722514667960699</v>
      </c>
    </row>
    <row r="62" spans="2:7" hidden="1" x14ac:dyDescent="0.3">
      <c r="B62" s="172" t="s">
        <v>22</v>
      </c>
      <c r="C62" s="172" t="s">
        <v>246</v>
      </c>
      <c r="D62" s="172" t="s">
        <v>218</v>
      </c>
      <c r="E62" s="172">
        <v>4.0521109077842503E-5</v>
      </c>
      <c r="F62" s="172">
        <v>3.3202653969870097E-5</v>
      </c>
      <c r="G62" s="172">
        <v>1.2204177748746701</v>
      </c>
    </row>
    <row r="63" spans="2:7" hidden="1" x14ac:dyDescent="0.3">
      <c r="B63" s="172" t="s">
        <v>22</v>
      </c>
      <c r="C63" s="172" t="s">
        <v>246</v>
      </c>
      <c r="D63" s="172" t="s">
        <v>221</v>
      </c>
      <c r="E63" s="172">
        <v>1.3172868962276199E-5</v>
      </c>
      <c r="F63" s="172">
        <v>5.8544138543038501E-6</v>
      </c>
      <c r="G63" s="172">
        <v>2.2500747794917602</v>
      </c>
    </row>
    <row r="64" spans="2:7" hidden="1" x14ac:dyDescent="0.3">
      <c r="B64" s="172"/>
      <c r="C64" s="172"/>
      <c r="D64" s="172"/>
      <c r="E64" s="172"/>
      <c r="F64" s="172"/>
      <c r="G64" s="172"/>
    </row>
    <row r="65" spans="2:7" hidden="1" x14ac:dyDescent="0.3">
      <c r="B65" s="172"/>
      <c r="C65" s="172"/>
      <c r="D65" s="172"/>
      <c r="E65" s="172"/>
      <c r="F65" s="172"/>
      <c r="G65" s="172"/>
    </row>
    <row r="66" spans="2:7" hidden="1" x14ac:dyDescent="0.3">
      <c r="B66" s="172"/>
      <c r="C66" s="172"/>
      <c r="D66" s="172"/>
      <c r="E66" s="172"/>
      <c r="F66" s="172"/>
      <c r="G66" s="172"/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hidden="1" x14ac:dyDescent="0.3">
      <c r="B115" s="172"/>
      <c r="C115" s="172"/>
      <c r="D115" s="172"/>
      <c r="E115" s="172"/>
      <c r="F115" s="172"/>
      <c r="G115" s="172"/>
    </row>
    <row r="116" spans="2:7" s="172" customFormat="1" hidden="1" x14ac:dyDescent="0.3"/>
    <row r="117" spans="2:7" hidden="1" x14ac:dyDescent="0.3">
      <c r="B117" s="172"/>
      <c r="C117" s="172"/>
      <c r="D117" s="172"/>
      <c r="E117" s="172"/>
      <c r="F117" s="172"/>
      <c r="G117" s="172"/>
    </row>
    <row r="118" spans="2:7" s="172" customFormat="1" hidden="1" x14ac:dyDescent="0.3"/>
    <row r="119" spans="2:7" hidden="1" x14ac:dyDescent="0.3">
      <c r="B119" s="172"/>
      <c r="C119" s="172"/>
      <c r="D119" s="172"/>
      <c r="E119" s="172"/>
      <c r="F119" s="172"/>
      <c r="G119" s="172"/>
    </row>
    <row r="120" spans="2:7" s="172" customFormat="1" hidden="1" x14ac:dyDescent="0.3"/>
    <row r="121" spans="2:7" hidden="1" x14ac:dyDescent="0.3">
      <c r="B121" s="172"/>
      <c r="C121" s="172"/>
      <c r="D121" s="172"/>
      <c r="E121" s="172"/>
      <c r="F121" s="172"/>
      <c r="G121" s="172"/>
    </row>
    <row r="122" spans="2:7" s="172" customFormat="1" hidden="1" x14ac:dyDescent="0.3"/>
    <row r="123" spans="2:7" hidden="1" x14ac:dyDescent="0.3">
      <c r="B123" s="172"/>
      <c r="C123" s="172"/>
      <c r="D123" s="172"/>
      <c r="E123" s="172"/>
      <c r="F123" s="172"/>
      <c r="G123" s="172"/>
    </row>
    <row r="124" spans="2:7" s="172" customFormat="1" hidden="1" x14ac:dyDescent="0.3"/>
    <row r="125" spans="2:7" hidden="1" x14ac:dyDescent="0.3">
      <c r="B125" s="172"/>
      <c r="C125" s="172"/>
      <c r="D125" s="172"/>
      <c r="E125" s="172"/>
      <c r="F125" s="172"/>
      <c r="G125" s="172"/>
    </row>
    <row r="126" spans="2:7" s="172" customFormat="1" hidden="1" x14ac:dyDescent="0.3"/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2.6350096637613299E-2</v>
      </c>
      <c r="F138" s="172">
        <v>2.5790374157313101E-2</v>
      </c>
      <c r="G138" s="172">
        <v>1.02170276696593</v>
      </c>
    </row>
    <row r="139" spans="2:7" s="172" customFormat="1" hidden="1" x14ac:dyDescent="0.3">
      <c r="B139" s="172" t="s">
        <v>187</v>
      </c>
      <c r="C139" s="172" t="s">
        <v>79</v>
      </c>
      <c r="D139" s="172" t="s">
        <v>218</v>
      </c>
      <c r="E139" s="172">
        <v>2.7057234859250601E-2</v>
      </c>
      <c r="F139" s="172">
        <v>2.5143603934199898E-2</v>
      </c>
      <c r="G139" s="172">
        <v>1.0761080603265401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2.60348463522154E-2</v>
      </c>
      <c r="F140" s="172">
        <v>2.41721189395834E-2</v>
      </c>
      <c r="G140" s="172">
        <v>1.0770609898655501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2.4461604702633401E-2</v>
      </c>
      <c r="F141" s="172">
        <v>2.2695076102959202E-2</v>
      </c>
      <c r="G141" s="172">
        <v>1.0778375270327401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2.2377110822653101E-2</v>
      </c>
      <c r="F142" s="172">
        <v>2.0747463083923199E-2</v>
      </c>
      <c r="G142" s="172">
        <v>1.07854684363761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1.98580228911612E-2</v>
      </c>
      <c r="F143" s="172">
        <v>1.8400009133567902E-2</v>
      </c>
      <c r="G143" s="172">
        <v>1.0792398387962401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1.69741968603421E-2</v>
      </c>
      <c r="F144" s="172">
        <v>1.5717392693141801E-2</v>
      </c>
      <c r="G144" s="172">
        <v>1.0799626370440401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1.37877503833516E-2</v>
      </c>
      <c r="F145" s="172">
        <v>1.27572349801415E-2</v>
      </c>
      <c r="G145" s="172">
        <v>1.08077889956674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1.0359139858370701E-2</v>
      </c>
      <c r="F146" s="172">
        <v>9.5757030188596704E-3</v>
      </c>
      <c r="G146" s="172">
        <v>1.08181507279079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6.7617717775258698E-3</v>
      </c>
      <c r="F147" s="172">
        <v>6.2411802272827896E-3</v>
      </c>
      <c r="G147" s="172">
        <v>1.08341235652311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3.1328330099670899E-3</v>
      </c>
      <c r="F148" s="172">
        <v>2.8829934873375001E-3</v>
      </c>
      <c r="G148" s="172">
        <v>1.0866597596307199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2.6883042231218901E-2</v>
      </c>
      <c r="F149" s="172">
        <v>2.6285513505526801E-2</v>
      </c>
      <c r="G149" s="172">
        <v>1.0227322447235601</v>
      </c>
    </row>
    <row r="150" spans="2:7" x14ac:dyDescent="0.3">
      <c r="B150" s="172" t="s">
        <v>187</v>
      </c>
      <c r="C150" s="172" t="s">
        <v>80</v>
      </c>
      <c r="D150" s="172" t="s">
        <v>218</v>
      </c>
      <c r="E150" s="172">
        <v>2.7583967187125601E-2</v>
      </c>
      <c r="F150" s="172">
        <v>2.5183580435005501E-2</v>
      </c>
      <c r="G150" s="172">
        <v>1.0953155472993601</v>
      </c>
    </row>
    <row r="151" spans="2:7" x14ac:dyDescent="0.3">
      <c r="B151" s="172" t="s">
        <v>185</v>
      </c>
      <c r="C151" s="172" t="s">
        <v>80</v>
      </c>
      <c r="D151" s="172" t="s">
        <v>218</v>
      </c>
      <c r="E151" s="172">
        <v>2.65445428910571E-2</v>
      </c>
      <c r="F151" s="172">
        <v>2.4212211935897201E-2</v>
      </c>
      <c r="G151" s="172">
        <v>1.0963287022819299</v>
      </c>
    </row>
    <row r="152" spans="2:7" x14ac:dyDescent="0.3">
      <c r="B152" s="172" t="s">
        <v>183</v>
      </c>
      <c r="C152" s="172" t="s">
        <v>80</v>
      </c>
      <c r="D152" s="172" t="s">
        <v>218</v>
      </c>
      <c r="E152" s="172">
        <v>2.49465618651089E-2</v>
      </c>
      <c r="F152" s="172">
        <v>2.2734222830594699E-2</v>
      </c>
      <c r="G152" s="172">
        <v>1.09731315871229</v>
      </c>
    </row>
    <row r="153" spans="2:7" x14ac:dyDescent="0.3">
      <c r="B153" s="172" t="s">
        <v>181</v>
      </c>
      <c r="C153" s="172" t="s">
        <v>80</v>
      </c>
      <c r="D153" s="172" t="s">
        <v>218</v>
      </c>
      <c r="E153" s="172">
        <v>2.2827494764457199E-2</v>
      </c>
      <c r="F153" s="172">
        <v>2.0784552850634901E-2</v>
      </c>
      <c r="G153" s="172">
        <v>1.09829135745684</v>
      </c>
    </row>
    <row r="154" spans="2:7" x14ac:dyDescent="0.3">
      <c r="B154" s="172" t="s">
        <v>179</v>
      </c>
      <c r="C154" s="172" t="s">
        <v>80</v>
      </c>
      <c r="D154" s="172" t="s">
        <v>218</v>
      </c>
      <c r="E154" s="172">
        <v>2.0265054100581999E-2</v>
      </c>
      <c r="F154" s="172">
        <v>1.8434048504764499E-2</v>
      </c>
      <c r="G154" s="172">
        <v>1.0993273721366299</v>
      </c>
    </row>
    <row r="155" spans="2:7" x14ac:dyDescent="0.3">
      <c r="B155" s="172" t="s">
        <v>39</v>
      </c>
      <c r="C155" s="172" t="s">
        <v>80</v>
      </c>
      <c r="D155" s="172" t="s">
        <v>218</v>
      </c>
      <c r="E155" s="172">
        <v>1.7329826531985101E-2</v>
      </c>
      <c r="F155" s="172">
        <v>1.5747480213153201E-2</v>
      </c>
      <c r="G155" s="172">
        <v>1.10048250878323</v>
      </c>
    </row>
    <row r="156" spans="2:7" x14ac:dyDescent="0.3">
      <c r="B156" s="172" t="s">
        <v>26</v>
      </c>
      <c r="C156" s="172" t="s">
        <v>80</v>
      </c>
      <c r="D156" s="172" t="s">
        <v>218</v>
      </c>
      <c r="E156" s="172">
        <v>1.40842938384755E-2</v>
      </c>
      <c r="F156" s="172">
        <v>1.27825221181119E-2</v>
      </c>
      <c r="G156" s="172">
        <v>1.1018399740157001</v>
      </c>
    </row>
    <row r="157" spans="2:7" x14ac:dyDescent="0.3">
      <c r="B157" s="172" t="s">
        <v>25</v>
      </c>
      <c r="C157" s="172" t="s">
        <v>80</v>
      </c>
      <c r="D157" s="172" t="s">
        <v>218</v>
      </c>
      <c r="E157" s="172">
        <v>1.0588999847545201E-2</v>
      </c>
      <c r="F157" s="172">
        <v>9.5953671813122608E-3</v>
      </c>
      <c r="G157" s="172">
        <v>1.10355337606758</v>
      </c>
    </row>
    <row r="158" spans="2:7" x14ac:dyDescent="0.3">
      <c r="B158" s="172" t="s">
        <v>24</v>
      </c>
      <c r="C158" s="172" t="s">
        <v>80</v>
      </c>
      <c r="D158" s="172" t="s">
        <v>218</v>
      </c>
      <c r="E158" s="172">
        <v>6.9175471413458504E-3</v>
      </c>
      <c r="F158" s="172">
        <v>6.2544393334307896E-3</v>
      </c>
      <c r="G158" s="172">
        <v>1.10602194258575</v>
      </c>
    </row>
    <row r="159" spans="2:7" x14ac:dyDescent="0.3">
      <c r="B159" s="172" t="s">
        <v>22</v>
      </c>
      <c r="C159" s="172" t="s">
        <v>80</v>
      </c>
      <c r="D159" s="172" t="s">
        <v>218</v>
      </c>
      <c r="E159" s="172">
        <v>3.2087534438237698E-3</v>
      </c>
      <c r="F159" s="172">
        <v>2.8893023752609502E-3</v>
      </c>
      <c r="G159" s="172">
        <v>1.11056339111408</v>
      </c>
    </row>
    <row r="160" spans="2:7" hidden="1" x14ac:dyDescent="0.3">
      <c r="B160" s="172" t="s">
        <v>189</v>
      </c>
      <c r="C160" s="172" t="s">
        <v>81</v>
      </c>
      <c r="D160" s="172" t="s">
        <v>221</v>
      </c>
      <c r="E160" s="172">
        <v>2.7808384560021399E-2</v>
      </c>
      <c r="F160" s="172">
        <v>2.7758206809075901E-2</v>
      </c>
      <c r="G160" s="172">
        <v>1.00180767263861</v>
      </c>
    </row>
    <row r="161" spans="2:7" hidden="1" x14ac:dyDescent="0.3">
      <c r="B161" s="172" t="s">
        <v>187</v>
      </c>
      <c r="C161" s="172" t="s">
        <v>81</v>
      </c>
      <c r="D161" s="172" t="s">
        <v>221</v>
      </c>
      <c r="E161" s="172">
        <v>2.7301850675392501E-2</v>
      </c>
      <c r="F161" s="172">
        <v>2.69812358440914E-2</v>
      </c>
      <c r="G161" s="172">
        <v>1.0118828816127601</v>
      </c>
    </row>
    <row r="162" spans="2:7" hidden="1" x14ac:dyDescent="0.3">
      <c r="B162" s="172" t="s">
        <v>185</v>
      </c>
      <c r="C162" s="172" t="s">
        <v>81</v>
      </c>
      <c r="D162" s="172" t="s">
        <v>221</v>
      </c>
      <c r="E162" s="172">
        <v>2.6327707819186901E-2</v>
      </c>
      <c r="F162" s="172">
        <v>2.60280287955682E-2</v>
      </c>
      <c r="G162" s="172">
        <v>1.0115137041676301</v>
      </c>
    </row>
    <row r="163" spans="2:7" hidden="1" x14ac:dyDescent="0.3">
      <c r="B163" s="172" t="s">
        <v>183</v>
      </c>
      <c r="C163" s="172" t="s">
        <v>81</v>
      </c>
      <c r="D163" s="172" t="s">
        <v>221</v>
      </c>
      <c r="E163" s="172">
        <v>2.4786265193319602E-2</v>
      </c>
      <c r="F163" s="172">
        <v>2.45123016574459E-2</v>
      </c>
      <c r="G163" s="172">
        <v>1.0111765732856199</v>
      </c>
    </row>
    <row r="164" spans="2:7" hidden="1" x14ac:dyDescent="0.3">
      <c r="B164" s="172" t="s">
        <v>181</v>
      </c>
      <c r="C164" s="172" t="s">
        <v>81</v>
      </c>
      <c r="D164" s="172" t="s">
        <v>221</v>
      </c>
      <c r="E164" s="172">
        <v>2.27159449572891E-2</v>
      </c>
      <c r="F164" s="172">
        <v>2.24660006513785E-2</v>
      </c>
      <c r="G164" s="172">
        <v>1.0111254472831701</v>
      </c>
    </row>
    <row r="165" spans="2:7" hidden="1" x14ac:dyDescent="0.3">
      <c r="B165" s="172" t="s">
        <v>179</v>
      </c>
      <c r="C165" s="172" t="s">
        <v>81</v>
      </c>
      <c r="D165" s="172" t="s">
        <v>221</v>
      </c>
      <c r="E165" s="172">
        <v>2.0193074545112901E-2</v>
      </c>
      <c r="F165" s="172">
        <v>1.9964901137319298E-2</v>
      </c>
      <c r="G165" s="172">
        <v>1.0114287271559399</v>
      </c>
    </row>
    <row r="166" spans="2:7" hidden="1" x14ac:dyDescent="0.3">
      <c r="B166" s="172" t="s">
        <v>39</v>
      </c>
      <c r="C166" s="172" t="s">
        <v>81</v>
      </c>
      <c r="D166" s="172" t="s">
        <v>221</v>
      </c>
      <c r="E166" s="172">
        <v>1.7287579101781698E-2</v>
      </c>
      <c r="F166" s="172">
        <v>1.7078923590642899E-2</v>
      </c>
      <c r="G166" s="172">
        <v>1.01221713476446</v>
      </c>
    </row>
    <row r="167" spans="2:7" hidden="1" x14ac:dyDescent="0.3">
      <c r="B167" s="172" t="s">
        <v>26</v>
      </c>
      <c r="C167" s="172" t="s">
        <v>81</v>
      </c>
      <c r="D167" s="172" t="s">
        <v>221</v>
      </c>
      <c r="E167" s="172">
        <v>1.40607387821866E-2</v>
      </c>
      <c r="F167" s="172">
        <v>1.3869052929217999E-2</v>
      </c>
      <c r="G167" s="172">
        <v>1.0138211205874601</v>
      </c>
    </row>
    <row r="168" spans="2:7" hidden="1" x14ac:dyDescent="0.3">
      <c r="B168" s="172" t="s">
        <v>25</v>
      </c>
      <c r="C168" s="172" t="s">
        <v>81</v>
      </c>
      <c r="D168" s="172" t="s">
        <v>221</v>
      </c>
      <c r="E168" s="172">
        <v>1.05723178461205E-2</v>
      </c>
      <c r="F168" s="172">
        <v>1.03946188319421E-2</v>
      </c>
      <c r="G168" s="172">
        <v>1.01709528911559</v>
      </c>
    </row>
    <row r="169" spans="2:7" hidden="1" x14ac:dyDescent="0.3">
      <c r="B169" s="172" t="s">
        <v>24</v>
      </c>
      <c r="C169" s="172" t="s">
        <v>81</v>
      </c>
      <c r="D169" s="172" t="s">
        <v>221</v>
      </c>
      <c r="E169" s="172">
        <v>6.8984447210507401E-3</v>
      </c>
      <c r="F169" s="172">
        <v>6.7334596266412699E-3</v>
      </c>
      <c r="G169" s="172">
        <v>1.02450227721819</v>
      </c>
    </row>
    <row r="170" spans="2:7" hidden="1" x14ac:dyDescent="0.3">
      <c r="B170" s="172" t="s">
        <v>22</v>
      </c>
      <c r="C170" s="172" t="s">
        <v>81</v>
      </c>
      <c r="D170" s="172" t="s">
        <v>221</v>
      </c>
      <c r="E170" s="172">
        <v>3.1854111207537902E-3</v>
      </c>
      <c r="F170" s="172">
        <v>3.0514532933715202E-3</v>
      </c>
      <c r="G170" s="172">
        <v>1.04389968139878</v>
      </c>
    </row>
    <row r="171" spans="2:7" hidden="1" x14ac:dyDescent="0.3">
      <c r="B171" s="172" t="s">
        <v>189</v>
      </c>
      <c r="C171" s="172" t="s">
        <v>82</v>
      </c>
      <c r="D171" s="172" t="s">
        <v>221</v>
      </c>
      <c r="E171" s="172">
        <v>2.5920393580248301E-2</v>
      </c>
      <c r="F171" s="172">
        <v>2.5038668000744901E-2</v>
      </c>
      <c r="G171" s="172">
        <v>1.0352145561208399</v>
      </c>
    </row>
    <row r="172" spans="2:7" hidden="1" x14ac:dyDescent="0.3">
      <c r="B172" s="172" t="s">
        <v>187</v>
      </c>
      <c r="C172" s="172" t="s">
        <v>82</v>
      </c>
      <c r="D172" s="172" t="s">
        <v>221</v>
      </c>
      <c r="E172" s="172">
        <v>3.1772315903544797E-2</v>
      </c>
      <c r="F172" s="172">
        <v>2.77275108575421E-2</v>
      </c>
      <c r="G172" s="172">
        <v>1.14587696193805</v>
      </c>
    </row>
    <row r="173" spans="2:7" hidden="1" x14ac:dyDescent="0.3">
      <c r="B173" s="172" t="s">
        <v>185</v>
      </c>
      <c r="C173" s="172" t="s">
        <v>82</v>
      </c>
      <c r="D173" s="172" t="s">
        <v>221</v>
      </c>
      <c r="E173" s="172">
        <v>3.06971508937511E-2</v>
      </c>
      <c r="F173" s="172">
        <v>2.67521882516049E-2</v>
      </c>
      <c r="G173" s="172">
        <v>1.14746317591084</v>
      </c>
    </row>
    <row r="174" spans="2:7" hidden="1" x14ac:dyDescent="0.3">
      <c r="B174" s="172" t="s">
        <v>183</v>
      </c>
      <c r="C174" s="172" t="s">
        <v>82</v>
      </c>
      <c r="D174" s="172" t="s">
        <v>221</v>
      </c>
      <c r="E174" s="172">
        <v>2.8949585050937102E-2</v>
      </c>
      <c r="F174" s="172">
        <v>2.51984475351687E-2</v>
      </c>
      <c r="G174" s="172">
        <v>1.14886383419189</v>
      </c>
    </row>
    <row r="175" spans="2:7" hidden="1" x14ac:dyDescent="0.3">
      <c r="B175" s="172" t="s">
        <v>181</v>
      </c>
      <c r="C175" s="172" t="s">
        <v>82</v>
      </c>
      <c r="D175" s="172" t="s">
        <v>221</v>
      </c>
      <c r="E175" s="172">
        <v>2.6562529513956198E-2</v>
      </c>
      <c r="F175" s="172">
        <v>2.3097958978945399E-2</v>
      </c>
      <c r="G175" s="172">
        <v>1.1499946613537999</v>
      </c>
    </row>
    <row r="176" spans="2:7" hidden="1" x14ac:dyDescent="0.3">
      <c r="B176" s="172" t="s">
        <v>179</v>
      </c>
      <c r="C176" s="172" t="s">
        <v>82</v>
      </c>
      <c r="D176" s="172" t="s">
        <v>221</v>
      </c>
      <c r="E176" s="172">
        <v>2.36266099467883E-2</v>
      </c>
      <c r="F176" s="172">
        <v>2.05286189867275E-2</v>
      </c>
      <c r="G176" s="172">
        <v>1.15091083146234</v>
      </c>
    </row>
    <row r="177" spans="2:7" hidden="1" x14ac:dyDescent="0.3">
      <c r="B177" s="172" t="s">
        <v>39</v>
      </c>
      <c r="C177" s="172" t="s">
        <v>82</v>
      </c>
      <c r="D177" s="172" t="s">
        <v>221</v>
      </c>
      <c r="E177" s="172">
        <v>2.02249306446265E-2</v>
      </c>
      <c r="F177" s="172">
        <v>1.7562315478590398E-2</v>
      </c>
      <c r="G177" s="172">
        <v>1.1516095738789101</v>
      </c>
    </row>
    <row r="178" spans="2:7" hidden="1" x14ac:dyDescent="0.3">
      <c r="B178" s="172" t="s">
        <v>26</v>
      </c>
      <c r="C178" s="172" t="s">
        <v>82</v>
      </c>
      <c r="D178" s="172" t="s">
        <v>221</v>
      </c>
      <c r="E178" s="172">
        <v>1.6428986582843801E-2</v>
      </c>
      <c r="F178" s="172">
        <v>1.42615955197975E-2</v>
      </c>
      <c r="G178" s="172">
        <v>1.15197395410897</v>
      </c>
    </row>
    <row r="179" spans="2:7" hidden="1" x14ac:dyDescent="0.3">
      <c r="B179" s="172" t="s">
        <v>25</v>
      </c>
      <c r="C179" s="172" t="s">
        <v>82</v>
      </c>
      <c r="D179" s="172" t="s">
        <v>221</v>
      </c>
      <c r="E179" s="172">
        <v>1.2307449751668999E-2</v>
      </c>
      <c r="F179" s="172">
        <v>1.06871736351698E-2</v>
      </c>
      <c r="G179" s="172">
        <v>1.1516094125360801</v>
      </c>
    </row>
    <row r="180" spans="2:7" hidden="1" x14ac:dyDescent="0.3">
      <c r="B180" s="172" t="s">
        <v>24</v>
      </c>
      <c r="C180" s="172" t="s">
        <v>82</v>
      </c>
      <c r="D180" s="172" t="s">
        <v>221</v>
      </c>
      <c r="E180" s="172">
        <v>7.9519579066313194E-3</v>
      </c>
      <c r="F180" s="172">
        <v>6.9189692048675696E-3</v>
      </c>
      <c r="G180" s="172">
        <v>1.14929806321974</v>
      </c>
    </row>
    <row r="181" spans="2:7" hidden="1" x14ac:dyDescent="0.3">
      <c r="B181" s="172" t="s">
        <v>22</v>
      </c>
      <c r="C181" s="172" t="s">
        <v>82</v>
      </c>
      <c r="D181" s="172" t="s">
        <v>221</v>
      </c>
      <c r="E181" s="172">
        <v>3.5720407299241501E-3</v>
      </c>
      <c r="F181" s="172">
        <v>3.1297267620904699E-3</v>
      </c>
      <c r="G181" s="172">
        <v>1.1413267040405299</v>
      </c>
    </row>
    <row r="182" spans="2:7" hidden="1" x14ac:dyDescent="0.3">
      <c r="B182" s="172" t="s">
        <v>189</v>
      </c>
      <c r="C182" s="172" t="s">
        <v>246</v>
      </c>
      <c r="D182" s="172" t="s">
        <v>218</v>
      </c>
      <c r="E182" s="172">
        <v>3.2668655287075902E-3</v>
      </c>
      <c r="F182" s="172">
        <v>3.2138082538027699E-3</v>
      </c>
      <c r="G182" s="172">
        <v>1.0165091600726499</v>
      </c>
    </row>
    <row r="183" spans="2:7" hidden="1" x14ac:dyDescent="0.3">
      <c r="B183" s="172" t="s">
        <v>189</v>
      </c>
      <c r="C183" s="172" t="s">
        <v>246</v>
      </c>
      <c r="D183" s="172" t="s">
        <v>221</v>
      </c>
      <c r="E183" s="172">
        <v>4.42205563619532E-4</v>
      </c>
      <c r="F183" s="172">
        <v>3.99759743695677E-4</v>
      </c>
      <c r="G183" s="172">
        <v>1.1061783248394501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2.4345871717756599E-3</v>
      </c>
      <c r="F184" s="172">
        <v>2.3390494272515299E-3</v>
      </c>
      <c r="G184" s="172">
        <v>1.04084468819301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2.0820499364665301E-3</v>
      </c>
      <c r="F185" s="172">
        <v>1.9966116058710202E-3</v>
      </c>
      <c r="G185" s="172">
        <v>1.04279166280727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1.72996829608857E-3</v>
      </c>
      <c r="F186" s="172">
        <v>1.65069282130166E-3</v>
      </c>
      <c r="G186" s="172">
        <v>1.04802557675413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1.39161632884665E-3</v>
      </c>
      <c r="F187" s="172">
        <v>1.3196446024260401E-3</v>
      </c>
      <c r="G187" s="172">
        <v>1.05453871920386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1.07380909634195E-3</v>
      </c>
      <c r="F188" s="172">
        <v>1.0101828158148099E-3</v>
      </c>
      <c r="G188" s="172">
        <v>1.0629849167210701</v>
      </c>
    </row>
    <row r="189" spans="2:7" hidden="1" x14ac:dyDescent="0.3">
      <c r="B189" s="172" t="s">
        <v>39</v>
      </c>
      <c r="C189" s="172" t="s">
        <v>246</v>
      </c>
      <c r="D189" s="172" t="s">
        <v>218</v>
      </c>
      <c r="E189" s="172">
        <v>7.8331049959303204E-4</v>
      </c>
      <c r="F189" s="172">
        <v>7.2908815371992397E-4</v>
      </c>
      <c r="G189" s="172">
        <v>1.0743700821313</v>
      </c>
    </row>
    <row r="190" spans="2:7" hidden="1" x14ac:dyDescent="0.3">
      <c r="B190" s="172" t="s">
        <v>26</v>
      </c>
      <c r="C190" s="172" t="s">
        <v>246</v>
      </c>
      <c r="D190" s="172" t="s">
        <v>218</v>
      </c>
      <c r="E190" s="172">
        <v>5.2690170922545601E-4</v>
      </c>
      <c r="F190" s="172">
        <v>4.8313332426029099E-4</v>
      </c>
      <c r="G190" s="172">
        <v>1.0905927676013201</v>
      </c>
    </row>
    <row r="191" spans="2:7" hidden="1" x14ac:dyDescent="0.3">
      <c r="B191" s="172" t="s">
        <v>25</v>
      </c>
      <c r="C191" s="172" t="s">
        <v>246</v>
      </c>
      <c r="D191" s="172" t="s">
        <v>218</v>
      </c>
      <c r="E191" s="172">
        <v>3.1180664780475898E-4</v>
      </c>
      <c r="F191" s="172">
        <v>2.7952452019736702E-4</v>
      </c>
      <c r="G191" s="172">
        <v>1.11548943035337</v>
      </c>
    </row>
    <row r="192" spans="2:7" hidden="1" x14ac:dyDescent="0.3">
      <c r="B192" s="172" t="s">
        <v>24</v>
      </c>
      <c r="C192" s="172" t="s">
        <v>246</v>
      </c>
      <c r="D192" s="172" t="s">
        <v>218</v>
      </c>
      <c r="E192" s="172">
        <v>1.4536924891902299E-4</v>
      </c>
      <c r="F192" s="172">
        <v>1.25464152572517E-4</v>
      </c>
      <c r="G192" s="172">
        <v>1.15865166215506</v>
      </c>
    </row>
    <row r="193" spans="2:7" hidden="1" x14ac:dyDescent="0.3">
      <c r="B193" s="172" t="s">
        <v>24</v>
      </c>
      <c r="C193" s="172" t="s">
        <v>246</v>
      </c>
      <c r="D193" s="172" t="s">
        <v>221</v>
      </c>
      <c r="E193" s="172">
        <v>3.2565346164601897E-5</v>
      </c>
      <c r="F193" s="172">
        <v>1.26602498180959E-5</v>
      </c>
      <c r="G193" s="172">
        <v>2.5722514667960699</v>
      </c>
    </row>
    <row r="194" spans="2:7" hidden="1" x14ac:dyDescent="0.3">
      <c r="B194" s="172" t="s">
        <v>22</v>
      </c>
      <c r="C194" s="172" t="s">
        <v>246</v>
      </c>
      <c r="D194" s="172" t="s">
        <v>218</v>
      </c>
      <c r="E194" s="172">
        <v>4.0521109077842503E-5</v>
      </c>
      <c r="F194" s="172">
        <v>3.3202653969870097E-5</v>
      </c>
      <c r="G194" s="172">
        <v>1.2204177748746701</v>
      </c>
    </row>
    <row r="195" spans="2:7" hidden="1" x14ac:dyDescent="0.3">
      <c r="B195" s="172" t="s">
        <v>22</v>
      </c>
      <c r="C195" s="172" t="s">
        <v>246</v>
      </c>
      <c r="D195" s="172" t="s">
        <v>221</v>
      </c>
      <c r="E195" s="172">
        <v>1.3172868962276199E-5</v>
      </c>
      <c r="F195" s="172">
        <v>5.8544138543038501E-6</v>
      </c>
      <c r="G195" s="172">
        <v>2.2500747794917602</v>
      </c>
    </row>
    <row r="196" spans="2:7" hidden="1" x14ac:dyDescent="0.3">
      <c r="B196" s="172"/>
      <c r="C196" s="172"/>
      <c r="D196" s="172"/>
      <c r="E196" s="172"/>
      <c r="F196" s="172"/>
      <c r="G196" s="172"/>
    </row>
    <row r="197" spans="2:7" hidden="1" x14ac:dyDescent="0.3">
      <c r="B197" s="172"/>
      <c r="C197" s="172"/>
      <c r="D197" s="172"/>
      <c r="E197" s="172"/>
      <c r="F197" s="172"/>
      <c r="G197" s="172"/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hidden="1" x14ac:dyDescent="0.3">
      <c r="B227" s="172"/>
      <c r="C227" s="172"/>
      <c r="D227" s="172"/>
      <c r="E227" s="172"/>
      <c r="F227" s="172"/>
      <c r="G227" s="172"/>
    </row>
    <row r="228" spans="2:7" hidden="1" x14ac:dyDescent="0.3">
      <c r="B228" s="172"/>
      <c r="C228" s="172"/>
      <c r="D228" s="172"/>
      <c r="E228" s="172"/>
      <c r="F228" s="172"/>
      <c r="G228" s="172"/>
    </row>
    <row r="229" spans="2:7" s="172" customFormat="1" hidden="1" x14ac:dyDescent="0.3"/>
    <row r="230" spans="2:7" hidden="1" x14ac:dyDescent="0.3">
      <c r="B230" s="172"/>
      <c r="C230" s="172"/>
      <c r="D230" s="172"/>
      <c r="E230" s="172"/>
      <c r="F230" s="172"/>
      <c r="G230" s="172"/>
    </row>
    <row r="231" spans="2:7" hidden="1" x14ac:dyDescent="0.3">
      <c r="B231" s="172"/>
      <c r="C231" s="172"/>
      <c r="D231" s="172"/>
      <c r="E231" s="172"/>
      <c r="F231" s="172"/>
      <c r="G231" s="172"/>
    </row>
    <row r="232" spans="2:7" s="172" customFormat="1" hidden="1" x14ac:dyDescent="0.3"/>
    <row r="233" spans="2:7" hidden="1" x14ac:dyDescent="0.3">
      <c r="B233" s="172"/>
      <c r="C233" s="172"/>
      <c r="D233" s="172"/>
      <c r="E233" s="172"/>
      <c r="F233" s="172"/>
      <c r="G233" s="172"/>
    </row>
    <row r="234" spans="2:7" hidden="1" x14ac:dyDescent="0.3">
      <c r="B234" s="172"/>
      <c r="C234" s="172"/>
      <c r="D234" s="172"/>
      <c r="E234" s="172"/>
      <c r="F234" s="172"/>
      <c r="G234" s="172"/>
    </row>
    <row r="235" spans="2:7" s="172" customFormat="1" hidden="1" x14ac:dyDescent="0.3"/>
    <row r="236" spans="2:7" hidden="1" x14ac:dyDescent="0.3">
      <c r="B236" s="172"/>
      <c r="C236" s="172"/>
      <c r="D236" s="172"/>
      <c r="E236" s="172"/>
      <c r="F236" s="172"/>
      <c r="G236" s="172"/>
    </row>
    <row r="237" spans="2:7" hidden="1" x14ac:dyDescent="0.3">
      <c r="B237" s="172"/>
      <c r="C237" s="172"/>
      <c r="D237" s="172"/>
      <c r="E237" s="172"/>
      <c r="F237" s="172"/>
      <c r="G237" s="172"/>
    </row>
    <row r="238" spans="2:7" s="172" customFormat="1" hidden="1" x14ac:dyDescent="0.3"/>
    <row r="239" spans="2:7" hidden="1" x14ac:dyDescent="0.3">
      <c r="B239" s="172"/>
      <c r="C239" s="172"/>
      <c r="D239" s="172"/>
      <c r="E239" s="172"/>
      <c r="F239" s="172"/>
      <c r="G239" s="172"/>
    </row>
    <row r="240" spans="2:7" hidden="1" x14ac:dyDescent="0.3">
      <c r="B240" s="172"/>
      <c r="C240" s="172"/>
      <c r="D240" s="172"/>
      <c r="E240" s="172"/>
      <c r="F240" s="172"/>
      <c r="G240" s="172"/>
    </row>
    <row r="241" spans="2:7" s="172" customFormat="1" hidden="1" x14ac:dyDescent="0.3"/>
    <row r="242" spans="2:7" hidden="1" x14ac:dyDescent="0.3">
      <c r="B242" s="172"/>
      <c r="C242" s="172"/>
      <c r="D242" s="172"/>
      <c r="E242" s="172"/>
      <c r="F242" s="172"/>
      <c r="G242" s="172"/>
    </row>
    <row r="243" spans="2:7" hidden="1" x14ac:dyDescent="0.3">
      <c r="B243" s="172"/>
      <c r="C243" s="172"/>
      <c r="D243" s="172"/>
      <c r="E243" s="172"/>
      <c r="F243" s="172"/>
      <c r="G243" s="172"/>
    </row>
    <row r="244" spans="2:7" s="172" customFormat="1" hidden="1" x14ac:dyDescent="0.3"/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2.6350096637613299E-2</v>
      </c>
      <c r="F270" s="172">
        <v>2.5790374157313101E-2</v>
      </c>
      <c r="G270" s="172">
        <v>1.02170276696593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2.7057234859250601E-2</v>
      </c>
      <c r="F271" s="172">
        <v>2.5143603934199898E-2</v>
      </c>
      <c r="G271" s="172">
        <v>1.0761080603265401</v>
      </c>
    </row>
    <row r="272" spans="2:7" s="172" customFormat="1" hidden="1" x14ac:dyDescent="0.3">
      <c r="B272" s="172" t="s">
        <v>185</v>
      </c>
      <c r="C272" s="172" t="s">
        <v>79</v>
      </c>
      <c r="D272" s="172" t="s">
        <v>218</v>
      </c>
      <c r="E272" s="172">
        <v>2.60348463522154E-2</v>
      </c>
      <c r="F272" s="172">
        <v>2.41721189395834E-2</v>
      </c>
      <c r="G272" s="172">
        <v>1.0770609898655501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2.4461604702633401E-2</v>
      </c>
      <c r="F273" s="172">
        <v>2.2695076102959202E-2</v>
      </c>
      <c r="G273" s="172">
        <v>1.0778375270327401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2.2377110822653101E-2</v>
      </c>
      <c r="F274" s="172">
        <v>2.0747463083923199E-2</v>
      </c>
      <c r="G274" s="172">
        <v>1.07854684363761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1.98580228911612E-2</v>
      </c>
      <c r="F275" s="172">
        <v>1.8400009133567902E-2</v>
      </c>
      <c r="G275" s="172">
        <v>1.0792398387962401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1.69741968603421E-2</v>
      </c>
      <c r="F276" s="172">
        <v>1.5717392693141801E-2</v>
      </c>
      <c r="G276" s="172">
        <v>1.0799626370440401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1.37877503833516E-2</v>
      </c>
      <c r="F277" s="172">
        <v>1.27572349801415E-2</v>
      </c>
      <c r="G277" s="172">
        <v>1.08077889956674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1.0359139858370701E-2</v>
      </c>
      <c r="F278" s="172">
        <v>9.5757030188596704E-3</v>
      </c>
      <c r="G278" s="172">
        <v>1.08181507279079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6.7617717775258698E-3</v>
      </c>
      <c r="F279" s="172">
        <v>6.2411802272827896E-3</v>
      </c>
      <c r="G279" s="172">
        <v>1.08341235652311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3.1328330099670899E-3</v>
      </c>
      <c r="F280" s="172">
        <v>2.8829934873375001E-3</v>
      </c>
      <c r="G280" s="172">
        <v>1.0866597596307199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2.6883042231218901E-2</v>
      </c>
      <c r="F281" s="172">
        <v>2.6285513505526801E-2</v>
      </c>
      <c r="G281" s="172">
        <v>1.0227322447235601</v>
      </c>
    </row>
    <row r="282" spans="2:7" hidden="1" x14ac:dyDescent="0.3">
      <c r="B282" s="172" t="s">
        <v>187</v>
      </c>
      <c r="C282" s="172" t="s">
        <v>80</v>
      </c>
      <c r="D282" s="172" t="s">
        <v>218</v>
      </c>
      <c r="E282" s="172">
        <v>2.7583967187125601E-2</v>
      </c>
      <c r="F282" s="172">
        <v>2.5183580435005501E-2</v>
      </c>
      <c r="G282" s="172">
        <v>1.0953155472993601</v>
      </c>
    </row>
    <row r="283" spans="2:7" hidden="1" x14ac:dyDescent="0.3">
      <c r="B283" s="172" t="s">
        <v>185</v>
      </c>
      <c r="C283" s="172" t="s">
        <v>80</v>
      </c>
      <c r="D283" s="172" t="s">
        <v>218</v>
      </c>
      <c r="E283" s="172">
        <v>2.65445428910571E-2</v>
      </c>
      <c r="F283" s="172">
        <v>2.4212211935897201E-2</v>
      </c>
      <c r="G283" s="172">
        <v>1.0963287022819299</v>
      </c>
    </row>
    <row r="284" spans="2:7" hidden="1" x14ac:dyDescent="0.3">
      <c r="B284" s="172" t="s">
        <v>183</v>
      </c>
      <c r="C284" s="172" t="s">
        <v>80</v>
      </c>
      <c r="D284" s="172" t="s">
        <v>218</v>
      </c>
      <c r="E284" s="172">
        <v>2.49465618651089E-2</v>
      </c>
      <c r="F284" s="172">
        <v>2.2734222830594699E-2</v>
      </c>
      <c r="G284" s="172">
        <v>1.09731315871229</v>
      </c>
    </row>
    <row r="285" spans="2:7" hidden="1" x14ac:dyDescent="0.3">
      <c r="B285" s="172" t="s">
        <v>181</v>
      </c>
      <c r="C285" s="172" t="s">
        <v>80</v>
      </c>
      <c r="D285" s="172" t="s">
        <v>218</v>
      </c>
      <c r="E285" s="172">
        <v>2.2827494764457199E-2</v>
      </c>
      <c r="F285" s="172">
        <v>2.0784552850634901E-2</v>
      </c>
      <c r="G285" s="172">
        <v>1.09829135745684</v>
      </c>
    </row>
    <row r="286" spans="2:7" hidden="1" x14ac:dyDescent="0.3">
      <c r="B286" s="172" t="s">
        <v>179</v>
      </c>
      <c r="C286" s="172" t="s">
        <v>80</v>
      </c>
      <c r="D286" s="172" t="s">
        <v>218</v>
      </c>
      <c r="E286" s="172">
        <v>2.0265054100581999E-2</v>
      </c>
      <c r="F286" s="172">
        <v>1.8434048504764499E-2</v>
      </c>
      <c r="G286" s="172">
        <v>1.0993273721366299</v>
      </c>
    </row>
    <row r="287" spans="2:7" hidden="1" x14ac:dyDescent="0.3">
      <c r="B287" s="172" t="s">
        <v>39</v>
      </c>
      <c r="C287" s="172" t="s">
        <v>80</v>
      </c>
      <c r="D287" s="172" t="s">
        <v>218</v>
      </c>
      <c r="E287" s="172">
        <v>1.7329826531985101E-2</v>
      </c>
      <c r="F287" s="172">
        <v>1.5747480213153201E-2</v>
      </c>
      <c r="G287" s="172">
        <v>1.10048250878323</v>
      </c>
    </row>
    <row r="288" spans="2:7" hidden="1" x14ac:dyDescent="0.3">
      <c r="B288" s="172" t="s">
        <v>26</v>
      </c>
      <c r="C288" s="172" t="s">
        <v>80</v>
      </c>
      <c r="D288" s="172" t="s">
        <v>218</v>
      </c>
      <c r="E288" s="172">
        <v>1.40842938384755E-2</v>
      </c>
      <c r="F288" s="172">
        <v>1.27825221181119E-2</v>
      </c>
      <c r="G288" s="172">
        <v>1.1018399740157001</v>
      </c>
    </row>
    <row r="289" spans="2:7" hidden="1" x14ac:dyDescent="0.3">
      <c r="B289" s="172" t="s">
        <v>25</v>
      </c>
      <c r="C289" s="172" t="s">
        <v>80</v>
      </c>
      <c r="D289" s="172" t="s">
        <v>218</v>
      </c>
      <c r="E289" s="172">
        <v>1.0588999847545201E-2</v>
      </c>
      <c r="F289" s="172">
        <v>9.5953671813122608E-3</v>
      </c>
      <c r="G289" s="172">
        <v>1.10355337606758</v>
      </c>
    </row>
    <row r="290" spans="2:7" hidden="1" x14ac:dyDescent="0.3">
      <c r="B290" s="172" t="s">
        <v>24</v>
      </c>
      <c r="C290" s="172" t="s">
        <v>80</v>
      </c>
      <c r="D290" s="172" t="s">
        <v>218</v>
      </c>
      <c r="E290" s="172">
        <v>6.9175471413458504E-3</v>
      </c>
      <c r="F290" s="172">
        <v>6.2544393334307896E-3</v>
      </c>
      <c r="G290" s="172">
        <v>1.10602194258575</v>
      </c>
    </row>
    <row r="291" spans="2:7" hidden="1" x14ac:dyDescent="0.3">
      <c r="B291" s="172" t="s">
        <v>22</v>
      </c>
      <c r="C291" s="172" t="s">
        <v>80</v>
      </c>
      <c r="D291" s="172" t="s">
        <v>218</v>
      </c>
      <c r="E291" s="172">
        <v>3.2087534438237698E-3</v>
      </c>
      <c r="F291" s="172">
        <v>2.8893023752609502E-3</v>
      </c>
      <c r="G291" s="172">
        <v>1.11056339111408</v>
      </c>
    </row>
    <row r="292" spans="2:7" x14ac:dyDescent="0.3">
      <c r="B292" s="172" t="s">
        <v>189</v>
      </c>
      <c r="C292" s="172" t="s">
        <v>81</v>
      </c>
      <c r="D292" s="172" t="s">
        <v>221</v>
      </c>
      <c r="E292" s="172">
        <v>2.7808384560021399E-2</v>
      </c>
      <c r="F292" s="172">
        <v>2.7758206809075901E-2</v>
      </c>
      <c r="G292" s="172">
        <v>1.00180767263861</v>
      </c>
    </row>
    <row r="293" spans="2:7" x14ac:dyDescent="0.3">
      <c r="B293" s="172" t="s">
        <v>187</v>
      </c>
      <c r="C293" s="172" t="s">
        <v>81</v>
      </c>
      <c r="D293" s="172" t="s">
        <v>221</v>
      </c>
      <c r="E293" s="172">
        <v>2.7301850675392501E-2</v>
      </c>
      <c r="F293" s="172">
        <v>2.69812358440914E-2</v>
      </c>
      <c r="G293" s="172">
        <v>1.0118828816127601</v>
      </c>
    </row>
    <row r="294" spans="2:7" x14ac:dyDescent="0.3">
      <c r="B294" s="172" t="s">
        <v>185</v>
      </c>
      <c r="C294" s="172" t="s">
        <v>81</v>
      </c>
      <c r="D294" s="172" t="s">
        <v>221</v>
      </c>
      <c r="E294" s="172">
        <v>2.6327707819186901E-2</v>
      </c>
      <c r="F294" s="172">
        <v>2.60280287955682E-2</v>
      </c>
      <c r="G294" s="172">
        <v>1.0115137041676301</v>
      </c>
    </row>
    <row r="295" spans="2:7" x14ac:dyDescent="0.3">
      <c r="B295" s="172" t="s">
        <v>183</v>
      </c>
      <c r="C295" s="172" t="s">
        <v>81</v>
      </c>
      <c r="D295" s="172" t="s">
        <v>221</v>
      </c>
      <c r="E295" s="172">
        <v>2.4786265193319602E-2</v>
      </c>
      <c r="F295" s="172">
        <v>2.45123016574459E-2</v>
      </c>
      <c r="G295" s="172">
        <v>1.0111765732856199</v>
      </c>
    </row>
    <row r="296" spans="2:7" x14ac:dyDescent="0.3">
      <c r="B296" s="172" t="s">
        <v>181</v>
      </c>
      <c r="C296" s="172" t="s">
        <v>81</v>
      </c>
      <c r="D296" s="172" t="s">
        <v>221</v>
      </c>
      <c r="E296" s="172">
        <v>2.27159449572891E-2</v>
      </c>
      <c r="F296" s="172">
        <v>2.24660006513785E-2</v>
      </c>
      <c r="G296" s="172">
        <v>1.0111254472831701</v>
      </c>
    </row>
    <row r="297" spans="2:7" x14ac:dyDescent="0.3">
      <c r="B297" s="172" t="s">
        <v>179</v>
      </c>
      <c r="C297" s="172" t="s">
        <v>81</v>
      </c>
      <c r="D297" s="172" t="s">
        <v>221</v>
      </c>
      <c r="E297" s="172">
        <v>2.0193074545112901E-2</v>
      </c>
      <c r="F297" s="172">
        <v>1.9964901137319298E-2</v>
      </c>
      <c r="G297" s="172">
        <v>1.0114287271559399</v>
      </c>
    </row>
    <row r="298" spans="2:7" x14ac:dyDescent="0.3">
      <c r="B298" s="172" t="s">
        <v>39</v>
      </c>
      <c r="C298" s="172" t="s">
        <v>81</v>
      </c>
      <c r="D298" s="172" t="s">
        <v>221</v>
      </c>
      <c r="E298" s="172">
        <v>1.7287579101781698E-2</v>
      </c>
      <c r="F298" s="172">
        <v>1.7078923590642899E-2</v>
      </c>
      <c r="G298" s="172">
        <v>1.01221713476446</v>
      </c>
    </row>
    <row r="299" spans="2:7" x14ac:dyDescent="0.3">
      <c r="B299" s="172" t="s">
        <v>26</v>
      </c>
      <c r="C299" s="172" t="s">
        <v>81</v>
      </c>
      <c r="D299" s="172" t="s">
        <v>221</v>
      </c>
      <c r="E299" s="172">
        <v>1.40607387821866E-2</v>
      </c>
      <c r="F299" s="172">
        <v>1.3869052929217999E-2</v>
      </c>
      <c r="G299" s="172">
        <v>1.0138211205874601</v>
      </c>
    </row>
    <row r="300" spans="2:7" x14ac:dyDescent="0.3">
      <c r="B300" s="172" t="s">
        <v>25</v>
      </c>
      <c r="C300" s="172" t="s">
        <v>81</v>
      </c>
      <c r="D300" s="172" t="s">
        <v>221</v>
      </c>
      <c r="E300" s="172">
        <v>1.05723178461205E-2</v>
      </c>
      <c r="F300" s="172">
        <v>1.03946188319421E-2</v>
      </c>
      <c r="G300" s="172">
        <v>1.01709528911559</v>
      </c>
    </row>
    <row r="301" spans="2:7" x14ac:dyDescent="0.3">
      <c r="B301" s="172" t="s">
        <v>24</v>
      </c>
      <c r="C301" s="172" t="s">
        <v>81</v>
      </c>
      <c r="D301" s="172" t="s">
        <v>221</v>
      </c>
      <c r="E301" s="172">
        <v>6.8984447210507401E-3</v>
      </c>
      <c r="F301" s="172">
        <v>6.7334596266412699E-3</v>
      </c>
      <c r="G301" s="172">
        <v>1.02450227721819</v>
      </c>
    </row>
    <row r="302" spans="2:7" x14ac:dyDescent="0.3">
      <c r="B302" s="172" t="s">
        <v>22</v>
      </c>
      <c r="C302" s="172" t="s">
        <v>81</v>
      </c>
      <c r="D302" s="172" t="s">
        <v>221</v>
      </c>
      <c r="E302" s="172">
        <v>3.1854111207537902E-3</v>
      </c>
      <c r="F302" s="172">
        <v>3.0514532933715202E-3</v>
      </c>
      <c r="G302" s="172">
        <v>1.04389968139878</v>
      </c>
    </row>
    <row r="303" spans="2:7" hidden="1" x14ac:dyDescent="0.3">
      <c r="B303" s="172" t="s">
        <v>189</v>
      </c>
      <c r="C303" s="172" t="s">
        <v>82</v>
      </c>
      <c r="D303" s="172" t="s">
        <v>221</v>
      </c>
      <c r="E303" s="172">
        <v>2.5920393580248301E-2</v>
      </c>
      <c r="F303" s="172">
        <v>2.5038668000744901E-2</v>
      </c>
      <c r="G303" s="172">
        <v>1.0352145561208399</v>
      </c>
    </row>
    <row r="304" spans="2:7" hidden="1" x14ac:dyDescent="0.3">
      <c r="B304" s="172" t="s">
        <v>187</v>
      </c>
      <c r="C304" s="172" t="s">
        <v>82</v>
      </c>
      <c r="D304" s="172" t="s">
        <v>221</v>
      </c>
      <c r="E304" s="172">
        <v>3.1772315903544797E-2</v>
      </c>
      <c r="F304" s="172">
        <v>2.77275108575421E-2</v>
      </c>
      <c r="G304" s="172">
        <v>1.14587696193805</v>
      </c>
    </row>
    <row r="305" spans="2:7" hidden="1" x14ac:dyDescent="0.3">
      <c r="B305" s="172" t="s">
        <v>185</v>
      </c>
      <c r="C305" s="172" t="s">
        <v>82</v>
      </c>
      <c r="D305" s="172" t="s">
        <v>221</v>
      </c>
      <c r="E305" s="172">
        <v>3.06971508937511E-2</v>
      </c>
      <c r="F305" s="172">
        <v>2.67521882516049E-2</v>
      </c>
      <c r="G305" s="172">
        <v>1.14746317591084</v>
      </c>
    </row>
    <row r="306" spans="2:7" hidden="1" x14ac:dyDescent="0.3">
      <c r="B306" s="172" t="s">
        <v>183</v>
      </c>
      <c r="C306" s="172" t="s">
        <v>82</v>
      </c>
      <c r="D306" s="172" t="s">
        <v>221</v>
      </c>
      <c r="E306" s="172">
        <v>2.8949585050937102E-2</v>
      </c>
      <c r="F306" s="172">
        <v>2.51984475351687E-2</v>
      </c>
      <c r="G306" s="172">
        <v>1.14886383419189</v>
      </c>
    </row>
    <row r="307" spans="2:7" hidden="1" x14ac:dyDescent="0.3">
      <c r="B307" s="172" t="s">
        <v>181</v>
      </c>
      <c r="C307" s="172" t="s">
        <v>82</v>
      </c>
      <c r="D307" s="172" t="s">
        <v>221</v>
      </c>
      <c r="E307" s="172">
        <v>2.6562529513956198E-2</v>
      </c>
      <c r="F307" s="172">
        <v>2.3097958978945399E-2</v>
      </c>
      <c r="G307" s="172">
        <v>1.1499946613537999</v>
      </c>
    </row>
    <row r="308" spans="2:7" hidden="1" x14ac:dyDescent="0.3">
      <c r="B308" s="172" t="s">
        <v>179</v>
      </c>
      <c r="C308" s="172" t="s">
        <v>82</v>
      </c>
      <c r="D308" s="172" t="s">
        <v>221</v>
      </c>
      <c r="E308" s="172">
        <v>2.36266099467883E-2</v>
      </c>
      <c r="F308" s="172">
        <v>2.05286189867275E-2</v>
      </c>
      <c r="G308" s="172">
        <v>1.15091083146234</v>
      </c>
    </row>
    <row r="309" spans="2:7" hidden="1" x14ac:dyDescent="0.3">
      <c r="B309" s="172" t="s">
        <v>39</v>
      </c>
      <c r="C309" s="172" t="s">
        <v>82</v>
      </c>
      <c r="D309" s="172" t="s">
        <v>221</v>
      </c>
      <c r="E309" s="172">
        <v>2.02249306446265E-2</v>
      </c>
      <c r="F309" s="172">
        <v>1.7562315478590398E-2</v>
      </c>
      <c r="G309" s="172">
        <v>1.1516095738789101</v>
      </c>
    </row>
    <row r="310" spans="2:7" hidden="1" x14ac:dyDescent="0.3">
      <c r="B310" s="172" t="s">
        <v>26</v>
      </c>
      <c r="C310" s="172" t="s">
        <v>82</v>
      </c>
      <c r="D310" s="172" t="s">
        <v>221</v>
      </c>
      <c r="E310" s="172">
        <v>1.6428986582843801E-2</v>
      </c>
      <c r="F310" s="172">
        <v>1.42615955197975E-2</v>
      </c>
      <c r="G310" s="172">
        <v>1.15197395410897</v>
      </c>
    </row>
    <row r="311" spans="2:7" hidden="1" x14ac:dyDescent="0.3">
      <c r="B311" s="172" t="s">
        <v>25</v>
      </c>
      <c r="C311" s="172" t="s">
        <v>82</v>
      </c>
      <c r="D311" s="172" t="s">
        <v>221</v>
      </c>
      <c r="E311" s="172">
        <v>1.2307449751668999E-2</v>
      </c>
      <c r="F311" s="172">
        <v>1.06871736351698E-2</v>
      </c>
      <c r="G311" s="172">
        <v>1.1516094125360801</v>
      </c>
    </row>
    <row r="312" spans="2:7" hidden="1" x14ac:dyDescent="0.3">
      <c r="B312" s="172" t="s">
        <v>24</v>
      </c>
      <c r="C312" s="172" t="s">
        <v>82</v>
      </c>
      <c r="D312" s="172" t="s">
        <v>221</v>
      </c>
      <c r="E312" s="172">
        <v>7.9519579066313194E-3</v>
      </c>
      <c r="F312" s="172">
        <v>6.9189692048675696E-3</v>
      </c>
      <c r="G312" s="172">
        <v>1.14929806321974</v>
      </c>
    </row>
    <row r="313" spans="2:7" hidden="1" x14ac:dyDescent="0.3">
      <c r="B313" s="172" t="s">
        <v>22</v>
      </c>
      <c r="C313" s="172" t="s">
        <v>82</v>
      </c>
      <c r="D313" s="172" t="s">
        <v>221</v>
      </c>
      <c r="E313" s="172">
        <v>3.5720407299241501E-3</v>
      </c>
      <c r="F313" s="172">
        <v>3.1297267620904699E-3</v>
      </c>
      <c r="G313" s="172">
        <v>1.1413267040405299</v>
      </c>
    </row>
    <row r="314" spans="2:7" hidden="1" x14ac:dyDescent="0.3">
      <c r="B314" s="172" t="s">
        <v>189</v>
      </c>
      <c r="C314" s="172" t="s">
        <v>246</v>
      </c>
      <c r="D314" s="172" t="s">
        <v>218</v>
      </c>
      <c r="E314" s="172">
        <v>3.2668655287075902E-3</v>
      </c>
      <c r="F314" s="172">
        <v>3.2138082538027699E-3</v>
      </c>
      <c r="G314" s="172">
        <v>1.0165091600726499</v>
      </c>
    </row>
    <row r="315" spans="2:7" hidden="1" x14ac:dyDescent="0.3">
      <c r="B315" s="172" t="s">
        <v>189</v>
      </c>
      <c r="C315" s="172" t="s">
        <v>246</v>
      </c>
      <c r="D315" s="172" t="s">
        <v>221</v>
      </c>
      <c r="E315" s="172">
        <v>4.42205563619532E-4</v>
      </c>
      <c r="F315" s="172">
        <v>3.99759743695677E-4</v>
      </c>
      <c r="G315" s="172">
        <v>1.1061783248394501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2.4345871717756599E-3</v>
      </c>
      <c r="F316" s="172">
        <v>2.3390494272515299E-3</v>
      </c>
      <c r="G316" s="172">
        <v>1.04084468819301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2.0820499364665301E-3</v>
      </c>
      <c r="F317" s="172">
        <v>1.9966116058710202E-3</v>
      </c>
      <c r="G317" s="172">
        <v>1.04279166280727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1.72996829608857E-3</v>
      </c>
      <c r="F318" s="172">
        <v>1.65069282130166E-3</v>
      </c>
      <c r="G318" s="172">
        <v>1.04802557675413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1.39161632884665E-3</v>
      </c>
      <c r="F319" s="172">
        <v>1.3196446024260401E-3</v>
      </c>
      <c r="G319" s="172">
        <v>1.05453871920386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1.07380909634195E-3</v>
      </c>
      <c r="F320" s="172">
        <v>1.0101828158148099E-3</v>
      </c>
      <c r="G320" s="172">
        <v>1.0629849167210701</v>
      </c>
    </row>
    <row r="321" spans="2:7" hidden="1" x14ac:dyDescent="0.3">
      <c r="B321" s="172" t="s">
        <v>39</v>
      </c>
      <c r="C321" s="172" t="s">
        <v>246</v>
      </c>
      <c r="D321" s="172" t="s">
        <v>218</v>
      </c>
      <c r="E321" s="172">
        <v>7.8331049959303204E-4</v>
      </c>
      <c r="F321" s="172">
        <v>7.2908815371992397E-4</v>
      </c>
      <c r="G321" s="172">
        <v>1.0743700821313</v>
      </c>
    </row>
    <row r="322" spans="2:7" hidden="1" x14ac:dyDescent="0.3">
      <c r="B322" s="172" t="s">
        <v>26</v>
      </c>
      <c r="C322" s="172" t="s">
        <v>246</v>
      </c>
      <c r="D322" s="172" t="s">
        <v>218</v>
      </c>
      <c r="E322" s="172">
        <v>5.2690170922545601E-4</v>
      </c>
      <c r="F322" s="172">
        <v>4.8313332426029099E-4</v>
      </c>
      <c r="G322" s="172">
        <v>1.0905927676013201</v>
      </c>
    </row>
    <row r="323" spans="2:7" hidden="1" x14ac:dyDescent="0.3">
      <c r="B323" s="172" t="s">
        <v>25</v>
      </c>
      <c r="C323" s="172" t="s">
        <v>246</v>
      </c>
      <c r="D323" s="172" t="s">
        <v>218</v>
      </c>
      <c r="E323" s="172">
        <v>3.1180664780475898E-4</v>
      </c>
      <c r="F323" s="172">
        <v>2.7952452019736702E-4</v>
      </c>
      <c r="G323" s="172">
        <v>1.11548943035337</v>
      </c>
    </row>
    <row r="324" spans="2:7" hidden="1" x14ac:dyDescent="0.3">
      <c r="B324" s="172" t="s">
        <v>24</v>
      </c>
      <c r="C324" s="172" t="s">
        <v>246</v>
      </c>
      <c r="D324" s="172" t="s">
        <v>218</v>
      </c>
      <c r="E324" s="172">
        <v>1.4536924891902299E-4</v>
      </c>
      <c r="F324" s="172">
        <v>1.25464152572517E-4</v>
      </c>
      <c r="G324" s="172">
        <v>1.15865166215506</v>
      </c>
    </row>
    <row r="325" spans="2:7" hidden="1" x14ac:dyDescent="0.3">
      <c r="B325" s="172" t="s">
        <v>24</v>
      </c>
      <c r="C325" s="172" t="s">
        <v>246</v>
      </c>
      <c r="D325" s="172" t="s">
        <v>221</v>
      </c>
      <c r="E325" s="172">
        <v>3.2565346164601897E-5</v>
      </c>
      <c r="F325" s="172">
        <v>1.26602498180959E-5</v>
      </c>
      <c r="G325" s="172">
        <v>2.5722514667960699</v>
      </c>
    </row>
    <row r="326" spans="2:7" hidden="1" x14ac:dyDescent="0.3">
      <c r="B326" s="172" t="s">
        <v>22</v>
      </c>
      <c r="C326" s="172" t="s">
        <v>246</v>
      </c>
      <c r="D326" s="172" t="s">
        <v>218</v>
      </c>
      <c r="E326" s="172">
        <v>4.0521109077842503E-5</v>
      </c>
      <c r="F326" s="172">
        <v>3.3202653969870097E-5</v>
      </c>
      <c r="G326" s="172">
        <v>1.2204177748746701</v>
      </c>
    </row>
    <row r="327" spans="2:7" hidden="1" x14ac:dyDescent="0.3">
      <c r="B327" s="172" t="s">
        <v>22</v>
      </c>
      <c r="C327" s="172" t="s">
        <v>246</v>
      </c>
      <c r="D327" s="172" t="s">
        <v>221</v>
      </c>
      <c r="E327" s="172">
        <v>1.3172868962276199E-5</v>
      </c>
      <c r="F327" s="172">
        <v>5.8544138543038501E-6</v>
      </c>
      <c r="G327" s="172">
        <v>2.2500747794917602</v>
      </c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hidden="1" x14ac:dyDescent="0.3">
      <c r="B330" s="172"/>
      <c r="C330" s="172"/>
      <c r="D330" s="172"/>
      <c r="E330" s="172"/>
      <c r="F330" s="172"/>
      <c r="G330" s="172"/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hidden="1" x14ac:dyDescent="0.3">
      <c r="B339" s="172"/>
      <c r="C339" s="172"/>
      <c r="D339" s="172"/>
      <c r="E339" s="172"/>
      <c r="F339" s="172"/>
      <c r="G339" s="172"/>
    </row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s="172" customFormat="1" hidden="1" x14ac:dyDescent="0.3"/>
    <row r="343" spans="2:7" hidden="1" x14ac:dyDescent="0.3">
      <c r="B343" s="172"/>
      <c r="C343" s="172"/>
      <c r="D343" s="172"/>
      <c r="E343" s="172"/>
      <c r="F343" s="172"/>
      <c r="G343" s="172"/>
    </row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s="172" customFormat="1" hidden="1" x14ac:dyDescent="0.3"/>
    <row r="347" spans="2:7" hidden="1" x14ac:dyDescent="0.3">
      <c r="B347" s="172"/>
      <c r="C347" s="172"/>
      <c r="D347" s="172"/>
      <c r="E347" s="172"/>
      <c r="F347" s="172"/>
      <c r="G347" s="172"/>
    </row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s="172" customFormat="1" hidden="1" x14ac:dyDescent="0.3"/>
    <row r="351" spans="2:7" hidden="1" x14ac:dyDescent="0.3">
      <c r="B351" s="172"/>
      <c r="C351" s="172"/>
      <c r="D351" s="172"/>
      <c r="E351" s="172"/>
      <c r="F351" s="172"/>
      <c r="G351" s="172"/>
    </row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s="172" customFormat="1" hidden="1" x14ac:dyDescent="0.3"/>
    <row r="355" spans="2:7" hidden="1" x14ac:dyDescent="0.3">
      <c r="B355" s="172"/>
      <c r="C355" s="172"/>
      <c r="D355" s="172"/>
      <c r="E355" s="172"/>
      <c r="F355" s="172"/>
      <c r="G355" s="172"/>
    </row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s="172" customFormat="1" hidden="1" x14ac:dyDescent="0.3"/>
    <row r="359" spans="2:7" hidden="1" x14ac:dyDescent="0.3">
      <c r="B359" s="172"/>
      <c r="C359" s="172"/>
      <c r="D359" s="172"/>
      <c r="E359" s="172"/>
      <c r="F359" s="172"/>
      <c r="G359" s="172"/>
    </row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s="172" customFormat="1" hidden="1" x14ac:dyDescent="0.3"/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2.6350096637613299E-2</v>
      </c>
      <c r="F402" s="172">
        <v>2.5790374157313101E-2</v>
      </c>
      <c r="G402" s="172">
        <v>1.02170276696593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2.7057234859250601E-2</v>
      </c>
      <c r="F403" s="172">
        <v>2.5143603934199898E-2</v>
      </c>
      <c r="G403" s="172">
        <v>1.0761080603265401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2.60348463522154E-2</v>
      </c>
      <c r="F404" s="172">
        <v>2.41721189395834E-2</v>
      </c>
      <c r="G404" s="172">
        <v>1.0770609898655501</v>
      </c>
    </row>
    <row r="405" spans="2:7" s="172" customFormat="1" hidden="1" x14ac:dyDescent="0.3">
      <c r="B405" s="172" t="s">
        <v>183</v>
      </c>
      <c r="C405" s="172" t="s">
        <v>79</v>
      </c>
      <c r="D405" s="172" t="s">
        <v>218</v>
      </c>
      <c r="E405" s="172">
        <v>2.4461604702633401E-2</v>
      </c>
      <c r="F405" s="172">
        <v>2.2695076102959202E-2</v>
      </c>
      <c r="G405" s="172">
        <v>1.0778375270327401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2.2377110822653101E-2</v>
      </c>
      <c r="F406" s="172">
        <v>2.0747463083923199E-2</v>
      </c>
      <c r="G406" s="172">
        <v>1.07854684363761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1.98580228911612E-2</v>
      </c>
      <c r="F407" s="172">
        <v>1.8400009133567902E-2</v>
      </c>
      <c r="G407" s="172">
        <v>1.0792398387962401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1.69741968603421E-2</v>
      </c>
      <c r="F408" s="172">
        <v>1.5717392693141801E-2</v>
      </c>
      <c r="G408" s="172">
        <v>1.0799626370440401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1.37877503833516E-2</v>
      </c>
      <c r="F409" s="172">
        <v>1.27572349801415E-2</v>
      </c>
      <c r="G409" s="172">
        <v>1.08077889956674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1.0359139858370701E-2</v>
      </c>
      <c r="F410" s="172">
        <v>9.5757030188596704E-3</v>
      </c>
      <c r="G410" s="172">
        <v>1.08181507279079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6.7617717775258698E-3</v>
      </c>
      <c r="F411" s="172">
        <v>6.2411802272827896E-3</v>
      </c>
      <c r="G411" s="172">
        <v>1.08341235652311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3.1328330099670899E-3</v>
      </c>
      <c r="F412" s="172">
        <v>2.8829934873375001E-3</v>
      </c>
      <c r="G412" s="172">
        <v>1.0866597596307199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2.6883042231218901E-2</v>
      </c>
      <c r="F413" s="172">
        <v>2.6285513505526801E-2</v>
      </c>
      <c r="G413" s="172">
        <v>1.0227322447235601</v>
      </c>
    </row>
    <row r="414" spans="2:7" hidden="1" x14ac:dyDescent="0.3">
      <c r="B414" s="172" t="s">
        <v>187</v>
      </c>
      <c r="C414" s="172" t="s">
        <v>80</v>
      </c>
      <c r="D414" s="172" t="s">
        <v>218</v>
      </c>
      <c r="E414" s="172">
        <v>2.7583967187125601E-2</v>
      </c>
      <c r="F414" s="172">
        <v>2.5183580435005501E-2</v>
      </c>
      <c r="G414" s="172">
        <v>1.0953155472993601</v>
      </c>
    </row>
    <row r="415" spans="2:7" hidden="1" x14ac:dyDescent="0.3">
      <c r="B415" s="172" t="s">
        <v>185</v>
      </c>
      <c r="C415" s="172" t="s">
        <v>80</v>
      </c>
      <c r="D415" s="172" t="s">
        <v>218</v>
      </c>
      <c r="E415" s="172">
        <v>2.65445428910571E-2</v>
      </c>
      <c r="F415" s="172">
        <v>2.4212211935897201E-2</v>
      </c>
      <c r="G415" s="172">
        <v>1.0963287022819299</v>
      </c>
    </row>
    <row r="416" spans="2:7" hidden="1" x14ac:dyDescent="0.3">
      <c r="B416" s="172" t="s">
        <v>183</v>
      </c>
      <c r="C416" s="172" t="s">
        <v>80</v>
      </c>
      <c r="D416" s="172" t="s">
        <v>218</v>
      </c>
      <c r="E416" s="172">
        <v>2.49465618651089E-2</v>
      </c>
      <c r="F416" s="172">
        <v>2.2734222830594699E-2</v>
      </c>
      <c r="G416" s="172">
        <v>1.09731315871229</v>
      </c>
    </row>
    <row r="417" spans="2:7" hidden="1" x14ac:dyDescent="0.3">
      <c r="B417" s="172" t="s">
        <v>181</v>
      </c>
      <c r="C417" s="172" t="s">
        <v>80</v>
      </c>
      <c r="D417" s="172" t="s">
        <v>218</v>
      </c>
      <c r="E417" s="172">
        <v>2.2827494764457199E-2</v>
      </c>
      <c r="F417" s="172">
        <v>2.0784552850634901E-2</v>
      </c>
      <c r="G417" s="172">
        <v>1.09829135745684</v>
      </c>
    </row>
    <row r="418" spans="2:7" hidden="1" x14ac:dyDescent="0.3">
      <c r="B418" s="172" t="s">
        <v>179</v>
      </c>
      <c r="C418" s="172" t="s">
        <v>80</v>
      </c>
      <c r="D418" s="172" t="s">
        <v>218</v>
      </c>
      <c r="E418" s="172">
        <v>2.0265054100581999E-2</v>
      </c>
      <c r="F418" s="172">
        <v>1.8434048504764499E-2</v>
      </c>
      <c r="G418" s="172">
        <v>1.0993273721366299</v>
      </c>
    </row>
    <row r="419" spans="2:7" hidden="1" x14ac:dyDescent="0.3">
      <c r="B419" s="172" t="s">
        <v>39</v>
      </c>
      <c r="C419" s="172" t="s">
        <v>80</v>
      </c>
      <c r="D419" s="172" t="s">
        <v>218</v>
      </c>
      <c r="E419" s="172">
        <v>1.7329826531985101E-2</v>
      </c>
      <c r="F419" s="172">
        <v>1.5747480213153201E-2</v>
      </c>
      <c r="G419" s="172">
        <v>1.10048250878323</v>
      </c>
    </row>
    <row r="420" spans="2:7" hidden="1" x14ac:dyDescent="0.3">
      <c r="B420" s="172" t="s">
        <v>26</v>
      </c>
      <c r="C420" s="172" t="s">
        <v>80</v>
      </c>
      <c r="D420" s="172" t="s">
        <v>218</v>
      </c>
      <c r="E420" s="172">
        <v>1.40842938384755E-2</v>
      </c>
      <c r="F420" s="172">
        <v>1.27825221181119E-2</v>
      </c>
      <c r="G420" s="172">
        <v>1.1018399740157001</v>
      </c>
    </row>
    <row r="421" spans="2:7" hidden="1" x14ac:dyDescent="0.3">
      <c r="B421" s="172" t="s">
        <v>25</v>
      </c>
      <c r="C421" s="172" t="s">
        <v>80</v>
      </c>
      <c r="D421" s="172" t="s">
        <v>218</v>
      </c>
      <c r="E421" s="172">
        <v>1.0588999847545201E-2</v>
      </c>
      <c r="F421" s="172">
        <v>9.5953671813122608E-3</v>
      </c>
      <c r="G421" s="172">
        <v>1.10355337606758</v>
      </c>
    </row>
    <row r="422" spans="2:7" hidden="1" x14ac:dyDescent="0.3">
      <c r="B422" s="172" t="s">
        <v>24</v>
      </c>
      <c r="C422" s="172" t="s">
        <v>80</v>
      </c>
      <c r="D422" s="172" t="s">
        <v>218</v>
      </c>
      <c r="E422" s="172">
        <v>6.9175471413458504E-3</v>
      </c>
      <c r="F422" s="172">
        <v>6.2544393334307896E-3</v>
      </c>
      <c r="G422" s="172">
        <v>1.10602194258575</v>
      </c>
    </row>
    <row r="423" spans="2:7" hidden="1" x14ac:dyDescent="0.3">
      <c r="B423" s="172" t="s">
        <v>22</v>
      </c>
      <c r="C423" s="172" t="s">
        <v>80</v>
      </c>
      <c r="D423" s="172" t="s">
        <v>218</v>
      </c>
      <c r="E423" s="172">
        <v>3.2087534438237698E-3</v>
      </c>
      <c r="F423" s="172">
        <v>2.8893023752609502E-3</v>
      </c>
      <c r="G423" s="172">
        <v>1.11056339111408</v>
      </c>
    </row>
    <row r="424" spans="2:7" hidden="1" x14ac:dyDescent="0.3">
      <c r="B424" s="172" t="s">
        <v>189</v>
      </c>
      <c r="C424" s="172" t="s">
        <v>81</v>
      </c>
      <c r="D424" s="172" t="s">
        <v>221</v>
      </c>
      <c r="E424" s="172">
        <v>2.7808384560021399E-2</v>
      </c>
      <c r="F424" s="172">
        <v>2.7758206809075901E-2</v>
      </c>
      <c r="G424" s="172">
        <v>1.00180767263861</v>
      </c>
    </row>
    <row r="425" spans="2:7" hidden="1" x14ac:dyDescent="0.3">
      <c r="B425" s="172" t="s">
        <v>187</v>
      </c>
      <c r="C425" s="172" t="s">
        <v>81</v>
      </c>
      <c r="D425" s="172" t="s">
        <v>221</v>
      </c>
      <c r="E425" s="172">
        <v>2.7301850675392501E-2</v>
      </c>
      <c r="F425" s="172">
        <v>2.69812358440914E-2</v>
      </c>
      <c r="G425" s="172">
        <v>1.0118828816127601</v>
      </c>
    </row>
    <row r="426" spans="2:7" hidden="1" x14ac:dyDescent="0.3">
      <c r="B426" s="172" t="s">
        <v>185</v>
      </c>
      <c r="C426" s="172" t="s">
        <v>81</v>
      </c>
      <c r="D426" s="172" t="s">
        <v>221</v>
      </c>
      <c r="E426" s="172">
        <v>2.6327707819186901E-2</v>
      </c>
      <c r="F426" s="172">
        <v>2.60280287955682E-2</v>
      </c>
      <c r="G426" s="172">
        <v>1.0115137041676301</v>
      </c>
    </row>
    <row r="427" spans="2:7" hidden="1" x14ac:dyDescent="0.3">
      <c r="B427" s="172" t="s">
        <v>183</v>
      </c>
      <c r="C427" s="172" t="s">
        <v>81</v>
      </c>
      <c r="D427" s="172" t="s">
        <v>221</v>
      </c>
      <c r="E427" s="172">
        <v>2.4786265193319602E-2</v>
      </c>
      <c r="F427" s="172">
        <v>2.45123016574459E-2</v>
      </c>
      <c r="G427" s="172">
        <v>1.0111765732856199</v>
      </c>
    </row>
    <row r="428" spans="2:7" hidden="1" x14ac:dyDescent="0.3">
      <c r="B428" s="172" t="s">
        <v>181</v>
      </c>
      <c r="C428" s="172" t="s">
        <v>81</v>
      </c>
      <c r="D428" s="172" t="s">
        <v>221</v>
      </c>
      <c r="E428" s="172">
        <v>2.27159449572891E-2</v>
      </c>
      <c r="F428" s="172">
        <v>2.24660006513785E-2</v>
      </c>
      <c r="G428" s="172">
        <v>1.0111254472831701</v>
      </c>
    </row>
    <row r="429" spans="2:7" hidden="1" x14ac:dyDescent="0.3">
      <c r="B429" s="172" t="s">
        <v>179</v>
      </c>
      <c r="C429" s="172" t="s">
        <v>81</v>
      </c>
      <c r="D429" s="172" t="s">
        <v>221</v>
      </c>
      <c r="E429" s="172">
        <v>2.0193074545112901E-2</v>
      </c>
      <c r="F429" s="172">
        <v>1.9964901137319298E-2</v>
      </c>
      <c r="G429" s="172">
        <v>1.0114287271559399</v>
      </c>
    </row>
    <row r="430" spans="2:7" hidden="1" x14ac:dyDescent="0.3">
      <c r="B430" s="172" t="s">
        <v>39</v>
      </c>
      <c r="C430" s="172" t="s">
        <v>81</v>
      </c>
      <c r="D430" s="172" t="s">
        <v>221</v>
      </c>
      <c r="E430" s="172">
        <v>1.7287579101781698E-2</v>
      </c>
      <c r="F430" s="172">
        <v>1.7078923590642899E-2</v>
      </c>
      <c r="G430" s="172">
        <v>1.01221713476446</v>
      </c>
    </row>
    <row r="431" spans="2:7" hidden="1" x14ac:dyDescent="0.3">
      <c r="B431" s="172" t="s">
        <v>26</v>
      </c>
      <c r="C431" s="172" t="s">
        <v>81</v>
      </c>
      <c r="D431" s="172" t="s">
        <v>221</v>
      </c>
      <c r="E431" s="172">
        <v>1.40607387821866E-2</v>
      </c>
      <c r="F431" s="172">
        <v>1.3869052929217999E-2</v>
      </c>
      <c r="G431" s="172">
        <v>1.0138211205874601</v>
      </c>
    </row>
    <row r="432" spans="2:7" hidden="1" x14ac:dyDescent="0.3">
      <c r="B432" s="172" t="s">
        <v>25</v>
      </c>
      <c r="C432" s="172" t="s">
        <v>81</v>
      </c>
      <c r="D432" s="172" t="s">
        <v>221</v>
      </c>
      <c r="E432" s="172">
        <v>1.05723178461205E-2</v>
      </c>
      <c r="F432" s="172">
        <v>1.03946188319421E-2</v>
      </c>
      <c r="G432" s="172">
        <v>1.01709528911559</v>
      </c>
    </row>
    <row r="433" spans="2:7" hidden="1" x14ac:dyDescent="0.3">
      <c r="B433" s="172" t="s">
        <v>24</v>
      </c>
      <c r="C433" s="172" t="s">
        <v>81</v>
      </c>
      <c r="D433" s="172" t="s">
        <v>221</v>
      </c>
      <c r="E433" s="172">
        <v>6.8984447210507401E-3</v>
      </c>
      <c r="F433" s="172">
        <v>6.7334596266412699E-3</v>
      </c>
      <c r="G433" s="172">
        <v>1.02450227721819</v>
      </c>
    </row>
    <row r="434" spans="2:7" hidden="1" x14ac:dyDescent="0.3">
      <c r="B434" s="172" t="s">
        <v>22</v>
      </c>
      <c r="C434" s="172" t="s">
        <v>81</v>
      </c>
      <c r="D434" s="172" t="s">
        <v>221</v>
      </c>
      <c r="E434" s="172">
        <v>3.1854111207537902E-3</v>
      </c>
      <c r="F434" s="172">
        <v>3.0514532933715202E-3</v>
      </c>
      <c r="G434" s="172">
        <v>1.04389968139878</v>
      </c>
    </row>
    <row r="435" spans="2:7" x14ac:dyDescent="0.3">
      <c r="B435" s="172" t="s">
        <v>189</v>
      </c>
      <c r="C435" s="172" t="s">
        <v>82</v>
      </c>
      <c r="D435" s="172" t="s">
        <v>221</v>
      </c>
      <c r="E435" s="172">
        <v>2.5920393580248301E-2</v>
      </c>
      <c r="F435" s="172">
        <v>2.5038668000744901E-2</v>
      </c>
      <c r="G435" s="172">
        <v>1.0352145561208399</v>
      </c>
    </row>
    <row r="436" spans="2:7" x14ac:dyDescent="0.3">
      <c r="B436" s="172" t="s">
        <v>187</v>
      </c>
      <c r="C436" s="172" t="s">
        <v>82</v>
      </c>
      <c r="D436" s="172" t="s">
        <v>221</v>
      </c>
      <c r="E436" s="172">
        <v>3.1772315903544797E-2</v>
      </c>
      <c r="F436" s="172">
        <v>2.77275108575421E-2</v>
      </c>
      <c r="G436" s="172">
        <v>1.14587696193805</v>
      </c>
    </row>
    <row r="437" spans="2:7" x14ac:dyDescent="0.3">
      <c r="B437" s="172" t="s">
        <v>185</v>
      </c>
      <c r="C437" s="172" t="s">
        <v>82</v>
      </c>
      <c r="D437" s="172" t="s">
        <v>221</v>
      </c>
      <c r="E437" s="172">
        <v>3.06971508937511E-2</v>
      </c>
      <c r="F437" s="172">
        <v>2.67521882516049E-2</v>
      </c>
      <c r="G437" s="172">
        <v>1.14746317591084</v>
      </c>
    </row>
    <row r="438" spans="2:7" x14ac:dyDescent="0.3">
      <c r="B438" s="172" t="s">
        <v>183</v>
      </c>
      <c r="C438" s="172" t="s">
        <v>82</v>
      </c>
      <c r="D438" s="172" t="s">
        <v>221</v>
      </c>
      <c r="E438" s="172">
        <v>2.8949585050937102E-2</v>
      </c>
      <c r="F438" s="172">
        <v>2.51984475351687E-2</v>
      </c>
      <c r="G438" s="172">
        <v>1.14886383419189</v>
      </c>
    </row>
    <row r="439" spans="2:7" x14ac:dyDescent="0.3">
      <c r="B439" s="172" t="s">
        <v>181</v>
      </c>
      <c r="C439" s="172" t="s">
        <v>82</v>
      </c>
      <c r="D439" s="172" t="s">
        <v>221</v>
      </c>
      <c r="E439" s="172">
        <v>2.6562529513956198E-2</v>
      </c>
      <c r="F439" s="172">
        <v>2.3097958978945399E-2</v>
      </c>
      <c r="G439" s="172">
        <v>1.1499946613537999</v>
      </c>
    </row>
    <row r="440" spans="2:7" x14ac:dyDescent="0.3">
      <c r="B440" s="172" t="s">
        <v>179</v>
      </c>
      <c r="C440" s="172" t="s">
        <v>82</v>
      </c>
      <c r="D440" s="172" t="s">
        <v>221</v>
      </c>
      <c r="E440" s="172">
        <v>2.36266099467883E-2</v>
      </c>
      <c r="F440" s="172">
        <v>2.05286189867275E-2</v>
      </c>
      <c r="G440" s="172">
        <v>1.15091083146234</v>
      </c>
    </row>
    <row r="441" spans="2:7" x14ac:dyDescent="0.3">
      <c r="B441" s="172" t="s">
        <v>39</v>
      </c>
      <c r="C441" s="172" t="s">
        <v>82</v>
      </c>
      <c r="D441" s="172" t="s">
        <v>221</v>
      </c>
      <c r="E441" s="172">
        <v>2.02249306446265E-2</v>
      </c>
      <c r="F441" s="172">
        <v>1.7562315478590398E-2</v>
      </c>
      <c r="G441" s="172">
        <v>1.1516095738789101</v>
      </c>
    </row>
    <row r="442" spans="2:7" x14ac:dyDescent="0.3">
      <c r="B442" s="172" t="s">
        <v>26</v>
      </c>
      <c r="C442" s="172" t="s">
        <v>82</v>
      </c>
      <c r="D442" s="172" t="s">
        <v>221</v>
      </c>
      <c r="E442" s="172">
        <v>1.6428986582843801E-2</v>
      </c>
      <c r="F442" s="172">
        <v>1.42615955197975E-2</v>
      </c>
      <c r="G442" s="172">
        <v>1.15197395410897</v>
      </c>
    </row>
    <row r="443" spans="2:7" x14ac:dyDescent="0.3">
      <c r="B443" s="172" t="s">
        <v>25</v>
      </c>
      <c r="C443" s="172" t="s">
        <v>82</v>
      </c>
      <c r="D443" s="172" t="s">
        <v>221</v>
      </c>
      <c r="E443" s="172">
        <v>1.2307449751668999E-2</v>
      </c>
      <c r="F443" s="172">
        <v>1.06871736351698E-2</v>
      </c>
      <c r="G443" s="172">
        <v>1.1516094125360801</v>
      </c>
    </row>
    <row r="444" spans="2:7" x14ac:dyDescent="0.3">
      <c r="B444" s="172" t="s">
        <v>24</v>
      </c>
      <c r="C444" s="172" t="s">
        <v>82</v>
      </c>
      <c r="D444" s="172" t="s">
        <v>221</v>
      </c>
      <c r="E444" s="172">
        <v>7.9519579066313194E-3</v>
      </c>
      <c r="F444" s="172">
        <v>6.9189692048675696E-3</v>
      </c>
      <c r="G444" s="172">
        <v>1.14929806321974</v>
      </c>
    </row>
    <row r="445" spans="2:7" x14ac:dyDescent="0.3">
      <c r="B445" s="172" t="s">
        <v>22</v>
      </c>
      <c r="C445" s="172" t="s">
        <v>82</v>
      </c>
      <c r="D445" s="172" t="s">
        <v>221</v>
      </c>
      <c r="E445" s="172">
        <v>3.5720407299241501E-3</v>
      </c>
      <c r="F445" s="172">
        <v>3.1297267620904699E-3</v>
      </c>
      <c r="G445" s="172">
        <v>1.1413267040405299</v>
      </c>
    </row>
    <row r="446" spans="2:7" hidden="1" x14ac:dyDescent="0.3">
      <c r="B446" s="172" t="s">
        <v>189</v>
      </c>
      <c r="C446" s="172" t="s">
        <v>246</v>
      </c>
      <c r="D446" s="172" t="s">
        <v>218</v>
      </c>
      <c r="E446" s="172">
        <v>3.2668655287075902E-3</v>
      </c>
      <c r="F446" s="172">
        <v>3.2138082538027699E-3</v>
      </c>
      <c r="G446" s="172">
        <v>1.0165091600726499</v>
      </c>
    </row>
    <row r="447" spans="2:7" hidden="1" x14ac:dyDescent="0.3">
      <c r="B447" s="172" t="s">
        <v>189</v>
      </c>
      <c r="C447" s="172" t="s">
        <v>246</v>
      </c>
      <c r="D447" s="172" t="s">
        <v>221</v>
      </c>
      <c r="E447" s="172">
        <v>4.42205563619532E-4</v>
      </c>
      <c r="F447" s="172">
        <v>3.99759743695677E-4</v>
      </c>
      <c r="G447" s="172">
        <v>1.1061783248394501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2.4345871717756599E-3</v>
      </c>
      <c r="F448" s="172">
        <v>2.3390494272515299E-3</v>
      </c>
      <c r="G448" s="172">
        <v>1.04084468819301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2.0820499364665301E-3</v>
      </c>
      <c r="F449" s="172">
        <v>1.9966116058710202E-3</v>
      </c>
      <c r="G449" s="172">
        <v>1.04279166280727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1.72996829608857E-3</v>
      </c>
      <c r="F450" s="172">
        <v>1.65069282130166E-3</v>
      </c>
      <c r="G450" s="172">
        <v>1.04802557675413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1.39161632884665E-3</v>
      </c>
      <c r="F451" s="172">
        <v>1.3196446024260401E-3</v>
      </c>
      <c r="G451" s="172">
        <v>1.05453871920386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1.07380909634195E-3</v>
      </c>
      <c r="F452" s="172">
        <v>1.0101828158148099E-3</v>
      </c>
      <c r="G452" s="172">
        <v>1.0629849167210701</v>
      </c>
    </row>
    <row r="453" spans="2:7" hidden="1" x14ac:dyDescent="0.3">
      <c r="B453" s="172" t="s">
        <v>39</v>
      </c>
      <c r="C453" s="172" t="s">
        <v>246</v>
      </c>
      <c r="D453" s="172" t="s">
        <v>218</v>
      </c>
      <c r="E453" s="172">
        <v>7.8331049959303204E-4</v>
      </c>
      <c r="F453" s="172">
        <v>7.2908815371992397E-4</v>
      </c>
      <c r="G453" s="172">
        <v>1.0743700821313</v>
      </c>
    </row>
    <row r="454" spans="2:7" hidden="1" x14ac:dyDescent="0.3">
      <c r="B454" s="172" t="s">
        <v>26</v>
      </c>
      <c r="C454" s="172" t="s">
        <v>246</v>
      </c>
      <c r="D454" s="172" t="s">
        <v>218</v>
      </c>
      <c r="E454" s="172">
        <v>5.2690170922545601E-4</v>
      </c>
      <c r="F454" s="172">
        <v>4.8313332426029099E-4</v>
      </c>
      <c r="G454" s="172">
        <v>1.0905927676013201</v>
      </c>
    </row>
    <row r="455" spans="2:7" hidden="1" x14ac:dyDescent="0.3">
      <c r="B455" s="172" t="s">
        <v>25</v>
      </c>
      <c r="C455" s="172" t="s">
        <v>246</v>
      </c>
      <c r="D455" s="172" t="s">
        <v>218</v>
      </c>
      <c r="E455" s="172">
        <v>3.1180664780475898E-4</v>
      </c>
      <c r="F455" s="172">
        <v>2.7952452019736702E-4</v>
      </c>
      <c r="G455" s="172">
        <v>1.11548943035337</v>
      </c>
    </row>
    <row r="456" spans="2:7" hidden="1" x14ac:dyDescent="0.3">
      <c r="B456" s="172" t="s">
        <v>24</v>
      </c>
      <c r="C456" s="172" t="s">
        <v>246</v>
      </c>
      <c r="D456" s="172" t="s">
        <v>218</v>
      </c>
      <c r="E456" s="172">
        <v>1.4536924891902299E-4</v>
      </c>
      <c r="F456" s="172">
        <v>1.25464152572517E-4</v>
      </c>
      <c r="G456" s="172">
        <v>1.15865166215506</v>
      </c>
    </row>
    <row r="457" spans="2:7" hidden="1" x14ac:dyDescent="0.3">
      <c r="B457" s="172" t="s">
        <v>24</v>
      </c>
      <c r="C457" s="172" t="s">
        <v>246</v>
      </c>
      <c r="D457" s="172" t="s">
        <v>221</v>
      </c>
      <c r="E457" s="172">
        <v>3.2565346164601897E-5</v>
      </c>
      <c r="F457" s="172">
        <v>1.26602498180959E-5</v>
      </c>
      <c r="G457" s="172">
        <v>2.5722514667960699</v>
      </c>
    </row>
    <row r="458" spans="2:7" hidden="1" x14ac:dyDescent="0.3">
      <c r="B458" s="172" t="s">
        <v>22</v>
      </c>
      <c r="C458" s="172" t="s">
        <v>246</v>
      </c>
      <c r="D458" s="172" t="s">
        <v>218</v>
      </c>
      <c r="E458" s="172">
        <v>4.0521109077842503E-5</v>
      </c>
      <c r="F458" s="172">
        <v>3.3202653969870097E-5</v>
      </c>
      <c r="G458" s="172">
        <v>1.2204177748746701</v>
      </c>
    </row>
    <row r="459" spans="2:7" hidden="1" x14ac:dyDescent="0.3">
      <c r="B459" s="172" t="s">
        <v>22</v>
      </c>
      <c r="C459" s="172" t="s">
        <v>246</v>
      </c>
      <c r="D459" s="172" t="s">
        <v>221</v>
      </c>
      <c r="E459" s="172">
        <v>1.3172868962276199E-5</v>
      </c>
      <c r="F459" s="172">
        <v>5.8544138543038501E-6</v>
      </c>
      <c r="G459" s="172">
        <v>2.2500747794917602</v>
      </c>
    </row>
    <row r="460" spans="2:7" hidden="1" x14ac:dyDescent="0.3">
      <c r="B460" s="172"/>
      <c r="C460" s="172"/>
      <c r="D460" s="172"/>
      <c r="E460" s="172"/>
      <c r="F460" s="172"/>
      <c r="G460" s="172"/>
    </row>
    <row r="461" spans="2:7" hidden="1" x14ac:dyDescent="0.3">
      <c r="B461" s="172"/>
      <c r="C461" s="172"/>
      <c r="D461" s="172"/>
      <c r="E461" s="172"/>
      <c r="F461" s="172"/>
      <c r="G461" s="172"/>
    </row>
    <row r="462" spans="2:7" hidden="1" x14ac:dyDescent="0.3">
      <c r="B462" s="172"/>
      <c r="C462" s="172"/>
      <c r="D462" s="172"/>
      <c r="E462" s="172"/>
      <c r="F462" s="172"/>
      <c r="G462" s="172"/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6</xdr:col>
                    <xdr:colOff>784860</xdr:colOff>
                    <xdr:row>0</xdr:row>
                    <xdr:rowOff>99060</xdr:rowOff>
                  </from>
                  <to>
                    <xdr:col>9</xdr:col>
                    <xdr:colOff>381000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K524"/>
  <sheetViews>
    <sheetView topLeftCell="A307" workbookViewId="0">
      <selection activeCell="B323" sqref="B1:I1048576"/>
    </sheetView>
  </sheetViews>
  <sheetFormatPr baseColWidth="10" defaultRowHeight="14.4" x14ac:dyDescent="0.3"/>
  <cols>
    <col min="2" max="9" width="11.5546875" style="75"/>
  </cols>
  <sheetData>
    <row r="2" spans="2:11" x14ac:dyDescent="0.3">
      <c r="B2" s="167" t="s">
        <v>251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1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42</v>
      </c>
      <c r="G3" s="169" t="s">
        <v>252</v>
      </c>
      <c r="H3" s="169" t="s">
        <v>253</v>
      </c>
      <c r="I3" s="169" t="s">
        <v>218</v>
      </c>
      <c r="J3" s="169" t="s">
        <v>221</v>
      </c>
      <c r="K3" s="170" t="s">
        <v>206</v>
      </c>
    </row>
    <row r="4" spans="2:11" x14ac:dyDescent="0.3">
      <c r="B4" s="173"/>
      <c r="C4" s="173"/>
      <c r="D4" s="173"/>
      <c r="E4" s="173"/>
      <c r="F4" s="173"/>
      <c r="G4" s="173"/>
      <c r="H4" s="173"/>
      <c r="I4" s="173" t="s">
        <v>7</v>
      </c>
      <c r="J4" s="173" t="s">
        <v>7</v>
      </c>
      <c r="K4" s="174" t="s">
        <v>7</v>
      </c>
    </row>
    <row r="5" spans="2:11" s="172" customFormat="1" x14ac:dyDescent="0.3">
      <c r="B5" s="172" t="s">
        <v>189</v>
      </c>
      <c r="C5" s="172" t="s">
        <v>79</v>
      </c>
      <c r="D5" s="172" t="s">
        <v>245</v>
      </c>
      <c r="F5" s="172" t="s">
        <v>218</v>
      </c>
      <c r="G5" s="172">
        <v>3.0144681736320498E-4</v>
      </c>
      <c r="H5" s="172">
        <v>50</v>
      </c>
      <c r="I5" s="172">
        <v>19</v>
      </c>
      <c r="J5" s="172">
        <v>11</v>
      </c>
      <c r="K5" s="172">
        <v>38.5</v>
      </c>
    </row>
    <row r="6" spans="2:11" s="172" customFormat="1" x14ac:dyDescent="0.3">
      <c r="B6" s="172" t="s">
        <v>189</v>
      </c>
      <c r="C6" s="172" t="s">
        <v>80</v>
      </c>
      <c r="D6" s="172" t="s">
        <v>245</v>
      </c>
      <c r="F6" s="172" t="s">
        <v>218</v>
      </c>
      <c r="G6" s="172">
        <v>2.9447092645812199E-4</v>
      </c>
      <c r="H6" s="172">
        <v>50</v>
      </c>
      <c r="I6" s="172">
        <v>19</v>
      </c>
      <c r="J6" s="172">
        <v>11</v>
      </c>
      <c r="K6" s="172">
        <v>38.5</v>
      </c>
    </row>
    <row r="7" spans="2:11" s="172" customFormat="1" x14ac:dyDescent="0.3">
      <c r="B7" s="172" t="s">
        <v>189</v>
      </c>
      <c r="C7" s="172" t="s">
        <v>81</v>
      </c>
      <c r="D7" s="172" t="s">
        <v>245</v>
      </c>
      <c r="F7" s="172" t="s">
        <v>221</v>
      </c>
      <c r="G7" s="172">
        <v>1.8039136706014E-4</v>
      </c>
      <c r="H7" s="172">
        <v>53</v>
      </c>
      <c r="I7" s="172">
        <v>15</v>
      </c>
      <c r="J7" s="172">
        <v>11</v>
      </c>
      <c r="K7" s="172">
        <v>38.5</v>
      </c>
    </row>
    <row r="8" spans="2:11" s="172" customFormat="1" x14ac:dyDescent="0.3">
      <c r="B8" s="172" t="s">
        <v>189</v>
      </c>
      <c r="C8" s="172" t="s">
        <v>82</v>
      </c>
      <c r="D8" s="172" t="s">
        <v>245</v>
      </c>
      <c r="F8" s="172" t="s">
        <v>221</v>
      </c>
      <c r="G8" s="172">
        <v>1.7820398662188401E-4</v>
      </c>
      <c r="H8" s="172">
        <v>53</v>
      </c>
      <c r="I8" s="172">
        <v>15</v>
      </c>
      <c r="J8" s="172">
        <v>11</v>
      </c>
      <c r="K8" s="172">
        <v>38.5</v>
      </c>
    </row>
    <row r="9" spans="2:11" s="172" customFormat="1" x14ac:dyDescent="0.3">
      <c r="B9" s="172" t="s">
        <v>189</v>
      </c>
      <c r="C9" s="172" t="s">
        <v>246</v>
      </c>
      <c r="D9" s="172" t="s">
        <v>245</v>
      </c>
      <c r="F9" s="172" t="s">
        <v>218</v>
      </c>
      <c r="G9" s="172">
        <v>3.0424373147531098E-4</v>
      </c>
      <c r="H9" s="172">
        <v>50</v>
      </c>
      <c r="I9" s="172">
        <v>19</v>
      </c>
      <c r="J9" s="172">
        <v>11</v>
      </c>
      <c r="K9" s="172">
        <v>38.5</v>
      </c>
    </row>
    <row r="10" spans="2:11" s="172" customFormat="1" x14ac:dyDescent="0.3">
      <c r="B10" s="172" t="s">
        <v>189</v>
      </c>
      <c r="C10" s="172" t="s">
        <v>246</v>
      </c>
      <c r="D10" s="172" t="s">
        <v>245</v>
      </c>
      <c r="F10" s="172" t="s">
        <v>221</v>
      </c>
      <c r="G10" s="172">
        <v>1.08157484004603E-4</v>
      </c>
      <c r="H10" s="172">
        <v>53</v>
      </c>
      <c r="I10" s="172">
        <v>15</v>
      </c>
      <c r="J10" s="172">
        <v>11</v>
      </c>
      <c r="K10" s="172">
        <v>38.5</v>
      </c>
    </row>
    <row r="11" spans="2:11" s="172" customFormat="1" x14ac:dyDescent="0.3">
      <c r="B11" s="172" t="s">
        <v>187</v>
      </c>
      <c r="C11" s="172" t="s">
        <v>79</v>
      </c>
      <c r="D11" s="172" t="s">
        <v>245</v>
      </c>
      <c r="F11" s="172" t="s">
        <v>218</v>
      </c>
      <c r="G11" s="172">
        <v>2.9249373518612401E-4</v>
      </c>
      <c r="H11" s="172">
        <v>19</v>
      </c>
      <c r="I11" s="172">
        <v>19.25</v>
      </c>
      <c r="J11" s="172">
        <v>19.25</v>
      </c>
      <c r="K11" s="172">
        <v>35.5</v>
      </c>
    </row>
    <row r="12" spans="2:11" s="172" customFormat="1" x14ac:dyDescent="0.3">
      <c r="B12" s="172" t="s">
        <v>187</v>
      </c>
      <c r="C12" s="172" t="s">
        <v>80</v>
      </c>
      <c r="D12" s="172" t="s">
        <v>245</v>
      </c>
      <c r="F12" s="172" t="s">
        <v>218</v>
      </c>
      <c r="G12" s="172">
        <v>2.9749006802677798E-4</v>
      </c>
      <c r="H12" s="172">
        <v>25</v>
      </c>
      <c r="I12" s="172">
        <v>19.25</v>
      </c>
      <c r="J12" s="172">
        <v>-0.25</v>
      </c>
      <c r="K12" s="172">
        <v>35.5</v>
      </c>
    </row>
    <row r="13" spans="2:11" s="172" customFormat="1" x14ac:dyDescent="0.3">
      <c r="B13" s="172" t="s">
        <v>187</v>
      </c>
      <c r="C13" s="172" t="s">
        <v>81</v>
      </c>
      <c r="D13" s="172" t="s">
        <v>245</v>
      </c>
      <c r="F13" s="172" t="s">
        <v>221</v>
      </c>
      <c r="G13" s="172">
        <v>2.7848394243230499E-4</v>
      </c>
      <c r="H13" s="172">
        <v>25</v>
      </c>
      <c r="I13" s="172">
        <v>19.25</v>
      </c>
      <c r="J13" s="172">
        <v>-0.25</v>
      </c>
      <c r="K13" s="172">
        <v>35.5</v>
      </c>
    </row>
    <row r="14" spans="2:11" x14ac:dyDescent="0.3">
      <c r="B14" s="172" t="s">
        <v>187</v>
      </c>
      <c r="C14" s="172" t="s">
        <v>82</v>
      </c>
      <c r="D14" s="172" t="s">
        <v>245</v>
      </c>
      <c r="E14" s="172"/>
      <c r="F14" s="172" t="s">
        <v>221</v>
      </c>
      <c r="G14" s="172">
        <v>3.0719000279818599E-4</v>
      </c>
      <c r="H14" s="172">
        <v>39</v>
      </c>
      <c r="I14" s="172">
        <v>0</v>
      </c>
      <c r="J14" s="172">
        <v>19</v>
      </c>
      <c r="K14" s="172">
        <v>35.5</v>
      </c>
    </row>
    <row r="15" spans="2:11" x14ac:dyDescent="0.3">
      <c r="B15" s="172" t="s">
        <v>187</v>
      </c>
      <c r="C15" s="172" t="s">
        <v>246</v>
      </c>
      <c r="D15" s="172" t="s">
        <v>245</v>
      </c>
      <c r="E15" s="172"/>
      <c r="F15" s="172" t="s">
        <v>218</v>
      </c>
      <c r="G15" s="172">
        <v>1.0080085981711099E-4</v>
      </c>
      <c r="H15" s="172">
        <v>19</v>
      </c>
      <c r="I15" s="172">
        <v>19.25</v>
      </c>
      <c r="J15" s="172">
        <v>19.25</v>
      </c>
      <c r="K15" s="172">
        <v>35.5</v>
      </c>
    </row>
    <row r="16" spans="2:11" x14ac:dyDescent="0.3">
      <c r="B16" s="172" t="s">
        <v>185</v>
      </c>
      <c r="C16" s="172" t="s">
        <v>79</v>
      </c>
      <c r="D16" s="172" t="s">
        <v>245</v>
      </c>
      <c r="E16" s="172"/>
      <c r="F16" s="172" t="s">
        <v>218</v>
      </c>
      <c r="G16" s="172">
        <v>4.50220913511842E-4</v>
      </c>
      <c r="H16" s="172">
        <v>19</v>
      </c>
      <c r="I16" s="172">
        <v>19.25</v>
      </c>
      <c r="J16" s="172">
        <v>19.25</v>
      </c>
      <c r="K16" s="172">
        <v>32</v>
      </c>
    </row>
    <row r="17" spans="2:11" x14ac:dyDescent="0.3">
      <c r="B17" s="172" t="s">
        <v>185</v>
      </c>
      <c r="C17" s="172" t="s">
        <v>80</v>
      </c>
      <c r="D17" s="172" t="s">
        <v>245</v>
      </c>
      <c r="E17" s="172"/>
      <c r="F17" s="172" t="s">
        <v>218</v>
      </c>
      <c r="G17" s="172">
        <v>4.5746820230585999E-4</v>
      </c>
      <c r="H17" s="172">
        <v>25</v>
      </c>
      <c r="I17" s="172">
        <v>19.25</v>
      </c>
      <c r="J17" s="172">
        <v>-0.25</v>
      </c>
      <c r="K17" s="172">
        <v>32</v>
      </c>
    </row>
    <row r="18" spans="2:11" x14ac:dyDescent="0.3">
      <c r="B18" s="172" t="s">
        <v>185</v>
      </c>
      <c r="C18" s="172" t="s">
        <v>81</v>
      </c>
      <c r="D18" s="172" t="s">
        <v>245</v>
      </c>
      <c r="E18" s="172"/>
      <c r="F18" s="172" t="s">
        <v>221</v>
      </c>
      <c r="G18" s="172">
        <v>4.4060552835116398E-4</v>
      </c>
      <c r="H18" s="172">
        <v>19</v>
      </c>
      <c r="I18" s="172">
        <v>19.25</v>
      </c>
      <c r="J18" s="172">
        <v>19.25</v>
      </c>
      <c r="K18" s="172">
        <v>32</v>
      </c>
    </row>
    <row r="19" spans="2:11" x14ac:dyDescent="0.3">
      <c r="B19" s="172" t="s">
        <v>185</v>
      </c>
      <c r="C19" s="172" t="s">
        <v>82</v>
      </c>
      <c r="D19" s="172" t="s">
        <v>245</v>
      </c>
      <c r="E19" s="172"/>
      <c r="F19" s="172" t="s">
        <v>221</v>
      </c>
      <c r="G19" s="172">
        <v>4.99304526518304E-4</v>
      </c>
      <c r="H19" s="172">
        <v>39</v>
      </c>
      <c r="I19" s="172">
        <v>0</v>
      </c>
      <c r="J19" s="172">
        <v>19</v>
      </c>
      <c r="K19" s="172">
        <v>32</v>
      </c>
    </row>
    <row r="20" spans="2:11" x14ac:dyDescent="0.3">
      <c r="B20" s="172" t="s">
        <v>185</v>
      </c>
      <c r="C20" s="172" t="s">
        <v>246</v>
      </c>
      <c r="D20" s="172" t="s">
        <v>245</v>
      </c>
      <c r="E20" s="172"/>
      <c r="F20" s="172" t="s">
        <v>218</v>
      </c>
      <c r="G20" s="172">
        <v>1.0064109165542E-4</v>
      </c>
      <c r="H20" s="172">
        <v>19</v>
      </c>
      <c r="I20" s="172">
        <v>19.25</v>
      </c>
      <c r="J20" s="172">
        <v>19.25</v>
      </c>
      <c r="K20" s="172">
        <v>32</v>
      </c>
    </row>
    <row r="21" spans="2:11" x14ac:dyDescent="0.3">
      <c r="B21" s="172" t="s">
        <v>185</v>
      </c>
      <c r="C21" s="172" t="s">
        <v>246</v>
      </c>
      <c r="D21" s="172" t="s">
        <v>245</v>
      </c>
      <c r="E21" s="172"/>
      <c r="F21" s="172" t="s">
        <v>221</v>
      </c>
      <c r="G21" s="172">
        <v>1.26732230832764E-5</v>
      </c>
      <c r="H21" s="172">
        <v>39</v>
      </c>
      <c r="I21" s="172">
        <v>0</v>
      </c>
      <c r="J21" s="172">
        <v>19</v>
      </c>
      <c r="K21" s="172">
        <v>32</v>
      </c>
    </row>
    <row r="22" spans="2:11" x14ac:dyDescent="0.3">
      <c r="B22" s="172" t="s">
        <v>183</v>
      </c>
      <c r="C22" s="172" t="s">
        <v>79</v>
      </c>
      <c r="D22" s="172" t="s">
        <v>245</v>
      </c>
      <c r="E22" s="172"/>
      <c r="F22" s="172" t="s">
        <v>218</v>
      </c>
      <c r="G22" s="172">
        <v>5.9659885939995305E-4</v>
      </c>
      <c r="H22" s="172">
        <v>19</v>
      </c>
      <c r="I22" s="172">
        <v>19.25</v>
      </c>
      <c r="J22" s="172">
        <v>19.25</v>
      </c>
      <c r="K22" s="172">
        <v>28.5</v>
      </c>
    </row>
    <row r="23" spans="2:11" x14ac:dyDescent="0.3">
      <c r="B23" s="172" t="s">
        <v>183</v>
      </c>
      <c r="C23" s="172" t="s">
        <v>80</v>
      </c>
      <c r="D23" s="172" t="s">
        <v>245</v>
      </c>
      <c r="E23" s="172"/>
      <c r="F23" s="172" t="s">
        <v>218</v>
      </c>
      <c r="G23" s="172">
        <v>6.0672140560491701E-4</v>
      </c>
      <c r="H23" s="172">
        <v>25</v>
      </c>
      <c r="I23" s="172">
        <v>19.25</v>
      </c>
      <c r="J23" s="172">
        <v>-0.25</v>
      </c>
      <c r="K23" s="172">
        <v>28.5</v>
      </c>
    </row>
    <row r="24" spans="2:11" x14ac:dyDescent="0.3">
      <c r="B24" s="172" t="s">
        <v>183</v>
      </c>
      <c r="C24" s="172" t="s">
        <v>81</v>
      </c>
      <c r="D24" s="172" t="s">
        <v>245</v>
      </c>
      <c r="E24" s="172"/>
      <c r="F24" s="172" t="s">
        <v>221</v>
      </c>
      <c r="G24" s="172">
        <v>5.9170066315128499E-4</v>
      </c>
      <c r="H24" s="172">
        <v>19</v>
      </c>
      <c r="I24" s="172">
        <v>19.25</v>
      </c>
      <c r="J24" s="172">
        <v>19.25</v>
      </c>
      <c r="K24" s="172">
        <v>28.5</v>
      </c>
    </row>
    <row r="25" spans="2:11" x14ac:dyDescent="0.3">
      <c r="B25" s="172" t="s">
        <v>183</v>
      </c>
      <c r="C25" s="172" t="s">
        <v>82</v>
      </c>
      <c r="D25" s="172" t="s">
        <v>245</v>
      </c>
      <c r="E25" s="172"/>
      <c r="F25" s="172" t="s">
        <v>221</v>
      </c>
      <c r="G25" s="172">
        <v>6.8201586770882201E-4</v>
      </c>
      <c r="H25" s="172">
        <v>39</v>
      </c>
      <c r="I25" s="172">
        <v>0</v>
      </c>
      <c r="J25" s="172">
        <v>19</v>
      </c>
      <c r="K25" s="172">
        <v>28.5</v>
      </c>
    </row>
    <row r="26" spans="2:11" x14ac:dyDescent="0.3">
      <c r="B26" s="172" t="s">
        <v>183</v>
      </c>
      <c r="C26" s="172" t="s">
        <v>246</v>
      </c>
      <c r="D26" s="172" t="s">
        <v>245</v>
      </c>
      <c r="E26" s="172"/>
      <c r="F26" s="172" t="s">
        <v>218</v>
      </c>
      <c r="G26" s="172">
        <v>9.6726906041801002E-5</v>
      </c>
      <c r="H26" s="172">
        <v>19</v>
      </c>
      <c r="I26" s="172">
        <v>19.25</v>
      </c>
      <c r="J26" s="172">
        <v>19.25</v>
      </c>
      <c r="K26" s="172">
        <v>28.5</v>
      </c>
    </row>
    <row r="27" spans="2:11" x14ac:dyDescent="0.3">
      <c r="B27" s="172" t="s">
        <v>183</v>
      </c>
      <c r="C27" s="172" t="s">
        <v>246</v>
      </c>
      <c r="D27" s="172" t="s">
        <v>245</v>
      </c>
      <c r="E27" s="172"/>
      <c r="F27" s="172" t="s">
        <v>221</v>
      </c>
      <c r="G27" s="172">
        <v>1.2079490888884301E-5</v>
      </c>
      <c r="H27" s="172">
        <v>39</v>
      </c>
      <c r="I27" s="172">
        <v>0</v>
      </c>
      <c r="J27" s="172">
        <v>19</v>
      </c>
      <c r="K27" s="172">
        <v>28.5</v>
      </c>
    </row>
    <row r="28" spans="2:11" x14ac:dyDescent="0.3">
      <c r="B28" s="172" t="s">
        <v>181</v>
      </c>
      <c r="C28" s="172" t="s">
        <v>79</v>
      </c>
      <c r="D28" s="172" t="s">
        <v>245</v>
      </c>
      <c r="E28" s="172"/>
      <c r="F28" s="172" t="s">
        <v>218</v>
      </c>
      <c r="G28" s="172">
        <v>7.2102989005886503E-4</v>
      </c>
      <c r="H28" s="172">
        <v>19</v>
      </c>
      <c r="I28" s="172">
        <v>19.25</v>
      </c>
      <c r="J28" s="172">
        <v>19.25</v>
      </c>
      <c r="K28" s="172">
        <v>25</v>
      </c>
    </row>
    <row r="29" spans="2:11" x14ac:dyDescent="0.3">
      <c r="B29" s="172" t="s">
        <v>181</v>
      </c>
      <c r="C29" s="172" t="s">
        <v>80</v>
      </c>
      <c r="D29" s="172" t="s">
        <v>245</v>
      </c>
      <c r="E29" s="172"/>
      <c r="F29" s="172" t="s">
        <v>218</v>
      </c>
      <c r="G29" s="172">
        <v>7.3371941011475897E-4</v>
      </c>
      <c r="H29" s="172">
        <v>25</v>
      </c>
      <c r="I29" s="172">
        <v>19.25</v>
      </c>
      <c r="J29" s="172">
        <v>-0.25</v>
      </c>
      <c r="K29" s="172">
        <v>25</v>
      </c>
    </row>
    <row r="30" spans="2:11" x14ac:dyDescent="0.3">
      <c r="B30" s="172" t="s">
        <v>181</v>
      </c>
      <c r="C30" s="172" t="s">
        <v>81</v>
      </c>
      <c r="D30" s="172" t="s">
        <v>245</v>
      </c>
      <c r="E30" s="172"/>
      <c r="F30" s="172" t="s">
        <v>221</v>
      </c>
      <c r="G30" s="172">
        <v>7.2098380872792395E-4</v>
      </c>
      <c r="H30" s="172">
        <v>25</v>
      </c>
      <c r="I30" s="172">
        <v>19.25</v>
      </c>
      <c r="J30" s="172">
        <v>-0.25</v>
      </c>
      <c r="K30" s="172">
        <v>25</v>
      </c>
    </row>
    <row r="31" spans="2:11" x14ac:dyDescent="0.3">
      <c r="B31" s="172" t="s">
        <v>181</v>
      </c>
      <c r="C31" s="172" t="s">
        <v>82</v>
      </c>
      <c r="D31" s="172" t="s">
        <v>245</v>
      </c>
      <c r="E31" s="172"/>
      <c r="F31" s="172" t="s">
        <v>221</v>
      </c>
      <c r="G31" s="172">
        <v>8.38834162047983E-4</v>
      </c>
      <c r="H31" s="172">
        <v>39</v>
      </c>
      <c r="I31" s="172">
        <v>0</v>
      </c>
      <c r="J31" s="172">
        <v>19</v>
      </c>
      <c r="K31" s="172">
        <v>25</v>
      </c>
    </row>
    <row r="32" spans="2:11" x14ac:dyDescent="0.3">
      <c r="B32" s="172" t="s">
        <v>181</v>
      </c>
      <c r="C32" s="172" t="s">
        <v>246</v>
      </c>
      <c r="D32" s="172" t="s">
        <v>245</v>
      </c>
      <c r="E32" s="172"/>
      <c r="F32" s="172" t="s">
        <v>218</v>
      </c>
      <c r="G32" s="172">
        <v>9.0864814143396406E-5</v>
      </c>
      <c r="H32" s="172">
        <v>19</v>
      </c>
      <c r="I32" s="172">
        <v>19.25</v>
      </c>
      <c r="J32" s="172">
        <v>19.25</v>
      </c>
      <c r="K32" s="172">
        <v>25</v>
      </c>
    </row>
    <row r="33" spans="2:11" x14ac:dyDescent="0.3">
      <c r="B33" s="172" t="s">
        <v>179</v>
      </c>
      <c r="C33" s="172" t="s">
        <v>79</v>
      </c>
      <c r="D33" s="172" t="s">
        <v>245</v>
      </c>
      <c r="E33" s="172"/>
      <c r="F33" s="172" t="s">
        <v>218</v>
      </c>
      <c r="G33" s="172">
        <v>8.2546314858286305E-4</v>
      </c>
      <c r="H33" s="172">
        <v>19</v>
      </c>
      <c r="I33" s="172">
        <v>19.25</v>
      </c>
      <c r="J33" s="172">
        <v>19.25</v>
      </c>
      <c r="K33" s="172">
        <v>21.5</v>
      </c>
    </row>
    <row r="34" spans="2:11" x14ac:dyDescent="0.3">
      <c r="B34" s="172" t="s">
        <v>179</v>
      </c>
      <c r="C34" s="172" t="s">
        <v>80</v>
      </c>
      <c r="D34" s="172" t="s">
        <v>245</v>
      </c>
      <c r="E34" s="172"/>
      <c r="F34" s="172" t="s">
        <v>218</v>
      </c>
      <c r="G34" s="172">
        <v>8.4050606679451001E-4</v>
      </c>
      <c r="H34" s="172">
        <v>25</v>
      </c>
      <c r="I34" s="172">
        <v>19.25</v>
      </c>
      <c r="J34" s="172">
        <v>-0.25</v>
      </c>
      <c r="K34" s="172">
        <v>21.5</v>
      </c>
    </row>
    <row r="35" spans="2:11" x14ac:dyDescent="0.3">
      <c r="B35" s="172" t="s">
        <v>179</v>
      </c>
      <c r="C35" s="172" t="s">
        <v>81</v>
      </c>
      <c r="D35" s="172" t="s">
        <v>245</v>
      </c>
      <c r="E35" s="172"/>
      <c r="F35" s="172" t="s">
        <v>221</v>
      </c>
      <c r="G35" s="172">
        <v>8.3028830634016297E-4</v>
      </c>
      <c r="H35" s="172">
        <v>19</v>
      </c>
      <c r="I35" s="172">
        <v>19.25</v>
      </c>
      <c r="J35" s="172">
        <v>19.25</v>
      </c>
      <c r="K35" s="172">
        <v>21.5</v>
      </c>
    </row>
    <row r="36" spans="2:11" x14ac:dyDescent="0.3">
      <c r="B36" s="172" t="s">
        <v>179</v>
      </c>
      <c r="C36" s="172" t="s">
        <v>82</v>
      </c>
      <c r="D36" s="172" t="s">
        <v>245</v>
      </c>
      <c r="E36" s="172"/>
      <c r="F36" s="172" t="s">
        <v>221</v>
      </c>
      <c r="G36" s="172">
        <v>9.7190837204621096E-4</v>
      </c>
      <c r="H36" s="172">
        <v>39</v>
      </c>
      <c r="I36" s="172">
        <v>0</v>
      </c>
      <c r="J36" s="172">
        <v>19</v>
      </c>
      <c r="K36" s="172">
        <v>21.5</v>
      </c>
    </row>
    <row r="37" spans="2:11" x14ac:dyDescent="0.3">
      <c r="B37" s="172" t="s">
        <v>179</v>
      </c>
      <c r="C37" s="172" t="s">
        <v>246</v>
      </c>
      <c r="D37" s="172" t="s">
        <v>245</v>
      </c>
      <c r="E37" s="172"/>
      <c r="F37" s="172" t="s">
        <v>218</v>
      </c>
      <c r="G37" s="172">
        <v>8.3070305346714794E-5</v>
      </c>
      <c r="H37" s="172">
        <v>19</v>
      </c>
      <c r="I37" s="172">
        <v>19.25</v>
      </c>
      <c r="J37" s="172">
        <v>19.25</v>
      </c>
      <c r="K37" s="172">
        <v>21.5</v>
      </c>
    </row>
    <row r="38" spans="2:11" x14ac:dyDescent="0.3">
      <c r="B38" s="172" t="s">
        <v>39</v>
      </c>
      <c r="C38" s="172" t="s">
        <v>79</v>
      </c>
      <c r="D38" s="172" t="s">
        <v>245</v>
      </c>
      <c r="E38" s="172"/>
      <c r="F38" s="172" t="s">
        <v>218</v>
      </c>
      <c r="G38" s="172">
        <v>9.1211469841823904E-4</v>
      </c>
      <c r="H38" s="172">
        <v>19</v>
      </c>
      <c r="I38" s="172">
        <v>19.25</v>
      </c>
      <c r="J38" s="172">
        <v>19.25</v>
      </c>
      <c r="K38" s="172">
        <v>18</v>
      </c>
    </row>
    <row r="39" spans="2:11" x14ac:dyDescent="0.3">
      <c r="B39" s="172" t="s">
        <v>39</v>
      </c>
      <c r="C39" s="172" t="s">
        <v>80</v>
      </c>
      <c r="D39" s="172" t="s">
        <v>245</v>
      </c>
      <c r="E39" s="172"/>
      <c r="F39" s="172" t="s">
        <v>218</v>
      </c>
      <c r="G39" s="172">
        <v>9.29404638735564E-4</v>
      </c>
      <c r="H39" s="172">
        <v>25</v>
      </c>
      <c r="I39" s="172">
        <v>19.25</v>
      </c>
      <c r="J39" s="172">
        <v>-0.25</v>
      </c>
      <c r="K39" s="172">
        <v>18</v>
      </c>
    </row>
    <row r="40" spans="2:11" x14ac:dyDescent="0.3">
      <c r="B40" s="172" t="s">
        <v>39</v>
      </c>
      <c r="C40" s="172" t="s">
        <v>81</v>
      </c>
      <c r="D40" s="172" t="s">
        <v>245</v>
      </c>
      <c r="E40" s="172"/>
      <c r="F40" s="172" t="s">
        <v>221</v>
      </c>
      <c r="G40" s="172">
        <v>9.2208196844199202E-4</v>
      </c>
      <c r="H40" s="172">
        <v>19</v>
      </c>
      <c r="I40" s="172">
        <v>19.25</v>
      </c>
      <c r="J40" s="172">
        <v>19.25</v>
      </c>
      <c r="K40" s="172">
        <v>18</v>
      </c>
    </row>
    <row r="41" spans="2:11" x14ac:dyDescent="0.3">
      <c r="B41" s="172" t="s">
        <v>39</v>
      </c>
      <c r="C41" s="172" t="s">
        <v>82</v>
      </c>
      <c r="D41" s="172" t="s">
        <v>245</v>
      </c>
      <c r="E41" s="172"/>
      <c r="F41" s="172" t="s">
        <v>221</v>
      </c>
      <c r="G41" s="172">
        <v>1.08455544622362E-3</v>
      </c>
      <c r="H41" s="172">
        <v>39</v>
      </c>
      <c r="I41" s="172">
        <v>0</v>
      </c>
      <c r="J41" s="172">
        <v>19</v>
      </c>
      <c r="K41" s="172">
        <v>18</v>
      </c>
    </row>
    <row r="42" spans="2:11" x14ac:dyDescent="0.3">
      <c r="B42" s="172" t="s">
        <v>39</v>
      </c>
      <c r="C42" s="172" t="s">
        <v>246</v>
      </c>
      <c r="D42" s="172" t="s">
        <v>245</v>
      </c>
      <c r="E42" s="172"/>
      <c r="F42" s="172" t="s">
        <v>218</v>
      </c>
      <c r="G42" s="172">
        <v>7.3338255600570096E-5</v>
      </c>
      <c r="H42" s="172">
        <v>19</v>
      </c>
      <c r="I42" s="172">
        <v>19.25</v>
      </c>
      <c r="J42" s="172">
        <v>19.25</v>
      </c>
      <c r="K42" s="172">
        <v>18</v>
      </c>
    </row>
    <row r="43" spans="2:11" x14ac:dyDescent="0.3">
      <c r="B43" s="172" t="s">
        <v>26</v>
      </c>
      <c r="C43" s="172" t="s">
        <v>79</v>
      </c>
      <c r="D43" s="172" t="s">
        <v>245</v>
      </c>
      <c r="E43" s="172"/>
      <c r="F43" s="172" t="s">
        <v>218</v>
      </c>
      <c r="G43" s="172">
        <v>9.8146074069906499E-4</v>
      </c>
      <c r="H43" s="172">
        <v>19</v>
      </c>
      <c r="I43" s="172">
        <v>19.25</v>
      </c>
      <c r="J43" s="172">
        <v>19.25</v>
      </c>
      <c r="K43" s="172">
        <v>14.5</v>
      </c>
    </row>
    <row r="44" spans="2:11" x14ac:dyDescent="0.3">
      <c r="B44" s="172" t="s">
        <v>26</v>
      </c>
      <c r="C44" s="172" t="s">
        <v>80</v>
      </c>
      <c r="D44" s="172" t="s">
        <v>245</v>
      </c>
      <c r="E44" s="172"/>
      <c r="F44" s="172" t="s">
        <v>218</v>
      </c>
      <c r="G44" s="172">
        <v>1.00097226097355E-3</v>
      </c>
      <c r="H44" s="172">
        <v>25</v>
      </c>
      <c r="I44" s="172">
        <v>19.25</v>
      </c>
      <c r="J44" s="172">
        <v>-0.25</v>
      </c>
      <c r="K44" s="172">
        <v>14.5</v>
      </c>
    </row>
    <row r="45" spans="2:11" x14ac:dyDescent="0.3">
      <c r="B45" s="172" t="s">
        <v>26</v>
      </c>
      <c r="C45" s="172" t="s">
        <v>81</v>
      </c>
      <c r="D45" s="172" t="s">
        <v>245</v>
      </c>
      <c r="E45" s="172"/>
      <c r="F45" s="172" t="s">
        <v>221</v>
      </c>
      <c r="G45" s="172">
        <v>9.967968602203111E-4</v>
      </c>
      <c r="H45" s="172">
        <v>19</v>
      </c>
      <c r="I45" s="172">
        <v>19.25</v>
      </c>
      <c r="J45" s="172">
        <v>19.25</v>
      </c>
      <c r="K45" s="172">
        <v>14.5</v>
      </c>
    </row>
    <row r="46" spans="2:11" x14ac:dyDescent="0.3">
      <c r="B46" s="172" t="s">
        <v>26</v>
      </c>
      <c r="C46" s="172" t="s">
        <v>82</v>
      </c>
      <c r="D46" s="172" t="s">
        <v>245</v>
      </c>
      <c r="E46" s="172"/>
      <c r="F46" s="172" t="s">
        <v>221</v>
      </c>
      <c r="G46" s="172">
        <v>1.1775819517642499E-3</v>
      </c>
      <c r="H46" s="172">
        <v>39</v>
      </c>
      <c r="I46" s="172">
        <v>0</v>
      </c>
      <c r="J46" s="172">
        <v>19</v>
      </c>
      <c r="K46" s="172">
        <v>14.5</v>
      </c>
    </row>
    <row r="47" spans="2:11" x14ac:dyDescent="0.3">
      <c r="B47" s="172" t="s">
        <v>26</v>
      </c>
      <c r="C47" s="172" t="s">
        <v>246</v>
      </c>
      <c r="D47" s="172" t="s">
        <v>245</v>
      </c>
      <c r="E47" s="172"/>
      <c r="F47" s="172" t="s">
        <v>218</v>
      </c>
      <c r="G47" s="172">
        <v>6.1542094671761493E-5</v>
      </c>
      <c r="H47" s="172">
        <v>19</v>
      </c>
      <c r="I47" s="172">
        <v>19.25</v>
      </c>
      <c r="J47" s="172">
        <v>19.25</v>
      </c>
      <c r="K47" s="172">
        <v>14.5</v>
      </c>
    </row>
    <row r="48" spans="2:11" x14ac:dyDescent="0.3">
      <c r="B48" s="172" t="s">
        <v>25</v>
      </c>
      <c r="C48" s="172" t="s">
        <v>79</v>
      </c>
      <c r="D48" s="172" t="s">
        <v>245</v>
      </c>
      <c r="E48" s="172"/>
      <c r="F48" s="172" t="s">
        <v>218</v>
      </c>
      <c r="G48" s="172">
        <v>1.0297957320403799E-3</v>
      </c>
      <c r="H48" s="172">
        <v>19</v>
      </c>
      <c r="I48" s="172">
        <v>19.25</v>
      </c>
      <c r="J48" s="172">
        <v>19.25</v>
      </c>
      <c r="K48" s="172">
        <v>11</v>
      </c>
    </row>
    <row r="49" spans="2:11" x14ac:dyDescent="0.3">
      <c r="B49" s="172" t="s">
        <v>25</v>
      </c>
      <c r="C49" s="172" t="s">
        <v>80</v>
      </c>
      <c r="D49" s="172" t="s">
        <v>245</v>
      </c>
      <c r="E49" s="172"/>
      <c r="F49" s="172" t="s">
        <v>218</v>
      </c>
      <c r="G49" s="172">
        <v>1.0514716367962E-3</v>
      </c>
      <c r="H49" s="172">
        <v>25</v>
      </c>
      <c r="I49" s="172">
        <v>19.25</v>
      </c>
      <c r="J49" s="172">
        <v>-0.25</v>
      </c>
      <c r="K49" s="172">
        <v>11</v>
      </c>
    </row>
    <row r="50" spans="2:11" x14ac:dyDescent="0.3">
      <c r="B50" s="172" t="s">
        <v>25</v>
      </c>
      <c r="C50" s="172" t="s">
        <v>81</v>
      </c>
      <c r="D50" s="172" t="s">
        <v>245</v>
      </c>
      <c r="E50" s="172"/>
      <c r="F50" s="172" t="s">
        <v>221</v>
      </c>
      <c r="G50" s="172">
        <v>1.0497736291159401E-3</v>
      </c>
      <c r="H50" s="172">
        <v>25</v>
      </c>
      <c r="I50" s="172">
        <v>19.25</v>
      </c>
      <c r="J50" s="172">
        <v>-0.25</v>
      </c>
      <c r="K50" s="172">
        <v>11</v>
      </c>
    </row>
    <row r="51" spans="2:11" x14ac:dyDescent="0.3">
      <c r="B51" s="172" t="s">
        <v>25</v>
      </c>
      <c r="C51" s="172" t="s">
        <v>82</v>
      </c>
      <c r="D51" s="172" t="s">
        <v>245</v>
      </c>
      <c r="E51" s="172"/>
      <c r="F51" s="172" t="s">
        <v>221</v>
      </c>
      <c r="G51" s="172">
        <v>1.24442624143933E-3</v>
      </c>
      <c r="H51" s="172">
        <v>39</v>
      </c>
      <c r="I51" s="172">
        <v>0</v>
      </c>
      <c r="J51" s="172">
        <v>19</v>
      </c>
      <c r="K51" s="172">
        <v>11</v>
      </c>
    </row>
    <row r="52" spans="2:11" x14ac:dyDescent="0.3">
      <c r="B52" s="172" t="s">
        <v>25</v>
      </c>
      <c r="C52" s="172" t="s">
        <v>246</v>
      </c>
      <c r="D52" s="172" t="s">
        <v>245</v>
      </c>
      <c r="E52" s="172"/>
      <c r="F52" s="172" t="s">
        <v>218</v>
      </c>
      <c r="G52" s="172">
        <v>4.7646602924201902E-5</v>
      </c>
      <c r="H52" s="172">
        <v>19</v>
      </c>
      <c r="I52" s="172">
        <v>19.25</v>
      </c>
      <c r="J52" s="172">
        <v>19.25</v>
      </c>
      <c r="K52" s="172">
        <v>11</v>
      </c>
    </row>
    <row r="53" spans="2:11" x14ac:dyDescent="0.3">
      <c r="B53" s="172" t="s">
        <v>24</v>
      </c>
      <c r="C53" s="172" t="s">
        <v>79</v>
      </c>
      <c r="D53" s="172" t="s">
        <v>245</v>
      </c>
      <c r="E53" s="172"/>
      <c r="F53" s="172" t="s">
        <v>218</v>
      </c>
      <c r="G53" s="172">
        <v>1.0388753774048601E-3</v>
      </c>
      <c r="H53" s="172">
        <v>19</v>
      </c>
      <c r="I53" s="172">
        <v>19.25</v>
      </c>
      <c r="J53" s="172">
        <v>19.25</v>
      </c>
      <c r="K53" s="172">
        <v>7.5</v>
      </c>
    </row>
    <row r="54" spans="2:11" x14ac:dyDescent="0.3">
      <c r="B54" s="172" t="s">
        <v>24</v>
      </c>
      <c r="C54" s="172" t="s">
        <v>80</v>
      </c>
      <c r="D54" s="172" t="s">
        <v>245</v>
      </c>
      <c r="E54" s="172"/>
      <c r="F54" s="172" t="s">
        <v>218</v>
      </c>
      <c r="G54" s="172">
        <v>1.06223922740746E-3</v>
      </c>
      <c r="H54" s="172">
        <v>25</v>
      </c>
      <c r="I54" s="172">
        <v>19.25</v>
      </c>
      <c r="J54" s="172">
        <v>-0.25</v>
      </c>
      <c r="K54" s="172">
        <v>7.5</v>
      </c>
    </row>
    <row r="55" spans="2:11" x14ac:dyDescent="0.3">
      <c r="B55" s="172" t="s">
        <v>24</v>
      </c>
      <c r="C55" s="172" t="s">
        <v>81</v>
      </c>
      <c r="D55" s="172" t="s">
        <v>245</v>
      </c>
      <c r="E55" s="172"/>
      <c r="F55" s="172" t="s">
        <v>221</v>
      </c>
      <c r="G55" s="172">
        <v>1.0611000306639999E-3</v>
      </c>
      <c r="H55" s="172">
        <v>19</v>
      </c>
      <c r="I55" s="172">
        <v>19.25</v>
      </c>
      <c r="J55" s="172">
        <v>19.25</v>
      </c>
      <c r="K55" s="172">
        <v>7.5</v>
      </c>
    </row>
    <row r="56" spans="2:11" x14ac:dyDescent="0.3">
      <c r="B56" s="172" t="s">
        <v>24</v>
      </c>
      <c r="C56" s="172" t="s">
        <v>82</v>
      </c>
      <c r="D56" s="172" t="s">
        <v>245</v>
      </c>
      <c r="E56" s="172"/>
      <c r="F56" s="172" t="s">
        <v>221</v>
      </c>
      <c r="G56" s="172">
        <v>1.25140490763062E-3</v>
      </c>
      <c r="H56" s="172">
        <v>39</v>
      </c>
      <c r="I56" s="172">
        <v>0</v>
      </c>
      <c r="J56" s="172">
        <v>19</v>
      </c>
      <c r="K56" s="172">
        <v>7.5</v>
      </c>
    </row>
    <row r="57" spans="2:11" x14ac:dyDescent="0.3">
      <c r="B57" s="172" t="s">
        <v>24</v>
      </c>
      <c r="C57" s="172" t="s">
        <v>246</v>
      </c>
      <c r="D57" s="172" t="s">
        <v>245</v>
      </c>
      <c r="E57" s="172"/>
      <c r="F57" s="172" t="s">
        <v>218</v>
      </c>
      <c r="G57" s="172">
        <v>3.0051247783483999E-5</v>
      </c>
      <c r="H57" s="172">
        <v>19</v>
      </c>
      <c r="I57" s="172">
        <v>19.25</v>
      </c>
      <c r="J57" s="172">
        <v>19.25</v>
      </c>
      <c r="K57" s="172">
        <v>7.5</v>
      </c>
    </row>
    <row r="58" spans="2:11" x14ac:dyDescent="0.3">
      <c r="B58" s="172" t="s">
        <v>22</v>
      </c>
      <c r="C58" s="172" t="s">
        <v>79</v>
      </c>
      <c r="D58" s="172" t="s">
        <v>245</v>
      </c>
      <c r="E58" s="172"/>
      <c r="F58" s="172" t="s">
        <v>218</v>
      </c>
      <c r="G58" s="172">
        <v>7.8320825249177301E-4</v>
      </c>
      <c r="H58" s="172">
        <v>14</v>
      </c>
      <c r="I58" s="172">
        <v>19</v>
      </c>
      <c r="J58" s="172">
        <v>19</v>
      </c>
      <c r="K58" s="172">
        <v>4</v>
      </c>
    </row>
    <row r="59" spans="2:11" x14ac:dyDescent="0.3">
      <c r="B59" s="172" t="s">
        <v>22</v>
      </c>
      <c r="C59" s="172" t="s">
        <v>80</v>
      </c>
      <c r="D59" s="172" t="s">
        <v>245</v>
      </c>
      <c r="E59" s="172"/>
      <c r="F59" s="172" t="s">
        <v>218</v>
      </c>
      <c r="G59" s="172">
        <v>8.0218836095594201E-4</v>
      </c>
      <c r="H59" s="172">
        <v>48</v>
      </c>
      <c r="I59" s="172">
        <v>19</v>
      </c>
      <c r="J59" s="172">
        <v>0</v>
      </c>
      <c r="K59" s="172">
        <v>4</v>
      </c>
    </row>
    <row r="60" spans="2:11" x14ac:dyDescent="0.3">
      <c r="B60" s="172" t="s">
        <v>22</v>
      </c>
      <c r="C60" s="172" t="s">
        <v>81</v>
      </c>
      <c r="D60" s="172" t="s">
        <v>245</v>
      </c>
      <c r="E60" s="172"/>
      <c r="F60" s="172" t="s">
        <v>221</v>
      </c>
      <c r="G60" s="172">
        <v>7.9635278018844798E-4</v>
      </c>
      <c r="H60" s="172">
        <v>50</v>
      </c>
      <c r="I60" s="172">
        <v>19</v>
      </c>
      <c r="J60" s="172">
        <v>11</v>
      </c>
      <c r="K60" s="172">
        <v>4</v>
      </c>
    </row>
    <row r="61" spans="2:11" x14ac:dyDescent="0.3">
      <c r="B61" s="172" t="s">
        <v>22</v>
      </c>
      <c r="C61" s="172" t="s">
        <v>82</v>
      </c>
      <c r="D61" s="172" t="s">
        <v>245</v>
      </c>
      <c r="E61" s="172"/>
      <c r="F61" s="172" t="s">
        <v>221</v>
      </c>
      <c r="G61" s="172">
        <v>8.9301018248103795E-4</v>
      </c>
      <c r="H61" s="172">
        <v>39</v>
      </c>
      <c r="I61" s="172">
        <v>0</v>
      </c>
      <c r="J61" s="172">
        <v>19</v>
      </c>
      <c r="K61" s="172">
        <v>4</v>
      </c>
    </row>
    <row r="62" spans="2:11" x14ac:dyDescent="0.3">
      <c r="B62" s="172" t="s">
        <v>22</v>
      </c>
      <c r="C62" s="172" t="s">
        <v>246</v>
      </c>
      <c r="D62" s="172" t="s">
        <v>245</v>
      </c>
      <c r="E62" s="172"/>
      <c r="F62" s="172" t="s">
        <v>218</v>
      </c>
      <c r="G62" s="172">
        <v>1.01302772694606E-5</v>
      </c>
      <c r="H62" s="172">
        <v>14</v>
      </c>
      <c r="I62" s="172">
        <v>19</v>
      </c>
      <c r="J62" s="172">
        <v>19</v>
      </c>
      <c r="K62" s="172">
        <v>4</v>
      </c>
    </row>
    <row r="63" spans="2:11" x14ac:dyDescent="0.3">
      <c r="B63" s="172" t="s">
        <v>22</v>
      </c>
      <c r="C63" s="172" t="s">
        <v>246</v>
      </c>
      <c r="D63" s="172" t="s">
        <v>245</v>
      </c>
      <c r="E63" s="172"/>
      <c r="F63" s="172" t="s">
        <v>221</v>
      </c>
      <c r="G63" s="172">
        <v>3.29321724056906E-6</v>
      </c>
      <c r="H63" s="172">
        <v>48</v>
      </c>
      <c r="I63" s="172">
        <v>19</v>
      </c>
      <c r="J63" s="172">
        <v>0</v>
      </c>
      <c r="K63" s="172">
        <v>4</v>
      </c>
    </row>
    <row r="64" spans="2:11" x14ac:dyDescent="0.3">
      <c r="B64" s="172"/>
      <c r="C64" s="172"/>
      <c r="D64" s="172"/>
      <c r="E64" s="172"/>
      <c r="F64" s="172"/>
      <c r="G64" s="172"/>
      <c r="H64" s="172"/>
      <c r="I64" s="172"/>
      <c r="J64" s="172"/>
      <c r="K64" s="172"/>
    </row>
    <row r="65" spans="2:11" x14ac:dyDescent="0.3">
      <c r="B65" s="172"/>
      <c r="C65" s="172"/>
      <c r="D65" s="172"/>
      <c r="E65" s="172"/>
      <c r="F65" s="172"/>
      <c r="G65" s="172"/>
      <c r="H65" s="172"/>
      <c r="I65" s="172"/>
      <c r="J65" s="172"/>
      <c r="K65" s="172"/>
    </row>
    <row r="66" spans="2:11" x14ac:dyDescent="0.3">
      <c r="B66" s="172"/>
      <c r="C66" s="172"/>
      <c r="D66" s="172"/>
      <c r="E66" s="172"/>
      <c r="F66" s="172"/>
      <c r="G66" s="172"/>
      <c r="H66" s="172"/>
      <c r="I66" s="172"/>
      <c r="J66" s="172"/>
      <c r="K66" s="172"/>
    </row>
    <row r="67" spans="2:11" x14ac:dyDescent="0.3">
      <c r="B67" s="172"/>
      <c r="C67" s="172"/>
      <c r="D67" s="172"/>
      <c r="E67" s="172"/>
      <c r="F67" s="172"/>
      <c r="G67" s="172"/>
      <c r="H67" s="172"/>
      <c r="I67" s="172"/>
      <c r="J67" s="172"/>
      <c r="K67" s="172"/>
    </row>
    <row r="68" spans="2:11" x14ac:dyDescent="0.3">
      <c r="B68" s="172"/>
      <c r="C68" s="172"/>
      <c r="D68" s="172"/>
      <c r="E68" s="172"/>
      <c r="F68" s="172"/>
      <c r="G68" s="172"/>
      <c r="H68" s="172"/>
      <c r="I68" s="172"/>
      <c r="J68" s="172"/>
      <c r="K68" s="172"/>
    </row>
    <row r="69" spans="2:11" x14ac:dyDescent="0.3">
      <c r="B69" s="172"/>
      <c r="C69" s="172"/>
      <c r="D69" s="172"/>
      <c r="E69" s="172"/>
      <c r="F69" s="172"/>
      <c r="G69" s="172"/>
      <c r="H69" s="172"/>
      <c r="I69" s="172"/>
      <c r="J69" s="172"/>
      <c r="K69" s="172"/>
    </row>
    <row r="70" spans="2:11" x14ac:dyDescent="0.3">
      <c r="B70" s="172"/>
      <c r="C70" s="172"/>
      <c r="D70" s="172"/>
      <c r="E70" s="172"/>
      <c r="F70" s="172"/>
      <c r="G70" s="172"/>
      <c r="H70" s="172"/>
      <c r="I70" s="172"/>
      <c r="J70" s="172"/>
      <c r="K70" s="172"/>
    </row>
    <row r="71" spans="2:11" x14ac:dyDescent="0.3">
      <c r="B71" s="172"/>
      <c r="C71" s="172"/>
      <c r="D71" s="172"/>
      <c r="E71" s="172"/>
      <c r="F71" s="172"/>
      <c r="G71" s="172"/>
      <c r="H71" s="172"/>
      <c r="I71" s="172"/>
      <c r="J71" s="172"/>
      <c r="K71" s="172"/>
    </row>
    <row r="72" spans="2:11" x14ac:dyDescent="0.3">
      <c r="B72" s="172"/>
      <c r="C72" s="172"/>
      <c r="D72" s="172"/>
      <c r="E72" s="172"/>
      <c r="F72" s="172"/>
      <c r="G72" s="172"/>
      <c r="H72" s="172"/>
      <c r="I72" s="172"/>
      <c r="J72" s="172"/>
      <c r="K72" s="172"/>
    </row>
    <row r="73" spans="2:11" x14ac:dyDescent="0.3">
      <c r="B73" s="172"/>
      <c r="C73" s="172"/>
      <c r="D73" s="172"/>
      <c r="E73" s="172"/>
      <c r="F73" s="172"/>
      <c r="G73" s="172"/>
      <c r="H73" s="172"/>
      <c r="I73" s="172"/>
      <c r="J73" s="172"/>
      <c r="K73" s="172"/>
    </row>
    <row r="74" spans="2:11" x14ac:dyDescent="0.3">
      <c r="B74" s="172"/>
      <c r="C74" s="172"/>
      <c r="D74" s="172"/>
      <c r="E74" s="172"/>
      <c r="F74" s="172"/>
      <c r="G74" s="172"/>
      <c r="H74" s="172"/>
      <c r="I74" s="172"/>
      <c r="J74" s="172"/>
      <c r="K74" s="172"/>
    </row>
    <row r="75" spans="2:11" x14ac:dyDescent="0.3">
      <c r="B75" s="172"/>
      <c r="C75" s="172"/>
      <c r="D75" s="172"/>
      <c r="E75" s="172"/>
      <c r="F75" s="172"/>
      <c r="G75" s="172"/>
      <c r="H75" s="172"/>
      <c r="I75" s="172"/>
      <c r="J75" s="172"/>
      <c r="K75" s="172"/>
    </row>
    <row r="76" spans="2:11" x14ac:dyDescent="0.3">
      <c r="B76" s="172"/>
      <c r="C76" s="172"/>
      <c r="D76" s="172"/>
      <c r="E76" s="172"/>
      <c r="F76" s="172"/>
      <c r="G76" s="172"/>
      <c r="H76" s="172"/>
      <c r="I76" s="172"/>
      <c r="J76" s="172"/>
      <c r="K76" s="172"/>
    </row>
    <row r="77" spans="2:11" x14ac:dyDescent="0.3">
      <c r="B77" s="172"/>
      <c r="C77" s="172"/>
      <c r="D77" s="172"/>
      <c r="E77" s="172"/>
      <c r="F77" s="172"/>
      <c r="G77" s="172"/>
      <c r="H77" s="172"/>
      <c r="I77" s="172"/>
      <c r="J77" s="172"/>
      <c r="K77" s="172"/>
    </row>
    <row r="78" spans="2:11" x14ac:dyDescent="0.3">
      <c r="B78" s="172"/>
      <c r="C78" s="172"/>
      <c r="D78" s="172"/>
      <c r="E78" s="172"/>
      <c r="F78" s="172"/>
      <c r="G78" s="172"/>
      <c r="H78" s="172"/>
      <c r="I78" s="172"/>
      <c r="J78" s="172"/>
      <c r="K78" s="172"/>
    </row>
    <row r="79" spans="2:11" x14ac:dyDescent="0.3">
      <c r="B79" s="172"/>
      <c r="C79" s="172"/>
      <c r="D79" s="172"/>
      <c r="E79" s="172"/>
      <c r="F79" s="172"/>
      <c r="G79" s="172"/>
      <c r="H79" s="172"/>
      <c r="I79" s="172"/>
      <c r="J79" s="172"/>
      <c r="K79" s="172"/>
    </row>
    <row r="80" spans="2:11" x14ac:dyDescent="0.3">
      <c r="B80" s="172"/>
      <c r="C80" s="172"/>
      <c r="D80" s="172"/>
      <c r="E80" s="172"/>
      <c r="F80" s="172"/>
      <c r="G80" s="172"/>
      <c r="H80" s="172"/>
      <c r="I80" s="172"/>
      <c r="J80" s="172"/>
      <c r="K80" s="172"/>
    </row>
    <row r="81" spans="2:11" x14ac:dyDescent="0.3">
      <c r="B81" s="172"/>
      <c r="C81" s="172"/>
      <c r="D81" s="172"/>
      <c r="E81" s="172"/>
      <c r="F81" s="172"/>
      <c r="G81" s="172"/>
      <c r="H81" s="172"/>
      <c r="I81" s="172"/>
      <c r="J81" s="172"/>
      <c r="K81" s="172"/>
    </row>
    <row r="82" spans="2:11" x14ac:dyDescent="0.3">
      <c r="B82" s="172"/>
      <c r="C82" s="172"/>
      <c r="D82" s="172"/>
      <c r="E82" s="172"/>
      <c r="F82" s="172"/>
      <c r="G82" s="172"/>
      <c r="H82" s="172"/>
      <c r="I82" s="172"/>
      <c r="J82" s="172"/>
      <c r="K82" s="172"/>
    </row>
    <row r="83" spans="2:11" x14ac:dyDescent="0.3">
      <c r="B83" s="172"/>
      <c r="C83" s="172"/>
      <c r="D83" s="172"/>
      <c r="E83" s="172"/>
      <c r="F83" s="172"/>
      <c r="G83" s="172"/>
      <c r="H83" s="172"/>
      <c r="I83" s="172"/>
      <c r="J83" s="172"/>
      <c r="K83" s="172"/>
    </row>
    <row r="84" spans="2:11" x14ac:dyDescent="0.3">
      <c r="B84" s="172"/>
      <c r="C84" s="172"/>
      <c r="D84" s="172"/>
      <c r="E84" s="172"/>
      <c r="F84" s="172"/>
      <c r="G84" s="172"/>
      <c r="H84" s="172"/>
      <c r="I84" s="172"/>
      <c r="J84" s="172"/>
      <c r="K84" s="172"/>
    </row>
    <row r="85" spans="2:11" x14ac:dyDescent="0.3">
      <c r="B85" s="172"/>
      <c r="C85" s="172"/>
      <c r="D85" s="172"/>
      <c r="E85" s="172"/>
      <c r="F85" s="172"/>
      <c r="G85" s="172"/>
      <c r="H85" s="172"/>
      <c r="I85" s="172"/>
      <c r="J85" s="172"/>
      <c r="K85" s="172"/>
    </row>
    <row r="86" spans="2:11" x14ac:dyDescent="0.3">
      <c r="B86" s="172"/>
      <c r="C86" s="172"/>
      <c r="D86" s="172"/>
      <c r="E86" s="172"/>
      <c r="F86" s="172"/>
      <c r="G86" s="172"/>
      <c r="H86" s="172"/>
      <c r="I86" s="172"/>
      <c r="J86" s="172"/>
      <c r="K86" s="172"/>
    </row>
    <row r="87" spans="2:11" x14ac:dyDescent="0.3">
      <c r="B87" s="172"/>
      <c r="C87" s="172"/>
      <c r="D87" s="172"/>
      <c r="E87" s="172"/>
      <c r="F87" s="172"/>
      <c r="G87" s="172"/>
      <c r="H87" s="172"/>
      <c r="I87" s="172"/>
      <c r="J87" s="172"/>
      <c r="K87" s="172"/>
    </row>
    <row r="88" spans="2:11" x14ac:dyDescent="0.3">
      <c r="B88" s="172"/>
      <c r="C88" s="172"/>
      <c r="D88" s="172"/>
      <c r="E88" s="172"/>
      <c r="F88" s="172"/>
      <c r="G88" s="172"/>
      <c r="H88" s="172"/>
      <c r="I88" s="172"/>
      <c r="J88" s="172"/>
      <c r="K88" s="172"/>
    </row>
    <row r="89" spans="2:11" x14ac:dyDescent="0.3">
      <c r="B89" s="172"/>
      <c r="C89" s="172"/>
      <c r="D89" s="172"/>
      <c r="E89" s="172"/>
      <c r="F89" s="172"/>
      <c r="G89" s="172"/>
      <c r="H89" s="172"/>
      <c r="I89" s="172"/>
      <c r="J89" s="172"/>
      <c r="K89" s="172"/>
    </row>
    <row r="90" spans="2:11" x14ac:dyDescent="0.3">
      <c r="B90" s="172"/>
      <c r="C90" s="172"/>
      <c r="D90" s="172"/>
      <c r="E90" s="172"/>
      <c r="F90" s="172"/>
      <c r="G90" s="172"/>
      <c r="H90" s="172"/>
      <c r="I90" s="172"/>
      <c r="J90" s="172"/>
      <c r="K90" s="172"/>
    </row>
    <row r="91" spans="2:11" x14ac:dyDescent="0.3">
      <c r="B91" s="172"/>
      <c r="C91" s="172"/>
      <c r="D91" s="172"/>
      <c r="E91" s="172"/>
      <c r="F91" s="172"/>
      <c r="G91" s="172"/>
      <c r="H91" s="172"/>
      <c r="I91" s="172"/>
      <c r="J91" s="172"/>
      <c r="K91" s="172"/>
    </row>
    <row r="92" spans="2:11" x14ac:dyDescent="0.3">
      <c r="B92" s="172"/>
      <c r="C92" s="172"/>
      <c r="D92" s="172"/>
      <c r="E92" s="172"/>
      <c r="F92" s="172"/>
      <c r="G92" s="172"/>
      <c r="H92" s="172"/>
      <c r="I92" s="172"/>
      <c r="J92" s="172"/>
      <c r="K92" s="172"/>
    </row>
    <row r="93" spans="2:11" x14ac:dyDescent="0.3">
      <c r="B93" s="172"/>
      <c r="C93" s="172"/>
      <c r="D93" s="172"/>
      <c r="E93" s="172"/>
      <c r="F93" s="172"/>
      <c r="G93" s="172"/>
      <c r="H93" s="172"/>
      <c r="I93" s="172"/>
      <c r="J93" s="172"/>
      <c r="K93" s="172"/>
    </row>
    <row r="94" spans="2:11" x14ac:dyDescent="0.3">
      <c r="B94" s="172"/>
      <c r="C94" s="172"/>
      <c r="D94" s="172"/>
      <c r="E94" s="172"/>
      <c r="F94" s="172"/>
      <c r="G94" s="172"/>
      <c r="H94" s="172"/>
      <c r="I94" s="172"/>
      <c r="J94" s="172"/>
      <c r="K94" s="172"/>
    </row>
    <row r="95" spans="2:11" x14ac:dyDescent="0.3">
      <c r="B95" s="172"/>
      <c r="C95" s="172"/>
      <c r="D95" s="172"/>
      <c r="E95" s="172"/>
      <c r="F95" s="172"/>
      <c r="G95" s="172"/>
      <c r="H95" s="172"/>
      <c r="I95" s="172"/>
      <c r="J95" s="172"/>
      <c r="K95" s="172"/>
    </row>
    <row r="96" spans="2:11" x14ac:dyDescent="0.3">
      <c r="B96" s="172"/>
      <c r="C96" s="172"/>
      <c r="D96" s="172"/>
      <c r="E96" s="172"/>
      <c r="F96" s="172"/>
      <c r="G96" s="172"/>
      <c r="H96" s="172"/>
      <c r="I96" s="172"/>
      <c r="J96" s="172"/>
      <c r="K96" s="172"/>
    </row>
    <row r="97" spans="2:11" x14ac:dyDescent="0.3">
      <c r="B97" s="172"/>
      <c r="C97" s="172"/>
      <c r="D97" s="172"/>
      <c r="E97" s="172"/>
      <c r="F97" s="172"/>
      <c r="G97" s="172"/>
      <c r="H97" s="172"/>
      <c r="I97" s="172"/>
      <c r="J97" s="172"/>
      <c r="K97" s="172"/>
    </row>
    <row r="98" spans="2:11" x14ac:dyDescent="0.3">
      <c r="B98" s="172"/>
      <c r="C98" s="172"/>
      <c r="D98" s="172"/>
      <c r="E98" s="172"/>
      <c r="F98" s="172"/>
      <c r="G98" s="172"/>
      <c r="H98" s="172"/>
      <c r="I98" s="172"/>
      <c r="J98" s="172"/>
      <c r="K98" s="172"/>
    </row>
    <row r="99" spans="2:11" x14ac:dyDescent="0.3">
      <c r="B99" s="172"/>
      <c r="C99" s="172"/>
      <c r="D99" s="172"/>
      <c r="E99" s="172"/>
      <c r="F99" s="172"/>
      <c r="G99" s="172"/>
      <c r="H99" s="172"/>
      <c r="I99" s="172"/>
      <c r="J99" s="172"/>
      <c r="K99" s="172"/>
    </row>
    <row r="100" spans="2:11" x14ac:dyDescent="0.3">
      <c r="B100" s="172"/>
      <c r="C100" s="172"/>
      <c r="D100" s="172"/>
      <c r="E100" s="172"/>
      <c r="F100" s="172"/>
      <c r="G100" s="172"/>
      <c r="H100" s="172"/>
      <c r="I100" s="172"/>
      <c r="J100" s="172"/>
      <c r="K100" s="172"/>
    </row>
    <row r="101" spans="2:11" x14ac:dyDescent="0.3">
      <c r="B101" s="172"/>
      <c r="C101" s="172"/>
      <c r="D101" s="172"/>
      <c r="E101" s="172"/>
      <c r="F101" s="172"/>
      <c r="G101" s="172"/>
      <c r="H101" s="172"/>
      <c r="I101" s="172"/>
      <c r="J101" s="172"/>
      <c r="K101" s="172"/>
    </row>
    <row r="102" spans="2:11" x14ac:dyDescent="0.3">
      <c r="B102" s="172"/>
      <c r="C102" s="172"/>
      <c r="D102" s="172"/>
      <c r="E102" s="172"/>
      <c r="F102" s="172"/>
      <c r="G102" s="172"/>
      <c r="H102" s="172"/>
      <c r="I102" s="172"/>
      <c r="J102" s="172"/>
      <c r="K102" s="172"/>
    </row>
    <row r="103" spans="2:11" x14ac:dyDescent="0.3">
      <c r="B103" s="172"/>
      <c r="C103" s="172"/>
      <c r="D103" s="172"/>
      <c r="E103" s="172"/>
      <c r="F103" s="172"/>
      <c r="G103" s="172"/>
      <c r="H103" s="172"/>
      <c r="I103" s="172"/>
      <c r="J103" s="172"/>
      <c r="K103" s="172"/>
    </row>
    <row r="104" spans="2:11" x14ac:dyDescent="0.3">
      <c r="B104" s="172"/>
      <c r="C104" s="172"/>
      <c r="D104" s="172"/>
      <c r="E104" s="172"/>
      <c r="F104" s="172"/>
      <c r="G104" s="172"/>
      <c r="H104" s="172"/>
      <c r="I104" s="172"/>
      <c r="J104" s="172"/>
      <c r="K104" s="172"/>
    </row>
    <row r="105" spans="2:11" x14ac:dyDescent="0.3">
      <c r="B105" s="172"/>
      <c r="C105" s="172"/>
      <c r="D105" s="172"/>
      <c r="E105" s="172"/>
      <c r="F105" s="172"/>
      <c r="G105" s="172"/>
      <c r="H105" s="172"/>
      <c r="I105" s="172"/>
      <c r="J105" s="172"/>
      <c r="K105" s="172"/>
    </row>
    <row r="106" spans="2:11" x14ac:dyDescent="0.3">
      <c r="B106" s="172"/>
      <c r="C106" s="172"/>
      <c r="D106" s="172"/>
      <c r="E106" s="172"/>
      <c r="F106" s="172"/>
      <c r="G106" s="172"/>
      <c r="H106" s="172"/>
      <c r="I106" s="172"/>
      <c r="J106" s="172"/>
      <c r="K106" s="172"/>
    </row>
    <row r="107" spans="2:11" x14ac:dyDescent="0.3"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</row>
    <row r="108" spans="2:11" x14ac:dyDescent="0.3"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</row>
    <row r="109" spans="2:11" x14ac:dyDescent="0.3">
      <c r="B109" s="172"/>
      <c r="C109" s="172"/>
      <c r="D109" s="172"/>
      <c r="E109" s="172"/>
      <c r="F109" s="172"/>
      <c r="G109" s="172"/>
      <c r="H109" s="172"/>
      <c r="I109" s="172"/>
      <c r="J109" s="172"/>
      <c r="K109" s="172"/>
    </row>
    <row r="110" spans="2:11" x14ac:dyDescent="0.3">
      <c r="B110" s="172"/>
      <c r="C110" s="172"/>
      <c r="D110" s="172"/>
      <c r="E110" s="172"/>
      <c r="F110" s="172"/>
      <c r="G110" s="172"/>
      <c r="H110" s="172"/>
      <c r="I110" s="172"/>
      <c r="J110" s="172"/>
      <c r="K110" s="172"/>
    </row>
    <row r="111" spans="2:11" x14ac:dyDescent="0.3">
      <c r="B111" s="172"/>
      <c r="C111" s="172"/>
      <c r="D111" s="172"/>
      <c r="E111" s="172"/>
      <c r="F111" s="172"/>
      <c r="G111" s="172"/>
      <c r="H111" s="172"/>
      <c r="I111" s="172"/>
      <c r="J111" s="172"/>
      <c r="K111" s="172"/>
    </row>
    <row r="112" spans="2:11" x14ac:dyDescent="0.3">
      <c r="B112" s="172"/>
      <c r="C112" s="172"/>
      <c r="D112" s="172"/>
      <c r="E112" s="172"/>
      <c r="F112" s="172"/>
      <c r="G112" s="172"/>
      <c r="H112" s="172"/>
      <c r="I112" s="172"/>
      <c r="J112" s="172"/>
      <c r="K112" s="172"/>
    </row>
    <row r="113" spans="2:11" x14ac:dyDescent="0.3">
      <c r="B113" s="172"/>
      <c r="C113" s="172"/>
      <c r="D113" s="172"/>
      <c r="E113" s="172"/>
      <c r="F113" s="172"/>
      <c r="G113" s="172"/>
      <c r="H113" s="172"/>
      <c r="I113" s="172"/>
      <c r="J113" s="172"/>
      <c r="K113" s="172"/>
    </row>
    <row r="114" spans="2:11" x14ac:dyDescent="0.3">
      <c r="B114" s="172"/>
      <c r="C114" s="172"/>
      <c r="D114" s="172"/>
      <c r="E114" s="172"/>
      <c r="F114" s="172"/>
      <c r="G114" s="172"/>
      <c r="H114" s="172"/>
      <c r="I114" s="172"/>
      <c r="J114" s="172"/>
      <c r="K114" s="172"/>
    </row>
    <row r="115" spans="2:11" s="172" customFormat="1" x14ac:dyDescent="0.3"/>
    <row r="116" spans="2:11" x14ac:dyDescent="0.3">
      <c r="B116" s="172"/>
      <c r="C116" s="172"/>
      <c r="D116" s="172"/>
      <c r="E116" s="172"/>
      <c r="F116" s="172"/>
      <c r="G116" s="172"/>
      <c r="H116" s="172"/>
      <c r="I116" s="172"/>
      <c r="J116" s="172"/>
      <c r="K116" s="172"/>
    </row>
    <row r="117" spans="2:11" s="172" customFormat="1" x14ac:dyDescent="0.3"/>
    <row r="118" spans="2:11" x14ac:dyDescent="0.3">
      <c r="B118" s="172"/>
      <c r="C118" s="172"/>
      <c r="D118" s="172"/>
      <c r="E118" s="172"/>
      <c r="F118" s="172"/>
      <c r="G118" s="172"/>
      <c r="H118" s="172"/>
      <c r="I118" s="172"/>
      <c r="J118" s="172"/>
      <c r="K118" s="172"/>
    </row>
    <row r="119" spans="2:11" s="172" customFormat="1" x14ac:dyDescent="0.3"/>
    <row r="120" spans="2:11" x14ac:dyDescent="0.3">
      <c r="B120" s="172"/>
      <c r="C120" s="172"/>
      <c r="D120" s="172"/>
      <c r="E120" s="172"/>
      <c r="F120" s="172"/>
      <c r="G120" s="172"/>
      <c r="H120" s="172"/>
      <c r="I120" s="172"/>
      <c r="J120" s="172"/>
      <c r="K120" s="172"/>
    </row>
    <row r="121" spans="2:11" s="172" customFormat="1" x14ac:dyDescent="0.3"/>
    <row r="122" spans="2:11" x14ac:dyDescent="0.3">
      <c r="B122" s="172"/>
      <c r="C122" s="172"/>
      <c r="D122" s="172"/>
      <c r="E122" s="172"/>
      <c r="F122" s="172"/>
      <c r="G122" s="172"/>
      <c r="H122" s="172"/>
      <c r="I122" s="172"/>
      <c r="J122" s="172"/>
      <c r="K122" s="172"/>
    </row>
    <row r="123" spans="2:11" s="172" customFormat="1" x14ac:dyDescent="0.3"/>
    <row r="124" spans="2:11" x14ac:dyDescent="0.3">
      <c r="B124" s="172"/>
      <c r="C124" s="172"/>
      <c r="D124" s="172"/>
      <c r="E124" s="172"/>
      <c r="F124" s="172"/>
      <c r="G124" s="172"/>
      <c r="H124" s="172"/>
      <c r="I124" s="172"/>
      <c r="J124" s="172"/>
      <c r="K124" s="172"/>
    </row>
    <row r="125" spans="2:11" s="172" customFormat="1" x14ac:dyDescent="0.3"/>
    <row r="126" spans="2:11" x14ac:dyDescent="0.3">
      <c r="B126" s="172"/>
      <c r="C126" s="172"/>
      <c r="D126" s="172"/>
      <c r="E126" s="172"/>
      <c r="F126" s="172"/>
      <c r="G126" s="172"/>
      <c r="H126" s="172"/>
      <c r="I126" s="172"/>
      <c r="J126" s="172"/>
      <c r="K126" s="172"/>
    </row>
    <row r="127" spans="2:11" x14ac:dyDescent="0.3">
      <c r="B127" s="172"/>
      <c r="C127" s="172"/>
      <c r="D127" s="172"/>
      <c r="E127" s="172"/>
      <c r="F127" s="172"/>
      <c r="G127" s="172"/>
      <c r="H127" s="172"/>
      <c r="I127" s="172"/>
      <c r="J127" s="172"/>
      <c r="K127" s="172"/>
    </row>
    <row r="128" spans="2:11" x14ac:dyDescent="0.3">
      <c r="B128" s="172"/>
      <c r="C128" s="172"/>
      <c r="D128" s="172"/>
      <c r="E128" s="172"/>
      <c r="F128" s="172"/>
      <c r="G128" s="172"/>
      <c r="H128" s="172"/>
      <c r="I128" s="172"/>
      <c r="J128" s="172"/>
      <c r="K128" s="172"/>
    </row>
    <row r="129" spans="2:11" x14ac:dyDescent="0.3">
      <c r="B129" s="172"/>
      <c r="C129" s="172"/>
      <c r="D129" s="172"/>
      <c r="E129" s="172"/>
      <c r="F129" s="172"/>
      <c r="G129" s="172"/>
      <c r="H129" s="172"/>
      <c r="I129" s="172"/>
      <c r="J129" s="172"/>
      <c r="K129" s="172"/>
    </row>
    <row r="130" spans="2:11" x14ac:dyDescent="0.3">
      <c r="B130" s="172"/>
      <c r="C130" s="172"/>
      <c r="D130" s="172"/>
      <c r="E130" s="172"/>
      <c r="F130" s="172"/>
      <c r="G130" s="172"/>
      <c r="H130" s="172"/>
      <c r="I130" s="172"/>
      <c r="J130" s="172"/>
      <c r="K130" s="172"/>
    </row>
    <row r="131" spans="2:11" x14ac:dyDescent="0.3">
      <c r="B131" s="172"/>
      <c r="C131" s="172"/>
      <c r="D131" s="172"/>
      <c r="E131" s="172"/>
      <c r="F131" s="172"/>
      <c r="G131" s="172"/>
      <c r="H131" s="172"/>
      <c r="I131" s="172"/>
      <c r="J131" s="172"/>
      <c r="K131" s="172"/>
    </row>
    <row r="133" spans="2:11" x14ac:dyDescent="0.3">
      <c r="B133" s="167" t="s">
        <v>251</v>
      </c>
      <c r="C133" s="168"/>
      <c r="D133" s="168"/>
      <c r="E133" s="168"/>
      <c r="F133" s="168"/>
      <c r="G133" s="168"/>
      <c r="H133" s="168"/>
      <c r="I133" s="168"/>
      <c r="J133" s="168"/>
      <c r="K133" s="168"/>
    </row>
    <row r="134" spans="2:11" x14ac:dyDescent="0.3">
      <c r="B134" s="169" t="s">
        <v>9</v>
      </c>
      <c r="C134" s="169" t="s">
        <v>46</v>
      </c>
      <c r="D134" s="169" t="s">
        <v>239</v>
      </c>
      <c r="E134" s="169" t="s">
        <v>244</v>
      </c>
      <c r="F134" s="169" t="s">
        <v>42</v>
      </c>
      <c r="G134" s="169" t="s">
        <v>252</v>
      </c>
      <c r="H134" s="169" t="s">
        <v>253</v>
      </c>
      <c r="I134" s="169" t="s">
        <v>218</v>
      </c>
      <c r="J134" s="169" t="s">
        <v>221</v>
      </c>
      <c r="K134" s="170" t="s">
        <v>206</v>
      </c>
    </row>
    <row r="135" spans="2:11" x14ac:dyDescent="0.3">
      <c r="B135" s="173"/>
      <c r="C135" s="173"/>
      <c r="D135" s="173"/>
      <c r="E135" s="173"/>
      <c r="F135" s="173"/>
      <c r="G135" s="173"/>
      <c r="H135" s="173"/>
      <c r="I135" s="173" t="s">
        <v>7</v>
      </c>
      <c r="J135" s="173" t="s">
        <v>7</v>
      </c>
      <c r="K135" s="174" t="s">
        <v>7</v>
      </c>
    </row>
    <row r="136" spans="2:11" x14ac:dyDescent="0.3">
      <c r="B136" s="172" t="s">
        <v>189</v>
      </c>
      <c r="C136" s="172" t="s">
        <v>79</v>
      </c>
      <c r="D136" s="172" t="s">
        <v>245</v>
      </c>
      <c r="E136" s="172"/>
      <c r="F136" s="172" t="s">
        <v>218</v>
      </c>
      <c r="G136" s="172">
        <v>3.0144681736320498E-4</v>
      </c>
      <c r="H136" s="172">
        <v>50</v>
      </c>
      <c r="I136" s="172">
        <v>19</v>
      </c>
      <c r="J136" s="172">
        <v>11</v>
      </c>
      <c r="K136" s="172">
        <v>38.5</v>
      </c>
    </row>
    <row r="137" spans="2:11" s="172" customFormat="1" x14ac:dyDescent="0.3">
      <c r="B137" s="172" t="s">
        <v>189</v>
      </c>
      <c r="C137" s="172" t="s">
        <v>80</v>
      </c>
      <c r="D137" s="172" t="s">
        <v>245</v>
      </c>
      <c r="F137" s="172" t="s">
        <v>218</v>
      </c>
      <c r="G137" s="172">
        <v>2.9447092645812199E-4</v>
      </c>
      <c r="H137" s="172">
        <v>50</v>
      </c>
      <c r="I137" s="172">
        <v>19</v>
      </c>
      <c r="J137" s="172">
        <v>11</v>
      </c>
      <c r="K137" s="172">
        <v>38.5</v>
      </c>
    </row>
    <row r="138" spans="2:11" x14ac:dyDescent="0.3">
      <c r="B138" s="172" t="s">
        <v>189</v>
      </c>
      <c r="C138" s="172" t="s">
        <v>81</v>
      </c>
      <c r="D138" s="172" t="s">
        <v>245</v>
      </c>
      <c r="E138" s="172"/>
      <c r="F138" s="172" t="s">
        <v>221</v>
      </c>
      <c r="G138" s="172">
        <v>1.8039136706014E-4</v>
      </c>
      <c r="H138" s="172">
        <v>53</v>
      </c>
      <c r="I138" s="172">
        <v>15</v>
      </c>
      <c r="J138" s="172">
        <v>11</v>
      </c>
      <c r="K138" s="172">
        <v>38.5</v>
      </c>
    </row>
    <row r="139" spans="2:11" x14ac:dyDescent="0.3">
      <c r="B139" s="172" t="s">
        <v>189</v>
      </c>
      <c r="C139" s="172" t="s">
        <v>82</v>
      </c>
      <c r="D139" s="172" t="s">
        <v>245</v>
      </c>
      <c r="E139" s="172"/>
      <c r="F139" s="172" t="s">
        <v>221</v>
      </c>
      <c r="G139" s="172">
        <v>1.7820398662188401E-4</v>
      </c>
      <c r="H139" s="172">
        <v>53</v>
      </c>
      <c r="I139" s="172">
        <v>15</v>
      </c>
      <c r="J139" s="172">
        <v>11</v>
      </c>
      <c r="K139" s="172">
        <v>38.5</v>
      </c>
    </row>
    <row r="140" spans="2:11" x14ac:dyDescent="0.3">
      <c r="B140" s="172" t="s">
        <v>189</v>
      </c>
      <c r="C140" s="172" t="s">
        <v>246</v>
      </c>
      <c r="D140" s="172" t="s">
        <v>245</v>
      </c>
      <c r="E140" s="172"/>
      <c r="F140" s="172" t="s">
        <v>218</v>
      </c>
      <c r="G140" s="172">
        <v>3.0424373147531098E-4</v>
      </c>
      <c r="H140" s="172">
        <v>50</v>
      </c>
      <c r="I140" s="172">
        <v>19</v>
      </c>
      <c r="J140" s="172">
        <v>11</v>
      </c>
      <c r="K140" s="172">
        <v>38.5</v>
      </c>
    </row>
    <row r="141" spans="2:11" x14ac:dyDescent="0.3">
      <c r="B141" s="172" t="s">
        <v>189</v>
      </c>
      <c r="C141" s="172" t="s">
        <v>246</v>
      </c>
      <c r="D141" s="172" t="s">
        <v>245</v>
      </c>
      <c r="E141" s="172"/>
      <c r="F141" s="172" t="s">
        <v>221</v>
      </c>
      <c r="G141" s="172">
        <v>1.08157484004603E-4</v>
      </c>
      <c r="H141" s="172">
        <v>53</v>
      </c>
      <c r="I141" s="172">
        <v>15</v>
      </c>
      <c r="J141" s="172">
        <v>11</v>
      </c>
      <c r="K141" s="172">
        <v>38.5</v>
      </c>
    </row>
    <row r="142" spans="2:11" x14ac:dyDescent="0.3">
      <c r="B142" s="172" t="s">
        <v>187</v>
      </c>
      <c r="C142" s="172" t="s">
        <v>79</v>
      </c>
      <c r="D142" s="172" t="s">
        <v>245</v>
      </c>
      <c r="E142" s="172"/>
      <c r="F142" s="172" t="s">
        <v>218</v>
      </c>
      <c r="G142" s="172">
        <v>2.9249373518612401E-4</v>
      </c>
      <c r="H142" s="172">
        <v>19</v>
      </c>
      <c r="I142" s="172">
        <v>19.25</v>
      </c>
      <c r="J142" s="172">
        <v>19.25</v>
      </c>
      <c r="K142" s="172">
        <v>35.5</v>
      </c>
    </row>
    <row r="143" spans="2:11" x14ac:dyDescent="0.3">
      <c r="B143" s="172" t="s">
        <v>187</v>
      </c>
      <c r="C143" s="172" t="s">
        <v>80</v>
      </c>
      <c r="D143" s="172" t="s">
        <v>245</v>
      </c>
      <c r="E143" s="172"/>
      <c r="F143" s="172" t="s">
        <v>218</v>
      </c>
      <c r="G143" s="172">
        <v>2.9749006802677798E-4</v>
      </c>
      <c r="H143" s="172">
        <v>25</v>
      </c>
      <c r="I143" s="172">
        <v>19.25</v>
      </c>
      <c r="J143" s="172">
        <v>-0.25</v>
      </c>
      <c r="K143" s="172">
        <v>35.5</v>
      </c>
    </row>
    <row r="144" spans="2:11" x14ac:dyDescent="0.3">
      <c r="B144" s="172" t="s">
        <v>187</v>
      </c>
      <c r="C144" s="172" t="s">
        <v>81</v>
      </c>
      <c r="D144" s="172" t="s">
        <v>245</v>
      </c>
      <c r="E144" s="172"/>
      <c r="F144" s="172" t="s">
        <v>221</v>
      </c>
      <c r="G144" s="172">
        <v>2.7848394243230499E-4</v>
      </c>
      <c r="H144" s="172">
        <v>25</v>
      </c>
      <c r="I144" s="172">
        <v>19.25</v>
      </c>
      <c r="J144" s="172">
        <v>-0.25</v>
      </c>
      <c r="K144" s="172">
        <v>35.5</v>
      </c>
    </row>
    <row r="145" spans="2:11" x14ac:dyDescent="0.3">
      <c r="B145" s="172" t="s">
        <v>187</v>
      </c>
      <c r="C145" s="172" t="s">
        <v>82</v>
      </c>
      <c r="D145" s="172" t="s">
        <v>245</v>
      </c>
      <c r="E145" s="172"/>
      <c r="F145" s="172" t="s">
        <v>221</v>
      </c>
      <c r="G145" s="172">
        <v>3.0719000279818599E-4</v>
      </c>
      <c r="H145" s="172">
        <v>39</v>
      </c>
      <c r="I145" s="172">
        <v>0</v>
      </c>
      <c r="J145" s="172">
        <v>19</v>
      </c>
      <c r="K145" s="172">
        <v>35.5</v>
      </c>
    </row>
    <row r="146" spans="2:11" x14ac:dyDescent="0.3">
      <c r="B146" s="172" t="s">
        <v>187</v>
      </c>
      <c r="C146" s="172" t="s">
        <v>246</v>
      </c>
      <c r="D146" s="172" t="s">
        <v>245</v>
      </c>
      <c r="E146" s="172"/>
      <c r="F146" s="172" t="s">
        <v>218</v>
      </c>
      <c r="G146" s="172">
        <v>1.0080085981711099E-4</v>
      </c>
      <c r="H146" s="172">
        <v>19</v>
      </c>
      <c r="I146" s="172">
        <v>19.25</v>
      </c>
      <c r="J146" s="172">
        <v>19.25</v>
      </c>
      <c r="K146" s="172">
        <v>35.5</v>
      </c>
    </row>
    <row r="147" spans="2:11" x14ac:dyDescent="0.3">
      <c r="B147" s="172" t="s">
        <v>185</v>
      </c>
      <c r="C147" s="172" t="s">
        <v>79</v>
      </c>
      <c r="D147" s="172" t="s">
        <v>245</v>
      </c>
      <c r="E147" s="172"/>
      <c r="F147" s="172" t="s">
        <v>218</v>
      </c>
      <c r="G147" s="172">
        <v>4.50220913511842E-4</v>
      </c>
      <c r="H147" s="172">
        <v>19</v>
      </c>
      <c r="I147" s="172">
        <v>19.25</v>
      </c>
      <c r="J147" s="172">
        <v>19.25</v>
      </c>
      <c r="K147" s="172">
        <v>32</v>
      </c>
    </row>
    <row r="148" spans="2:11" x14ac:dyDescent="0.3">
      <c r="B148" s="172" t="s">
        <v>185</v>
      </c>
      <c r="C148" s="172" t="s">
        <v>80</v>
      </c>
      <c r="D148" s="172" t="s">
        <v>245</v>
      </c>
      <c r="E148" s="172"/>
      <c r="F148" s="172" t="s">
        <v>218</v>
      </c>
      <c r="G148" s="172">
        <v>4.5746820230585999E-4</v>
      </c>
      <c r="H148" s="172">
        <v>25</v>
      </c>
      <c r="I148" s="172">
        <v>19.25</v>
      </c>
      <c r="J148" s="172">
        <v>-0.25</v>
      </c>
      <c r="K148" s="172">
        <v>32</v>
      </c>
    </row>
    <row r="149" spans="2:11" x14ac:dyDescent="0.3">
      <c r="B149" s="172" t="s">
        <v>185</v>
      </c>
      <c r="C149" s="172" t="s">
        <v>81</v>
      </c>
      <c r="D149" s="172" t="s">
        <v>245</v>
      </c>
      <c r="E149" s="172"/>
      <c r="F149" s="172" t="s">
        <v>221</v>
      </c>
      <c r="G149" s="172">
        <v>4.4060552835116398E-4</v>
      </c>
      <c r="H149" s="172">
        <v>19</v>
      </c>
      <c r="I149" s="172">
        <v>19.25</v>
      </c>
      <c r="J149" s="172">
        <v>19.25</v>
      </c>
      <c r="K149" s="172">
        <v>32</v>
      </c>
    </row>
    <row r="150" spans="2:11" x14ac:dyDescent="0.3">
      <c r="B150" s="172" t="s">
        <v>185</v>
      </c>
      <c r="C150" s="172" t="s">
        <v>82</v>
      </c>
      <c r="D150" s="172" t="s">
        <v>245</v>
      </c>
      <c r="E150" s="172"/>
      <c r="F150" s="172" t="s">
        <v>221</v>
      </c>
      <c r="G150" s="172">
        <v>4.99304526518304E-4</v>
      </c>
      <c r="H150" s="172">
        <v>39</v>
      </c>
      <c r="I150" s="172">
        <v>0</v>
      </c>
      <c r="J150" s="172">
        <v>19</v>
      </c>
      <c r="K150" s="172">
        <v>32</v>
      </c>
    </row>
    <row r="151" spans="2:11" x14ac:dyDescent="0.3">
      <c r="B151" s="172" t="s">
        <v>185</v>
      </c>
      <c r="C151" s="172" t="s">
        <v>246</v>
      </c>
      <c r="D151" s="172" t="s">
        <v>245</v>
      </c>
      <c r="E151" s="172"/>
      <c r="F151" s="172" t="s">
        <v>218</v>
      </c>
      <c r="G151" s="172">
        <v>1.0064109165542E-4</v>
      </c>
      <c r="H151" s="172">
        <v>19</v>
      </c>
      <c r="I151" s="172">
        <v>19.25</v>
      </c>
      <c r="J151" s="172">
        <v>19.25</v>
      </c>
      <c r="K151" s="172">
        <v>32</v>
      </c>
    </row>
    <row r="152" spans="2:11" x14ac:dyDescent="0.3">
      <c r="B152" s="172" t="s">
        <v>185</v>
      </c>
      <c r="C152" s="172" t="s">
        <v>246</v>
      </c>
      <c r="D152" s="172" t="s">
        <v>245</v>
      </c>
      <c r="E152" s="172"/>
      <c r="F152" s="172" t="s">
        <v>221</v>
      </c>
      <c r="G152" s="172">
        <v>1.26732230832764E-5</v>
      </c>
      <c r="H152" s="172">
        <v>39</v>
      </c>
      <c r="I152" s="172">
        <v>0</v>
      </c>
      <c r="J152" s="172">
        <v>19</v>
      </c>
      <c r="K152" s="172">
        <v>32</v>
      </c>
    </row>
    <row r="153" spans="2:11" x14ac:dyDescent="0.3">
      <c r="B153" s="172" t="s">
        <v>183</v>
      </c>
      <c r="C153" s="172" t="s">
        <v>79</v>
      </c>
      <c r="D153" s="172" t="s">
        <v>245</v>
      </c>
      <c r="E153" s="172"/>
      <c r="F153" s="172" t="s">
        <v>218</v>
      </c>
      <c r="G153" s="172">
        <v>5.9659885939995305E-4</v>
      </c>
      <c r="H153" s="172">
        <v>19</v>
      </c>
      <c r="I153" s="172">
        <v>19.25</v>
      </c>
      <c r="J153" s="172">
        <v>19.25</v>
      </c>
      <c r="K153" s="172">
        <v>28.5</v>
      </c>
    </row>
    <row r="154" spans="2:11" x14ac:dyDescent="0.3">
      <c r="B154" s="172" t="s">
        <v>183</v>
      </c>
      <c r="C154" s="172" t="s">
        <v>80</v>
      </c>
      <c r="D154" s="172" t="s">
        <v>245</v>
      </c>
      <c r="E154" s="172"/>
      <c r="F154" s="172" t="s">
        <v>218</v>
      </c>
      <c r="G154" s="172">
        <v>6.0672140560491701E-4</v>
      </c>
      <c r="H154" s="172">
        <v>25</v>
      </c>
      <c r="I154" s="172">
        <v>19.25</v>
      </c>
      <c r="J154" s="172">
        <v>-0.25</v>
      </c>
      <c r="K154" s="172">
        <v>28.5</v>
      </c>
    </row>
    <row r="155" spans="2:11" x14ac:dyDescent="0.3">
      <c r="B155" s="172" t="s">
        <v>183</v>
      </c>
      <c r="C155" s="172" t="s">
        <v>81</v>
      </c>
      <c r="D155" s="172" t="s">
        <v>245</v>
      </c>
      <c r="E155" s="172"/>
      <c r="F155" s="172" t="s">
        <v>221</v>
      </c>
      <c r="G155" s="172">
        <v>5.9170066315128499E-4</v>
      </c>
      <c r="H155" s="172">
        <v>19</v>
      </c>
      <c r="I155" s="172">
        <v>19.25</v>
      </c>
      <c r="J155" s="172">
        <v>19.25</v>
      </c>
      <c r="K155" s="172">
        <v>28.5</v>
      </c>
    </row>
    <row r="156" spans="2:11" x14ac:dyDescent="0.3">
      <c r="B156" s="172" t="s">
        <v>183</v>
      </c>
      <c r="C156" s="172" t="s">
        <v>82</v>
      </c>
      <c r="D156" s="172" t="s">
        <v>245</v>
      </c>
      <c r="E156" s="172"/>
      <c r="F156" s="172" t="s">
        <v>221</v>
      </c>
      <c r="G156" s="172">
        <v>6.8201586770882201E-4</v>
      </c>
      <c r="H156" s="172">
        <v>39</v>
      </c>
      <c r="I156" s="172">
        <v>0</v>
      </c>
      <c r="J156" s="172">
        <v>19</v>
      </c>
      <c r="K156" s="172">
        <v>28.5</v>
      </c>
    </row>
    <row r="157" spans="2:11" x14ac:dyDescent="0.3">
      <c r="B157" s="172" t="s">
        <v>183</v>
      </c>
      <c r="C157" s="172" t="s">
        <v>246</v>
      </c>
      <c r="D157" s="172" t="s">
        <v>245</v>
      </c>
      <c r="E157" s="172"/>
      <c r="F157" s="172" t="s">
        <v>218</v>
      </c>
      <c r="G157" s="172">
        <v>9.6726906041801002E-5</v>
      </c>
      <c r="H157" s="172">
        <v>19</v>
      </c>
      <c r="I157" s="172">
        <v>19.25</v>
      </c>
      <c r="J157" s="172">
        <v>19.25</v>
      </c>
      <c r="K157" s="172">
        <v>28.5</v>
      </c>
    </row>
    <row r="158" spans="2:11" x14ac:dyDescent="0.3">
      <c r="B158" s="172" t="s">
        <v>183</v>
      </c>
      <c r="C158" s="172" t="s">
        <v>246</v>
      </c>
      <c r="D158" s="172" t="s">
        <v>245</v>
      </c>
      <c r="E158" s="172"/>
      <c r="F158" s="172" t="s">
        <v>221</v>
      </c>
      <c r="G158" s="172">
        <v>1.2079490888884301E-5</v>
      </c>
      <c r="H158" s="172">
        <v>39</v>
      </c>
      <c r="I158" s="172">
        <v>0</v>
      </c>
      <c r="J158" s="172">
        <v>19</v>
      </c>
      <c r="K158" s="172">
        <v>28.5</v>
      </c>
    </row>
    <row r="159" spans="2:11" x14ac:dyDescent="0.3">
      <c r="B159" s="172" t="s">
        <v>181</v>
      </c>
      <c r="C159" s="172" t="s">
        <v>79</v>
      </c>
      <c r="D159" s="172" t="s">
        <v>245</v>
      </c>
      <c r="E159" s="172"/>
      <c r="F159" s="172" t="s">
        <v>218</v>
      </c>
      <c r="G159" s="172">
        <v>7.2102989005886503E-4</v>
      </c>
      <c r="H159" s="172">
        <v>19</v>
      </c>
      <c r="I159" s="172">
        <v>19.25</v>
      </c>
      <c r="J159" s="172">
        <v>19.25</v>
      </c>
      <c r="K159" s="172">
        <v>25</v>
      </c>
    </row>
    <row r="160" spans="2:11" x14ac:dyDescent="0.3">
      <c r="B160" s="172" t="s">
        <v>181</v>
      </c>
      <c r="C160" s="172" t="s">
        <v>80</v>
      </c>
      <c r="D160" s="172" t="s">
        <v>245</v>
      </c>
      <c r="E160" s="172"/>
      <c r="F160" s="172" t="s">
        <v>218</v>
      </c>
      <c r="G160" s="172">
        <v>7.3371941011475897E-4</v>
      </c>
      <c r="H160" s="172">
        <v>25</v>
      </c>
      <c r="I160" s="172">
        <v>19.25</v>
      </c>
      <c r="J160" s="172">
        <v>-0.25</v>
      </c>
      <c r="K160" s="172">
        <v>25</v>
      </c>
    </row>
    <row r="161" spans="2:11" x14ac:dyDescent="0.3">
      <c r="B161" s="172" t="s">
        <v>181</v>
      </c>
      <c r="C161" s="172" t="s">
        <v>81</v>
      </c>
      <c r="D161" s="172" t="s">
        <v>245</v>
      </c>
      <c r="E161" s="172"/>
      <c r="F161" s="172" t="s">
        <v>221</v>
      </c>
      <c r="G161" s="172">
        <v>7.2098380872792395E-4</v>
      </c>
      <c r="H161" s="172">
        <v>25</v>
      </c>
      <c r="I161" s="172">
        <v>19.25</v>
      </c>
      <c r="J161" s="172">
        <v>-0.25</v>
      </c>
      <c r="K161" s="172">
        <v>25</v>
      </c>
    </row>
    <row r="162" spans="2:11" x14ac:dyDescent="0.3">
      <c r="B162" s="172" t="s">
        <v>181</v>
      </c>
      <c r="C162" s="172" t="s">
        <v>82</v>
      </c>
      <c r="D162" s="172" t="s">
        <v>245</v>
      </c>
      <c r="E162" s="172"/>
      <c r="F162" s="172" t="s">
        <v>221</v>
      </c>
      <c r="G162" s="172">
        <v>8.38834162047983E-4</v>
      </c>
      <c r="H162" s="172">
        <v>39</v>
      </c>
      <c r="I162" s="172">
        <v>0</v>
      </c>
      <c r="J162" s="172">
        <v>19</v>
      </c>
      <c r="K162" s="172">
        <v>25</v>
      </c>
    </row>
    <row r="163" spans="2:11" x14ac:dyDescent="0.3">
      <c r="B163" s="172" t="s">
        <v>181</v>
      </c>
      <c r="C163" s="172" t="s">
        <v>246</v>
      </c>
      <c r="D163" s="172" t="s">
        <v>245</v>
      </c>
      <c r="E163" s="172"/>
      <c r="F163" s="172" t="s">
        <v>218</v>
      </c>
      <c r="G163" s="172">
        <v>9.0864814143396406E-5</v>
      </c>
      <c r="H163" s="172">
        <v>19</v>
      </c>
      <c r="I163" s="172">
        <v>19.25</v>
      </c>
      <c r="J163" s="172">
        <v>19.25</v>
      </c>
      <c r="K163" s="172">
        <v>25</v>
      </c>
    </row>
    <row r="164" spans="2:11" x14ac:dyDescent="0.3">
      <c r="B164" s="172" t="s">
        <v>179</v>
      </c>
      <c r="C164" s="172" t="s">
        <v>79</v>
      </c>
      <c r="D164" s="172" t="s">
        <v>245</v>
      </c>
      <c r="E164" s="172"/>
      <c r="F164" s="172" t="s">
        <v>218</v>
      </c>
      <c r="G164" s="172">
        <v>8.2546314858286305E-4</v>
      </c>
      <c r="H164" s="172">
        <v>19</v>
      </c>
      <c r="I164" s="172">
        <v>19.25</v>
      </c>
      <c r="J164" s="172">
        <v>19.25</v>
      </c>
      <c r="K164" s="172">
        <v>21.5</v>
      </c>
    </row>
    <row r="165" spans="2:11" x14ac:dyDescent="0.3">
      <c r="B165" s="172" t="s">
        <v>179</v>
      </c>
      <c r="C165" s="172" t="s">
        <v>80</v>
      </c>
      <c r="D165" s="172" t="s">
        <v>245</v>
      </c>
      <c r="E165" s="172"/>
      <c r="F165" s="172" t="s">
        <v>218</v>
      </c>
      <c r="G165" s="172">
        <v>8.4050606679451001E-4</v>
      </c>
      <c r="H165" s="172">
        <v>25</v>
      </c>
      <c r="I165" s="172">
        <v>19.25</v>
      </c>
      <c r="J165" s="172">
        <v>-0.25</v>
      </c>
      <c r="K165" s="172">
        <v>21.5</v>
      </c>
    </row>
    <row r="166" spans="2:11" x14ac:dyDescent="0.3">
      <c r="B166" s="172" t="s">
        <v>179</v>
      </c>
      <c r="C166" s="172" t="s">
        <v>81</v>
      </c>
      <c r="D166" s="172" t="s">
        <v>245</v>
      </c>
      <c r="E166" s="172"/>
      <c r="F166" s="172" t="s">
        <v>221</v>
      </c>
      <c r="G166" s="172">
        <v>8.3028830634016297E-4</v>
      </c>
      <c r="H166" s="172">
        <v>19</v>
      </c>
      <c r="I166" s="172">
        <v>19.25</v>
      </c>
      <c r="J166" s="172">
        <v>19.25</v>
      </c>
      <c r="K166" s="172">
        <v>21.5</v>
      </c>
    </row>
    <row r="167" spans="2:11" x14ac:dyDescent="0.3">
      <c r="B167" s="172" t="s">
        <v>179</v>
      </c>
      <c r="C167" s="172" t="s">
        <v>82</v>
      </c>
      <c r="D167" s="172" t="s">
        <v>245</v>
      </c>
      <c r="E167" s="172"/>
      <c r="F167" s="172" t="s">
        <v>221</v>
      </c>
      <c r="G167" s="172">
        <v>9.7190837204621096E-4</v>
      </c>
      <c r="H167" s="172">
        <v>39</v>
      </c>
      <c r="I167" s="172">
        <v>0</v>
      </c>
      <c r="J167" s="172">
        <v>19</v>
      </c>
      <c r="K167" s="172">
        <v>21.5</v>
      </c>
    </row>
    <row r="168" spans="2:11" x14ac:dyDescent="0.3">
      <c r="B168" s="172" t="s">
        <v>179</v>
      </c>
      <c r="C168" s="172" t="s">
        <v>246</v>
      </c>
      <c r="D168" s="172" t="s">
        <v>245</v>
      </c>
      <c r="E168" s="172"/>
      <c r="F168" s="172" t="s">
        <v>218</v>
      </c>
      <c r="G168" s="172">
        <v>8.3070305346714794E-5</v>
      </c>
      <c r="H168" s="172">
        <v>19</v>
      </c>
      <c r="I168" s="172">
        <v>19.25</v>
      </c>
      <c r="J168" s="172">
        <v>19.25</v>
      </c>
      <c r="K168" s="172">
        <v>21.5</v>
      </c>
    </row>
    <row r="169" spans="2:11" x14ac:dyDescent="0.3">
      <c r="B169" s="172" t="s">
        <v>39</v>
      </c>
      <c r="C169" s="172" t="s">
        <v>79</v>
      </c>
      <c r="D169" s="172" t="s">
        <v>245</v>
      </c>
      <c r="E169" s="172"/>
      <c r="F169" s="172" t="s">
        <v>218</v>
      </c>
      <c r="G169" s="172">
        <v>9.1211469841823904E-4</v>
      </c>
      <c r="H169" s="172">
        <v>19</v>
      </c>
      <c r="I169" s="172">
        <v>19.25</v>
      </c>
      <c r="J169" s="172">
        <v>19.25</v>
      </c>
      <c r="K169" s="172">
        <v>18</v>
      </c>
    </row>
    <row r="170" spans="2:11" x14ac:dyDescent="0.3">
      <c r="B170" s="172" t="s">
        <v>39</v>
      </c>
      <c r="C170" s="172" t="s">
        <v>80</v>
      </c>
      <c r="D170" s="172" t="s">
        <v>245</v>
      </c>
      <c r="E170" s="172"/>
      <c r="F170" s="172" t="s">
        <v>218</v>
      </c>
      <c r="G170" s="172">
        <v>9.29404638735564E-4</v>
      </c>
      <c r="H170" s="172">
        <v>25</v>
      </c>
      <c r="I170" s="172">
        <v>19.25</v>
      </c>
      <c r="J170" s="172">
        <v>-0.25</v>
      </c>
      <c r="K170" s="172">
        <v>18</v>
      </c>
    </row>
    <row r="171" spans="2:11" x14ac:dyDescent="0.3">
      <c r="B171" s="172" t="s">
        <v>39</v>
      </c>
      <c r="C171" s="172" t="s">
        <v>81</v>
      </c>
      <c r="D171" s="172" t="s">
        <v>245</v>
      </c>
      <c r="E171" s="172"/>
      <c r="F171" s="172" t="s">
        <v>221</v>
      </c>
      <c r="G171" s="172">
        <v>9.2208196844199202E-4</v>
      </c>
      <c r="H171" s="172">
        <v>19</v>
      </c>
      <c r="I171" s="172">
        <v>19.25</v>
      </c>
      <c r="J171" s="172">
        <v>19.25</v>
      </c>
      <c r="K171" s="172">
        <v>18</v>
      </c>
    </row>
    <row r="172" spans="2:11" x14ac:dyDescent="0.3">
      <c r="B172" s="172" t="s">
        <v>39</v>
      </c>
      <c r="C172" s="172" t="s">
        <v>82</v>
      </c>
      <c r="D172" s="172" t="s">
        <v>245</v>
      </c>
      <c r="E172" s="172"/>
      <c r="F172" s="172" t="s">
        <v>221</v>
      </c>
      <c r="G172" s="172">
        <v>1.08455544622362E-3</v>
      </c>
      <c r="H172" s="172">
        <v>39</v>
      </c>
      <c r="I172" s="172">
        <v>0</v>
      </c>
      <c r="J172" s="172">
        <v>19</v>
      </c>
      <c r="K172" s="172">
        <v>18</v>
      </c>
    </row>
    <row r="173" spans="2:11" x14ac:dyDescent="0.3">
      <c r="B173" s="172" t="s">
        <v>39</v>
      </c>
      <c r="C173" s="172" t="s">
        <v>246</v>
      </c>
      <c r="D173" s="172" t="s">
        <v>245</v>
      </c>
      <c r="E173" s="172"/>
      <c r="F173" s="172" t="s">
        <v>218</v>
      </c>
      <c r="G173" s="172">
        <v>7.3338255600570096E-5</v>
      </c>
      <c r="H173" s="172">
        <v>19</v>
      </c>
      <c r="I173" s="172">
        <v>19.25</v>
      </c>
      <c r="J173" s="172">
        <v>19.25</v>
      </c>
      <c r="K173" s="172">
        <v>18</v>
      </c>
    </row>
    <row r="174" spans="2:11" x14ac:dyDescent="0.3">
      <c r="B174" s="172" t="s">
        <v>26</v>
      </c>
      <c r="C174" s="172" t="s">
        <v>79</v>
      </c>
      <c r="D174" s="172" t="s">
        <v>245</v>
      </c>
      <c r="E174" s="172"/>
      <c r="F174" s="172" t="s">
        <v>218</v>
      </c>
      <c r="G174" s="172">
        <v>9.8146074069906499E-4</v>
      </c>
      <c r="H174" s="172">
        <v>19</v>
      </c>
      <c r="I174" s="172">
        <v>19.25</v>
      </c>
      <c r="J174" s="172">
        <v>19.25</v>
      </c>
      <c r="K174" s="172">
        <v>14.5</v>
      </c>
    </row>
    <row r="175" spans="2:11" x14ac:dyDescent="0.3">
      <c r="B175" s="172" t="s">
        <v>26</v>
      </c>
      <c r="C175" s="172" t="s">
        <v>80</v>
      </c>
      <c r="D175" s="172" t="s">
        <v>245</v>
      </c>
      <c r="E175" s="172"/>
      <c r="F175" s="172" t="s">
        <v>218</v>
      </c>
      <c r="G175" s="172">
        <v>1.00097226097355E-3</v>
      </c>
      <c r="H175" s="172">
        <v>25</v>
      </c>
      <c r="I175" s="172">
        <v>19.25</v>
      </c>
      <c r="J175" s="172">
        <v>-0.25</v>
      </c>
      <c r="K175" s="172">
        <v>14.5</v>
      </c>
    </row>
    <row r="176" spans="2:11" x14ac:dyDescent="0.3">
      <c r="B176" s="172" t="s">
        <v>26</v>
      </c>
      <c r="C176" s="172" t="s">
        <v>81</v>
      </c>
      <c r="D176" s="172" t="s">
        <v>245</v>
      </c>
      <c r="E176" s="172"/>
      <c r="F176" s="172" t="s">
        <v>221</v>
      </c>
      <c r="G176" s="172">
        <v>9.967968602203111E-4</v>
      </c>
      <c r="H176" s="172">
        <v>19</v>
      </c>
      <c r="I176" s="172">
        <v>19.25</v>
      </c>
      <c r="J176" s="172">
        <v>19.25</v>
      </c>
      <c r="K176" s="172">
        <v>14.5</v>
      </c>
    </row>
    <row r="177" spans="2:11" x14ac:dyDescent="0.3">
      <c r="B177" s="172" t="s">
        <v>26</v>
      </c>
      <c r="C177" s="172" t="s">
        <v>82</v>
      </c>
      <c r="D177" s="172" t="s">
        <v>245</v>
      </c>
      <c r="E177" s="172"/>
      <c r="F177" s="172" t="s">
        <v>221</v>
      </c>
      <c r="G177" s="172">
        <v>1.1775819517642499E-3</v>
      </c>
      <c r="H177" s="172">
        <v>39</v>
      </c>
      <c r="I177" s="172">
        <v>0</v>
      </c>
      <c r="J177" s="172">
        <v>19</v>
      </c>
      <c r="K177" s="172">
        <v>14.5</v>
      </c>
    </row>
    <row r="178" spans="2:11" x14ac:dyDescent="0.3">
      <c r="B178" s="172" t="s">
        <v>26</v>
      </c>
      <c r="C178" s="172" t="s">
        <v>246</v>
      </c>
      <c r="D178" s="172" t="s">
        <v>245</v>
      </c>
      <c r="E178" s="172"/>
      <c r="F178" s="172" t="s">
        <v>218</v>
      </c>
      <c r="G178" s="172">
        <v>6.1542094671761493E-5</v>
      </c>
      <c r="H178" s="172">
        <v>19</v>
      </c>
      <c r="I178" s="172">
        <v>19.25</v>
      </c>
      <c r="J178" s="172">
        <v>19.25</v>
      </c>
      <c r="K178" s="172">
        <v>14.5</v>
      </c>
    </row>
    <row r="179" spans="2:11" x14ac:dyDescent="0.3">
      <c r="B179" s="172" t="s">
        <v>25</v>
      </c>
      <c r="C179" s="172" t="s">
        <v>79</v>
      </c>
      <c r="D179" s="172" t="s">
        <v>245</v>
      </c>
      <c r="E179" s="172"/>
      <c r="F179" s="172" t="s">
        <v>218</v>
      </c>
      <c r="G179" s="172">
        <v>1.0297957320403799E-3</v>
      </c>
      <c r="H179" s="172">
        <v>19</v>
      </c>
      <c r="I179" s="172">
        <v>19.25</v>
      </c>
      <c r="J179" s="172">
        <v>19.25</v>
      </c>
      <c r="K179" s="172">
        <v>11</v>
      </c>
    </row>
    <row r="180" spans="2:11" x14ac:dyDescent="0.3">
      <c r="B180" s="172" t="s">
        <v>25</v>
      </c>
      <c r="C180" s="172" t="s">
        <v>80</v>
      </c>
      <c r="D180" s="172" t="s">
        <v>245</v>
      </c>
      <c r="E180" s="172"/>
      <c r="F180" s="172" t="s">
        <v>218</v>
      </c>
      <c r="G180" s="172">
        <v>1.0514716367962E-3</v>
      </c>
      <c r="H180" s="172">
        <v>25</v>
      </c>
      <c r="I180" s="172">
        <v>19.25</v>
      </c>
      <c r="J180" s="172">
        <v>-0.25</v>
      </c>
      <c r="K180" s="172">
        <v>11</v>
      </c>
    </row>
    <row r="181" spans="2:11" x14ac:dyDescent="0.3">
      <c r="B181" s="172" t="s">
        <v>25</v>
      </c>
      <c r="C181" s="172" t="s">
        <v>81</v>
      </c>
      <c r="D181" s="172" t="s">
        <v>245</v>
      </c>
      <c r="E181" s="172"/>
      <c r="F181" s="172" t="s">
        <v>221</v>
      </c>
      <c r="G181" s="172">
        <v>1.0497736291159401E-3</v>
      </c>
      <c r="H181" s="172">
        <v>25</v>
      </c>
      <c r="I181" s="172">
        <v>19.25</v>
      </c>
      <c r="J181" s="172">
        <v>-0.25</v>
      </c>
      <c r="K181" s="172">
        <v>11</v>
      </c>
    </row>
    <row r="182" spans="2:11" x14ac:dyDescent="0.3">
      <c r="B182" s="172" t="s">
        <v>25</v>
      </c>
      <c r="C182" s="172" t="s">
        <v>82</v>
      </c>
      <c r="D182" s="172" t="s">
        <v>245</v>
      </c>
      <c r="E182" s="172"/>
      <c r="F182" s="172" t="s">
        <v>221</v>
      </c>
      <c r="G182" s="172">
        <v>1.24442624143933E-3</v>
      </c>
      <c r="H182" s="172">
        <v>39</v>
      </c>
      <c r="I182" s="172">
        <v>0</v>
      </c>
      <c r="J182" s="172">
        <v>19</v>
      </c>
      <c r="K182" s="172">
        <v>11</v>
      </c>
    </row>
    <row r="183" spans="2:11" x14ac:dyDescent="0.3">
      <c r="B183" s="172" t="s">
        <v>25</v>
      </c>
      <c r="C183" s="172" t="s">
        <v>246</v>
      </c>
      <c r="D183" s="172" t="s">
        <v>245</v>
      </c>
      <c r="E183" s="172"/>
      <c r="F183" s="172" t="s">
        <v>218</v>
      </c>
      <c r="G183" s="172">
        <v>4.7646602924201902E-5</v>
      </c>
      <c r="H183" s="172">
        <v>19</v>
      </c>
      <c r="I183" s="172">
        <v>19.25</v>
      </c>
      <c r="J183" s="172">
        <v>19.25</v>
      </c>
      <c r="K183" s="172">
        <v>11</v>
      </c>
    </row>
    <row r="184" spans="2:11" x14ac:dyDescent="0.3">
      <c r="B184" s="172" t="s">
        <v>24</v>
      </c>
      <c r="C184" s="172" t="s">
        <v>79</v>
      </c>
      <c r="D184" s="172" t="s">
        <v>245</v>
      </c>
      <c r="E184" s="172"/>
      <c r="F184" s="172" t="s">
        <v>218</v>
      </c>
      <c r="G184" s="172">
        <v>1.0388753774048601E-3</v>
      </c>
      <c r="H184" s="172">
        <v>19</v>
      </c>
      <c r="I184" s="172">
        <v>19.25</v>
      </c>
      <c r="J184" s="172">
        <v>19.25</v>
      </c>
      <c r="K184" s="172">
        <v>7.5</v>
      </c>
    </row>
    <row r="185" spans="2:11" x14ac:dyDescent="0.3">
      <c r="B185" s="172" t="s">
        <v>24</v>
      </c>
      <c r="C185" s="172" t="s">
        <v>80</v>
      </c>
      <c r="D185" s="172" t="s">
        <v>245</v>
      </c>
      <c r="E185" s="172"/>
      <c r="F185" s="172" t="s">
        <v>218</v>
      </c>
      <c r="G185" s="172">
        <v>1.06223922740746E-3</v>
      </c>
      <c r="H185" s="172">
        <v>25</v>
      </c>
      <c r="I185" s="172">
        <v>19.25</v>
      </c>
      <c r="J185" s="172">
        <v>-0.25</v>
      </c>
      <c r="K185" s="172">
        <v>7.5</v>
      </c>
    </row>
    <row r="186" spans="2:11" x14ac:dyDescent="0.3">
      <c r="B186" s="172" t="s">
        <v>24</v>
      </c>
      <c r="C186" s="172" t="s">
        <v>81</v>
      </c>
      <c r="D186" s="172" t="s">
        <v>245</v>
      </c>
      <c r="E186" s="172"/>
      <c r="F186" s="172" t="s">
        <v>221</v>
      </c>
      <c r="G186" s="172">
        <v>1.0611000306639999E-3</v>
      </c>
      <c r="H186" s="172">
        <v>19</v>
      </c>
      <c r="I186" s="172">
        <v>19.25</v>
      </c>
      <c r="J186" s="172">
        <v>19.25</v>
      </c>
      <c r="K186" s="172">
        <v>7.5</v>
      </c>
    </row>
    <row r="187" spans="2:11" x14ac:dyDescent="0.3">
      <c r="B187" s="172" t="s">
        <v>24</v>
      </c>
      <c r="C187" s="172" t="s">
        <v>82</v>
      </c>
      <c r="D187" s="172" t="s">
        <v>245</v>
      </c>
      <c r="E187" s="172"/>
      <c r="F187" s="172" t="s">
        <v>221</v>
      </c>
      <c r="G187" s="172">
        <v>1.25140490763062E-3</v>
      </c>
      <c r="H187" s="172">
        <v>39</v>
      </c>
      <c r="I187" s="172">
        <v>0</v>
      </c>
      <c r="J187" s="172">
        <v>19</v>
      </c>
      <c r="K187" s="172">
        <v>7.5</v>
      </c>
    </row>
    <row r="188" spans="2:11" x14ac:dyDescent="0.3">
      <c r="B188" s="172" t="s">
        <v>24</v>
      </c>
      <c r="C188" s="172" t="s">
        <v>246</v>
      </c>
      <c r="D188" s="172" t="s">
        <v>245</v>
      </c>
      <c r="E188" s="172"/>
      <c r="F188" s="172" t="s">
        <v>218</v>
      </c>
      <c r="G188" s="172">
        <v>3.0051247783483999E-5</v>
      </c>
      <c r="H188" s="172">
        <v>19</v>
      </c>
      <c r="I188" s="172">
        <v>19.25</v>
      </c>
      <c r="J188" s="172">
        <v>19.25</v>
      </c>
      <c r="K188" s="172">
        <v>7.5</v>
      </c>
    </row>
    <row r="189" spans="2:11" x14ac:dyDescent="0.3">
      <c r="B189" s="172" t="s">
        <v>22</v>
      </c>
      <c r="C189" s="172" t="s">
        <v>79</v>
      </c>
      <c r="D189" s="172" t="s">
        <v>245</v>
      </c>
      <c r="E189" s="172"/>
      <c r="F189" s="172" t="s">
        <v>218</v>
      </c>
      <c r="G189" s="172">
        <v>7.8320825249177301E-4</v>
      </c>
      <c r="H189" s="172">
        <v>14</v>
      </c>
      <c r="I189" s="172">
        <v>19</v>
      </c>
      <c r="J189" s="172">
        <v>19</v>
      </c>
      <c r="K189" s="172">
        <v>4</v>
      </c>
    </row>
    <row r="190" spans="2:11" x14ac:dyDescent="0.3">
      <c r="B190" s="172" t="s">
        <v>22</v>
      </c>
      <c r="C190" s="172" t="s">
        <v>80</v>
      </c>
      <c r="D190" s="172" t="s">
        <v>245</v>
      </c>
      <c r="E190" s="172"/>
      <c r="F190" s="172" t="s">
        <v>218</v>
      </c>
      <c r="G190" s="172">
        <v>8.0218836095594201E-4</v>
      </c>
      <c r="H190" s="172">
        <v>48</v>
      </c>
      <c r="I190" s="172">
        <v>19</v>
      </c>
      <c r="J190" s="172">
        <v>0</v>
      </c>
      <c r="K190" s="172">
        <v>4</v>
      </c>
    </row>
    <row r="191" spans="2:11" x14ac:dyDescent="0.3">
      <c r="B191" s="172" t="s">
        <v>22</v>
      </c>
      <c r="C191" s="172" t="s">
        <v>81</v>
      </c>
      <c r="D191" s="172" t="s">
        <v>245</v>
      </c>
      <c r="E191" s="172"/>
      <c r="F191" s="172" t="s">
        <v>221</v>
      </c>
      <c r="G191" s="172">
        <v>7.9635278018844798E-4</v>
      </c>
      <c r="H191" s="172">
        <v>50</v>
      </c>
      <c r="I191" s="172">
        <v>19</v>
      </c>
      <c r="J191" s="172">
        <v>11</v>
      </c>
      <c r="K191" s="172">
        <v>4</v>
      </c>
    </row>
    <row r="192" spans="2:11" x14ac:dyDescent="0.3">
      <c r="B192" s="172" t="s">
        <v>22</v>
      </c>
      <c r="C192" s="172" t="s">
        <v>82</v>
      </c>
      <c r="D192" s="172" t="s">
        <v>245</v>
      </c>
      <c r="E192" s="172"/>
      <c r="F192" s="172" t="s">
        <v>221</v>
      </c>
      <c r="G192" s="172">
        <v>8.9301018248103795E-4</v>
      </c>
      <c r="H192" s="172">
        <v>39</v>
      </c>
      <c r="I192" s="172">
        <v>0</v>
      </c>
      <c r="J192" s="172">
        <v>19</v>
      </c>
      <c r="K192" s="172">
        <v>4</v>
      </c>
    </row>
    <row r="193" spans="2:11" x14ac:dyDescent="0.3">
      <c r="B193" s="172" t="s">
        <v>22</v>
      </c>
      <c r="C193" s="172" t="s">
        <v>246</v>
      </c>
      <c r="D193" s="172" t="s">
        <v>245</v>
      </c>
      <c r="E193" s="172"/>
      <c r="F193" s="172" t="s">
        <v>218</v>
      </c>
      <c r="G193" s="172">
        <v>1.01302772694606E-5</v>
      </c>
      <c r="H193" s="172">
        <v>14</v>
      </c>
      <c r="I193" s="172">
        <v>19</v>
      </c>
      <c r="J193" s="172">
        <v>19</v>
      </c>
      <c r="K193" s="172">
        <v>4</v>
      </c>
    </row>
    <row r="194" spans="2:11" x14ac:dyDescent="0.3">
      <c r="B194" s="172" t="s">
        <v>22</v>
      </c>
      <c r="C194" s="172" t="s">
        <v>246</v>
      </c>
      <c r="D194" s="172" t="s">
        <v>245</v>
      </c>
      <c r="E194" s="172"/>
      <c r="F194" s="172" t="s">
        <v>221</v>
      </c>
      <c r="G194" s="172">
        <v>3.29321724056906E-6</v>
      </c>
      <c r="H194" s="172">
        <v>48</v>
      </c>
      <c r="I194" s="172">
        <v>19</v>
      </c>
      <c r="J194" s="172">
        <v>0</v>
      </c>
      <c r="K194" s="172">
        <v>4</v>
      </c>
    </row>
    <row r="195" spans="2:11" x14ac:dyDescent="0.3">
      <c r="B195" s="172"/>
      <c r="C195" s="172"/>
      <c r="D195" s="172"/>
      <c r="E195" s="172"/>
      <c r="F195" s="172"/>
      <c r="G195" s="172"/>
      <c r="H195" s="172"/>
      <c r="I195" s="172"/>
      <c r="J195" s="172"/>
      <c r="K195" s="172"/>
    </row>
    <row r="196" spans="2:11" x14ac:dyDescent="0.3">
      <c r="B196" s="172"/>
      <c r="C196" s="172"/>
      <c r="D196" s="172"/>
      <c r="E196" s="172"/>
      <c r="F196" s="172"/>
      <c r="G196" s="172"/>
      <c r="H196" s="172"/>
      <c r="I196" s="172"/>
      <c r="J196" s="172"/>
      <c r="K196" s="172"/>
    </row>
    <row r="197" spans="2:11" x14ac:dyDescent="0.3">
      <c r="B197" s="172"/>
      <c r="C197" s="172"/>
      <c r="D197" s="172"/>
      <c r="E197" s="172"/>
      <c r="F197" s="172"/>
      <c r="G197" s="172"/>
      <c r="H197" s="172"/>
      <c r="I197" s="172"/>
      <c r="J197" s="172"/>
      <c r="K197" s="172"/>
    </row>
    <row r="198" spans="2:11" x14ac:dyDescent="0.3">
      <c r="B198" s="172"/>
      <c r="C198" s="172"/>
      <c r="D198" s="172"/>
      <c r="E198" s="172"/>
      <c r="F198" s="172"/>
      <c r="G198" s="172"/>
      <c r="H198" s="172"/>
      <c r="I198" s="172"/>
      <c r="J198" s="172"/>
      <c r="K198" s="172"/>
    </row>
    <row r="199" spans="2:11" x14ac:dyDescent="0.3">
      <c r="B199" s="172"/>
      <c r="C199" s="172"/>
      <c r="D199" s="172"/>
      <c r="E199" s="172"/>
      <c r="F199" s="172"/>
      <c r="G199" s="172"/>
      <c r="H199" s="172"/>
      <c r="I199" s="172"/>
      <c r="J199" s="172"/>
      <c r="K199" s="172"/>
    </row>
    <row r="200" spans="2:11" x14ac:dyDescent="0.3">
      <c r="B200" s="172"/>
      <c r="C200" s="172"/>
      <c r="D200" s="172"/>
      <c r="E200" s="172"/>
      <c r="F200" s="172"/>
      <c r="G200" s="172"/>
      <c r="H200" s="172"/>
      <c r="I200" s="172"/>
      <c r="J200" s="172"/>
      <c r="K200" s="172"/>
    </row>
    <row r="201" spans="2:11" x14ac:dyDescent="0.3">
      <c r="B201" s="172"/>
      <c r="C201" s="172"/>
      <c r="D201" s="172"/>
      <c r="E201" s="172"/>
      <c r="F201" s="172"/>
      <c r="G201" s="172"/>
      <c r="H201" s="172"/>
      <c r="I201" s="172"/>
      <c r="J201" s="172"/>
      <c r="K201" s="172"/>
    </row>
    <row r="202" spans="2:11" x14ac:dyDescent="0.3">
      <c r="B202" s="172"/>
      <c r="C202" s="172"/>
      <c r="D202" s="172"/>
      <c r="E202" s="172"/>
      <c r="F202" s="172"/>
      <c r="G202" s="172"/>
      <c r="H202" s="172"/>
      <c r="I202" s="172"/>
      <c r="J202" s="172"/>
      <c r="K202" s="172"/>
    </row>
    <row r="203" spans="2:11" x14ac:dyDescent="0.3">
      <c r="B203" s="172"/>
      <c r="C203" s="172"/>
      <c r="D203" s="172"/>
      <c r="E203" s="172"/>
      <c r="F203" s="172"/>
      <c r="G203" s="172"/>
      <c r="H203" s="172"/>
      <c r="I203" s="172"/>
      <c r="J203" s="172"/>
      <c r="K203" s="172"/>
    </row>
    <row r="204" spans="2:11" x14ac:dyDescent="0.3">
      <c r="B204" s="172"/>
      <c r="C204" s="172"/>
      <c r="D204" s="172"/>
      <c r="E204" s="172"/>
      <c r="F204" s="172"/>
      <c r="G204" s="172"/>
      <c r="H204" s="172"/>
      <c r="I204" s="172"/>
      <c r="J204" s="172"/>
      <c r="K204" s="172"/>
    </row>
    <row r="205" spans="2:11" x14ac:dyDescent="0.3">
      <c r="B205" s="172"/>
      <c r="C205" s="172"/>
      <c r="D205" s="172"/>
      <c r="E205" s="172"/>
      <c r="F205" s="172"/>
      <c r="G205" s="172"/>
      <c r="H205" s="172"/>
      <c r="I205" s="172"/>
      <c r="J205" s="172"/>
      <c r="K205" s="172"/>
    </row>
    <row r="206" spans="2:11" x14ac:dyDescent="0.3">
      <c r="B206" s="172"/>
      <c r="C206" s="172"/>
      <c r="D206" s="172"/>
      <c r="E206" s="172"/>
      <c r="F206" s="172"/>
      <c r="G206" s="172"/>
      <c r="H206" s="172"/>
      <c r="I206" s="172"/>
      <c r="J206" s="172"/>
      <c r="K206" s="172"/>
    </row>
    <row r="207" spans="2:11" x14ac:dyDescent="0.3">
      <c r="B207" s="172"/>
      <c r="C207" s="172"/>
      <c r="D207" s="172"/>
      <c r="E207" s="172"/>
      <c r="F207" s="172"/>
      <c r="G207" s="172"/>
      <c r="H207" s="172"/>
      <c r="I207" s="172"/>
      <c r="J207" s="172"/>
      <c r="K207" s="172"/>
    </row>
    <row r="208" spans="2:11" x14ac:dyDescent="0.3">
      <c r="B208" s="172"/>
      <c r="C208" s="172"/>
      <c r="D208" s="172"/>
      <c r="E208" s="172"/>
      <c r="F208" s="172"/>
      <c r="G208" s="172"/>
      <c r="H208" s="172"/>
      <c r="I208" s="172"/>
      <c r="J208" s="172"/>
      <c r="K208" s="172"/>
    </row>
    <row r="209" spans="2:11" x14ac:dyDescent="0.3">
      <c r="B209" s="172"/>
      <c r="C209" s="172"/>
      <c r="D209" s="172"/>
      <c r="E209" s="172"/>
      <c r="F209" s="172"/>
      <c r="G209" s="172"/>
      <c r="H209" s="172"/>
      <c r="I209" s="172"/>
      <c r="J209" s="172"/>
      <c r="K209" s="172"/>
    </row>
    <row r="210" spans="2:11" x14ac:dyDescent="0.3">
      <c r="B210" s="172"/>
      <c r="C210" s="172"/>
      <c r="D210" s="172"/>
      <c r="E210" s="172"/>
      <c r="F210" s="172"/>
      <c r="G210" s="172"/>
      <c r="H210" s="172"/>
      <c r="I210" s="172"/>
      <c r="J210" s="172"/>
      <c r="K210" s="172"/>
    </row>
    <row r="211" spans="2:11" x14ac:dyDescent="0.3">
      <c r="B211" s="172"/>
      <c r="C211" s="172"/>
      <c r="D211" s="172"/>
      <c r="E211" s="172"/>
      <c r="F211" s="172"/>
      <c r="G211" s="172"/>
      <c r="H211" s="172"/>
      <c r="I211" s="172"/>
      <c r="J211" s="172"/>
      <c r="K211" s="172"/>
    </row>
    <row r="212" spans="2:11" x14ac:dyDescent="0.3">
      <c r="B212" s="172"/>
      <c r="C212" s="172"/>
      <c r="D212" s="172"/>
      <c r="E212" s="172"/>
      <c r="F212" s="172"/>
      <c r="G212" s="172"/>
      <c r="H212" s="172"/>
      <c r="I212" s="172"/>
      <c r="J212" s="172"/>
      <c r="K212" s="172"/>
    </row>
    <row r="213" spans="2:11" x14ac:dyDescent="0.3">
      <c r="B213" s="172"/>
      <c r="C213" s="172"/>
      <c r="D213" s="172"/>
      <c r="E213" s="172"/>
      <c r="F213" s="172"/>
      <c r="G213" s="172"/>
      <c r="H213" s="172"/>
      <c r="I213" s="172"/>
      <c r="J213" s="172"/>
      <c r="K213" s="172"/>
    </row>
    <row r="214" spans="2:11" x14ac:dyDescent="0.3">
      <c r="B214" s="172"/>
      <c r="C214" s="172"/>
      <c r="D214" s="172"/>
      <c r="E214" s="172"/>
      <c r="F214" s="172"/>
      <c r="G214" s="172"/>
      <c r="H214" s="172"/>
      <c r="I214" s="172"/>
      <c r="J214" s="172"/>
      <c r="K214" s="172"/>
    </row>
    <row r="215" spans="2:11" x14ac:dyDescent="0.3">
      <c r="B215" s="172"/>
      <c r="C215" s="172"/>
      <c r="D215" s="172"/>
      <c r="E215" s="172"/>
      <c r="F215" s="172"/>
      <c r="G215" s="172"/>
      <c r="H215" s="172"/>
      <c r="I215" s="172"/>
      <c r="J215" s="172"/>
      <c r="K215" s="172"/>
    </row>
    <row r="216" spans="2:11" x14ac:dyDescent="0.3">
      <c r="B216" s="172"/>
      <c r="C216" s="172"/>
      <c r="D216" s="172"/>
      <c r="E216" s="172"/>
      <c r="F216" s="172"/>
      <c r="G216" s="172"/>
      <c r="H216" s="172"/>
      <c r="I216" s="172"/>
      <c r="J216" s="172"/>
      <c r="K216" s="172"/>
    </row>
    <row r="217" spans="2:11" x14ac:dyDescent="0.3">
      <c r="B217" s="172"/>
      <c r="C217" s="172"/>
      <c r="D217" s="172"/>
      <c r="E217" s="172"/>
      <c r="F217" s="172"/>
      <c r="G217" s="172"/>
      <c r="H217" s="172"/>
      <c r="I217" s="172"/>
      <c r="J217" s="172"/>
      <c r="K217" s="172"/>
    </row>
    <row r="218" spans="2:11" x14ac:dyDescent="0.3">
      <c r="B218" s="172"/>
      <c r="C218" s="172"/>
      <c r="D218" s="172"/>
      <c r="E218" s="172"/>
      <c r="F218" s="172"/>
      <c r="G218" s="172"/>
      <c r="H218" s="172"/>
      <c r="I218" s="172"/>
      <c r="J218" s="172"/>
      <c r="K218" s="172"/>
    </row>
    <row r="219" spans="2:11" x14ac:dyDescent="0.3">
      <c r="B219" s="172"/>
      <c r="C219" s="172"/>
      <c r="D219" s="172"/>
      <c r="E219" s="172"/>
      <c r="F219" s="172"/>
      <c r="G219" s="172"/>
      <c r="H219" s="172"/>
      <c r="I219" s="172"/>
      <c r="J219" s="172"/>
      <c r="K219" s="172"/>
    </row>
    <row r="220" spans="2:11" x14ac:dyDescent="0.3">
      <c r="B220" s="172"/>
      <c r="C220" s="172"/>
      <c r="D220" s="172"/>
      <c r="E220" s="172"/>
      <c r="F220" s="172"/>
      <c r="G220" s="172"/>
      <c r="H220" s="172"/>
      <c r="I220" s="172"/>
      <c r="J220" s="172"/>
      <c r="K220" s="172"/>
    </row>
    <row r="221" spans="2:11" x14ac:dyDescent="0.3">
      <c r="B221" s="172"/>
      <c r="C221" s="172"/>
      <c r="D221" s="172"/>
      <c r="E221" s="172"/>
      <c r="F221" s="172"/>
      <c r="G221" s="172"/>
      <c r="H221" s="172"/>
      <c r="I221" s="172"/>
      <c r="J221" s="172"/>
      <c r="K221" s="172"/>
    </row>
    <row r="222" spans="2:11" x14ac:dyDescent="0.3">
      <c r="B222" s="172"/>
      <c r="C222" s="172"/>
      <c r="D222" s="172"/>
      <c r="E222" s="172"/>
      <c r="F222" s="172"/>
      <c r="G222" s="172"/>
      <c r="H222" s="172"/>
      <c r="I222" s="172"/>
      <c r="J222" s="172"/>
      <c r="K222" s="172"/>
    </row>
    <row r="223" spans="2:11" x14ac:dyDescent="0.3">
      <c r="B223" s="172"/>
      <c r="C223" s="172"/>
      <c r="D223" s="172"/>
      <c r="E223" s="172"/>
      <c r="F223" s="172"/>
      <c r="G223" s="172"/>
      <c r="H223" s="172"/>
      <c r="I223" s="172"/>
      <c r="J223" s="172"/>
      <c r="K223" s="172"/>
    </row>
    <row r="224" spans="2:11" x14ac:dyDescent="0.3">
      <c r="B224" s="172"/>
      <c r="C224" s="172"/>
      <c r="D224" s="172"/>
      <c r="E224" s="172"/>
      <c r="F224" s="172"/>
      <c r="G224" s="172"/>
      <c r="H224" s="172"/>
      <c r="I224" s="172"/>
      <c r="J224" s="172"/>
      <c r="K224" s="172"/>
    </row>
    <row r="225" spans="2:11" x14ac:dyDescent="0.3">
      <c r="B225" s="172"/>
      <c r="C225" s="172"/>
      <c r="D225" s="172"/>
      <c r="E225" s="172"/>
      <c r="F225" s="172"/>
      <c r="G225" s="172"/>
      <c r="H225" s="172"/>
      <c r="I225" s="172"/>
      <c r="J225" s="172"/>
      <c r="K225" s="172"/>
    </row>
    <row r="226" spans="2:11" x14ac:dyDescent="0.3">
      <c r="B226" s="172"/>
      <c r="C226" s="172"/>
      <c r="D226" s="172"/>
      <c r="E226" s="172"/>
      <c r="F226" s="172"/>
      <c r="G226" s="172"/>
      <c r="H226" s="172"/>
      <c r="I226" s="172"/>
      <c r="J226" s="172"/>
      <c r="K226" s="172"/>
    </row>
    <row r="227" spans="2:11" s="172" customFormat="1" x14ac:dyDescent="0.3"/>
    <row r="228" spans="2:11" x14ac:dyDescent="0.3">
      <c r="B228" s="172"/>
      <c r="C228" s="172"/>
      <c r="D228" s="172"/>
      <c r="E228" s="172"/>
      <c r="F228" s="172"/>
      <c r="G228" s="172"/>
      <c r="H228" s="172"/>
      <c r="I228" s="172"/>
      <c r="J228" s="172"/>
      <c r="K228" s="172"/>
    </row>
    <row r="229" spans="2:11" x14ac:dyDescent="0.3">
      <c r="B229" s="172"/>
      <c r="C229" s="172"/>
      <c r="D229" s="172"/>
      <c r="E229" s="172"/>
      <c r="F229" s="172"/>
      <c r="G229" s="172"/>
      <c r="H229" s="172"/>
      <c r="I229" s="172"/>
      <c r="J229" s="172"/>
      <c r="K229" s="172"/>
    </row>
    <row r="230" spans="2:11" s="172" customFormat="1" x14ac:dyDescent="0.3"/>
    <row r="231" spans="2:11" x14ac:dyDescent="0.3">
      <c r="B231" s="172"/>
      <c r="C231" s="172"/>
      <c r="D231" s="172"/>
      <c r="E231" s="172"/>
      <c r="F231" s="172"/>
      <c r="G231" s="172"/>
      <c r="H231" s="172"/>
      <c r="I231" s="172"/>
      <c r="J231" s="172"/>
      <c r="K231" s="172"/>
    </row>
    <row r="232" spans="2:11" x14ac:dyDescent="0.3">
      <c r="B232" s="172"/>
      <c r="C232" s="172"/>
      <c r="D232" s="172"/>
      <c r="E232" s="172"/>
      <c r="F232" s="172"/>
      <c r="G232" s="172"/>
      <c r="H232" s="172"/>
      <c r="I232" s="172"/>
      <c r="J232" s="172"/>
      <c r="K232" s="172"/>
    </row>
    <row r="233" spans="2:11" s="172" customFormat="1" x14ac:dyDescent="0.3"/>
    <row r="234" spans="2:11" x14ac:dyDescent="0.3">
      <c r="B234" s="172"/>
      <c r="C234" s="172"/>
      <c r="D234" s="172"/>
      <c r="E234" s="172"/>
      <c r="F234" s="172"/>
      <c r="G234" s="172"/>
      <c r="H234" s="172"/>
      <c r="I234" s="172"/>
      <c r="J234" s="172"/>
      <c r="K234" s="172"/>
    </row>
    <row r="235" spans="2:11" x14ac:dyDescent="0.3">
      <c r="B235" s="172"/>
      <c r="C235" s="172"/>
      <c r="D235" s="172"/>
      <c r="E235" s="172"/>
      <c r="F235" s="172"/>
      <c r="G235" s="172"/>
      <c r="H235" s="172"/>
      <c r="I235" s="172"/>
      <c r="J235" s="172"/>
      <c r="K235" s="172"/>
    </row>
    <row r="236" spans="2:11" s="172" customFormat="1" x14ac:dyDescent="0.3"/>
    <row r="237" spans="2:11" x14ac:dyDescent="0.3">
      <c r="B237" s="172"/>
      <c r="C237" s="172"/>
      <c r="D237" s="172"/>
      <c r="E237" s="172"/>
      <c r="F237" s="172"/>
      <c r="G237" s="172"/>
      <c r="H237" s="172"/>
      <c r="I237" s="172"/>
      <c r="J237" s="172"/>
      <c r="K237" s="172"/>
    </row>
    <row r="238" spans="2:11" x14ac:dyDescent="0.3">
      <c r="B238" s="172"/>
      <c r="C238" s="172"/>
      <c r="D238" s="172"/>
      <c r="E238" s="172"/>
      <c r="F238" s="172"/>
      <c r="G238" s="172"/>
      <c r="H238" s="172"/>
      <c r="I238" s="172"/>
      <c r="J238" s="172"/>
      <c r="K238" s="172"/>
    </row>
    <row r="239" spans="2:11" s="172" customFormat="1" x14ac:dyDescent="0.3"/>
    <row r="240" spans="2:11" x14ac:dyDescent="0.3">
      <c r="B240" s="172"/>
      <c r="C240" s="172"/>
      <c r="D240" s="172"/>
      <c r="E240" s="172"/>
      <c r="F240" s="172"/>
      <c r="G240" s="172"/>
      <c r="H240" s="172"/>
      <c r="I240" s="172"/>
      <c r="J240" s="172"/>
      <c r="K240" s="172"/>
    </row>
    <row r="241" spans="2:11" x14ac:dyDescent="0.3">
      <c r="B241" s="172"/>
      <c r="C241" s="172"/>
      <c r="D241" s="172"/>
      <c r="E241" s="172"/>
      <c r="F241" s="172"/>
      <c r="G241" s="172"/>
      <c r="H241" s="172"/>
      <c r="I241" s="172"/>
      <c r="J241" s="172"/>
      <c r="K241" s="172"/>
    </row>
    <row r="242" spans="2:11" s="172" customFormat="1" x14ac:dyDescent="0.3"/>
    <row r="243" spans="2:11" x14ac:dyDescent="0.3">
      <c r="B243" s="172"/>
      <c r="C243" s="172"/>
      <c r="D243" s="172"/>
      <c r="E243" s="172"/>
      <c r="F243" s="172"/>
      <c r="G243" s="172"/>
      <c r="H243" s="172"/>
      <c r="I243" s="172"/>
      <c r="J243" s="172"/>
      <c r="K243" s="172"/>
    </row>
    <row r="244" spans="2:11" x14ac:dyDescent="0.3">
      <c r="B244" s="172"/>
      <c r="C244" s="172"/>
      <c r="D244" s="172"/>
      <c r="E244" s="172"/>
      <c r="F244" s="172"/>
      <c r="G244" s="172"/>
      <c r="H244" s="172"/>
      <c r="I244" s="172"/>
      <c r="J244" s="172"/>
      <c r="K244" s="172"/>
    </row>
    <row r="245" spans="2:11" x14ac:dyDescent="0.3">
      <c r="B245" s="172"/>
      <c r="C245" s="172"/>
      <c r="D245" s="172"/>
      <c r="E245" s="172"/>
      <c r="F245" s="172"/>
      <c r="G245" s="172"/>
      <c r="H245" s="172"/>
      <c r="I245" s="172"/>
      <c r="J245" s="172"/>
      <c r="K245" s="172"/>
    </row>
    <row r="246" spans="2:11" x14ac:dyDescent="0.3">
      <c r="B246" s="172"/>
      <c r="C246" s="172"/>
      <c r="D246" s="172"/>
      <c r="E246" s="172"/>
      <c r="F246" s="172"/>
      <c r="G246" s="172"/>
      <c r="H246" s="172"/>
      <c r="I246" s="172"/>
      <c r="J246" s="172"/>
      <c r="K246" s="172"/>
    </row>
    <row r="247" spans="2:11" x14ac:dyDescent="0.3">
      <c r="B247" s="172"/>
      <c r="C247" s="172"/>
      <c r="D247" s="172"/>
      <c r="E247" s="172"/>
      <c r="F247" s="172"/>
      <c r="G247" s="172"/>
      <c r="H247" s="172"/>
      <c r="I247" s="172"/>
      <c r="J247" s="172"/>
      <c r="K247" s="172"/>
    </row>
    <row r="248" spans="2:11" x14ac:dyDescent="0.3">
      <c r="B248" s="172"/>
      <c r="C248" s="172"/>
      <c r="D248" s="172"/>
      <c r="E248" s="172"/>
      <c r="F248" s="172"/>
      <c r="G248" s="172"/>
      <c r="H248" s="172"/>
      <c r="I248" s="172"/>
      <c r="J248" s="172"/>
      <c r="K248" s="172"/>
    </row>
    <row r="249" spans="2:11" x14ac:dyDescent="0.3">
      <c r="B249" s="172"/>
      <c r="C249" s="172"/>
      <c r="D249" s="172"/>
      <c r="E249" s="172"/>
      <c r="F249" s="172"/>
      <c r="G249" s="172"/>
      <c r="H249" s="172"/>
      <c r="I249" s="172"/>
      <c r="J249" s="172"/>
      <c r="K249" s="172"/>
    </row>
    <row r="250" spans="2:11" x14ac:dyDescent="0.3">
      <c r="B250" s="172"/>
      <c r="C250" s="172"/>
      <c r="D250" s="172"/>
      <c r="E250" s="172"/>
      <c r="F250" s="172"/>
      <c r="G250" s="172"/>
      <c r="H250" s="172"/>
      <c r="I250" s="172"/>
      <c r="J250" s="172"/>
      <c r="K250" s="172"/>
    </row>
    <row r="251" spans="2:11" x14ac:dyDescent="0.3">
      <c r="B251" s="172"/>
      <c r="C251" s="172"/>
      <c r="D251" s="172"/>
      <c r="E251" s="172"/>
      <c r="F251" s="172"/>
      <c r="G251" s="172"/>
      <c r="H251" s="172"/>
      <c r="I251" s="172"/>
      <c r="J251" s="172"/>
      <c r="K251" s="172"/>
    </row>
    <row r="252" spans="2:11" x14ac:dyDescent="0.3">
      <c r="B252" s="172"/>
      <c r="C252" s="172"/>
      <c r="D252" s="172"/>
      <c r="E252" s="172"/>
      <c r="F252" s="172"/>
      <c r="G252" s="172"/>
      <c r="H252" s="172"/>
      <c r="I252" s="172"/>
      <c r="J252" s="172"/>
      <c r="K252" s="172"/>
    </row>
    <row r="253" spans="2:11" x14ac:dyDescent="0.3">
      <c r="B253" s="172"/>
      <c r="C253" s="172"/>
      <c r="D253" s="172"/>
      <c r="E253" s="172"/>
      <c r="F253" s="172"/>
      <c r="G253" s="172"/>
      <c r="H253" s="172"/>
      <c r="I253" s="172"/>
      <c r="J253" s="172"/>
      <c r="K253" s="172"/>
    </row>
    <row r="254" spans="2:11" x14ac:dyDescent="0.3">
      <c r="B254" s="172"/>
      <c r="C254" s="172"/>
      <c r="D254" s="172"/>
      <c r="E254" s="172"/>
      <c r="F254" s="172"/>
      <c r="G254" s="172"/>
      <c r="H254" s="172"/>
      <c r="I254" s="172"/>
      <c r="J254" s="172"/>
      <c r="K254" s="172"/>
    </row>
    <row r="255" spans="2:11" x14ac:dyDescent="0.3">
      <c r="B255" s="172"/>
      <c r="C255" s="172"/>
      <c r="D255" s="172"/>
      <c r="E255" s="172"/>
      <c r="F255" s="172"/>
      <c r="G255" s="172"/>
      <c r="H255" s="172"/>
      <c r="I255" s="172"/>
      <c r="J255" s="172"/>
      <c r="K255" s="172"/>
    </row>
    <row r="256" spans="2:11" x14ac:dyDescent="0.3">
      <c r="B256" s="172"/>
      <c r="C256" s="172"/>
      <c r="D256" s="172"/>
      <c r="E256" s="172"/>
      <c r="F256" s="172"/>
      <c r="G256" s="172"/>
      <c r="H256" s="172"/>
      <c r="I256" s="172"/>
      <c r="J256" s="172"/>
      <c r="K256" s="172"/>
    </row>
    <row r="257" spans="2:11" x14ac:dyDescent="0.3">
      <c r="B257" s="172"/>
      <c r="C257" s="172"/>
      <c r="D257" s="172"/>
      <c r="E257" s="172"/>
      <c r="F257" s="172"/>
      <c r="G257" s="172"/>
      <c r="H257" s="172"/>
      <c r="I257" s="172"/>
      <c r="J257" s="172"/>
      <c r="K257" s="172"/>
    </row>
    <row r="258" spans="2:11" x14ac:dyDescent="0.3">
      <c r="B258" s="172"/>
      <c r="C258" s="172"/>
      <c r="D258" s="172"/>
      <c r="E258" s="172"/>
      <c r="F258" s="172"/>
      <c r="G258" s="172"/>
      <c r="H258" s="172"/>
      <c r="I258" s="172"/>
      <c r="J258" s="172"/>
      <c r="K258" s="172"/>
    </row>
    <row r="259" spans="2:11" x14ac:dyDescent="0.3">
      <c r="B259" s="172"/>
      <c r="C259" s="172"/>
      <c r="D259" s="172"/>
      <c r="E259" s="172"/>
      <c r="F259" s="172"/>
      <c r="G259" s="172"/>
      <c r="H259" s="172"/>
      <c r="I259" s="172"/>
      <c r="J259" s="172"/>
      <c r="K259" s="172"/>
    </row>
    <row r="260" spans="2:11" x14ac:dyDescent="0.3">
      <c r="B260" s="172"/>
      <c r="C260" s="172"/>
      <c r="D260" s="172"/>
      <c r="E260" s="172"/>
      <c r="F260" s="172"/>
      <c r="G260" s="172"/>
      <c r="H260" s="172"/>
      <c r="I260" s="172"/>
      <c r="J260" s="172"/>
      <c r="K260" s="172"/>
    </row>
    <row r="261" spans="2:11" x14ac:dyDescent="0.3">
      <c r="B261" s="172"/>
      <c r="C261" s="172"/>
      <c r="D261" s="172"/>
      <c r="E261" s="172"/>
      <c r="F261" s="172"/>
      <c r="G261" s="172"/>
      <c r="H261" s="172"/>
      <c r="I261" s="172"/>
      <c r="J261" s="172"/>
      <c r="K261" s="172"/>
    </row>
    <row r="262" spans="2:11" x14ac:dyDescent="0.3">
      <c r="B262" s="172"/>
      <c r="C262" s="172"/>
      <c r="D262" s="172"/>
      <c r="E262" s="172"/>
      <c r="F262" s="172"/>
      <c r="G262" s="172"/>
      <c r="H262" s="172"/>
      <c r="I262" s="172"/>
      <c r="J262" s="172"/>
      <c r="K262" s="172"/>
    </row>
    <row r="264" spans="2:11" x14ac:dyDescent="0.3">
      <c r="B264" s="167" t="s">
        <v>251</v>
      </c>
      <c r="C264" s="168"/>
      <c r="D264" s="168"/>
      <c r="E264" s="168"/>
      <c r="F264" s="168"/>
      <c r="G264" s="168"/>
      <c r="H264" s="168"/>
      <c r="I264" s="168"/>
      <c r="J264" s="168"/>
      <c r="K264" s="168"/>
    </row>
    <row r="265" spans="2:11" x14ac:dyDescent="0.3">
      <c r="B265" s="169" t="s">
        <v>9</v>
      </c>
      <c r="C265" s="169" t="s">
        <v>46</v>
      </c>
      <c r="D265" s="169" t="s">
        <v>239</v>
      </c>
      <c r="E265" s="169" t="s">
        <v>244</v>
      </c>
      <c r="F265" s="169" t="s">
        <v>42</v>
      </c>
      <c r="G265" s="169" t="s">
        <v>252</v>
      </c>
      <c r="H265" s="169" t="s">
        <v>253</v>
      </c>
      <c r="I265" s="169" t="s">
        <v>218</v>
      </c>
      <c r="J265" s="169" t="s">
        <v>221</v>
      </c>
      <c r="K265" s="170" t="s">
        <v>206</v>
      </c>
    </row>
    <row r="266" spans="2:11" x14ac:dyDescent="0.3">
      <c r="B266" s="173"/>
      <c r="C266" s="173"/>
      <c r="D266" s="173"/>
      <c r="E266" s="173"/>
      <c r="F266" s="173"/>
      <c r="G266" s="173"/>
      <c r="H266" s="173"/>
      <c r="I266" s="173" t="s">
        <v>7</v>
      </c>
      <c r="J266" s="173" t="s">
        <v>7</v>
      </c>
      <c r="K266" s="174" t="s">
        <v>7</v>
      </c>
    </row>
    <row r="267" spans="2:11" x14ac:dyDescent="0.3">
      <c r="B267" s="172" t="s">
        <v>189</v>
      </c>
      <c r="C267" s="172" t="s">
        <v>79</v>
      </c>
      <c r="D267" s="172" t="s">
        <v>245</v>
      </c>
      <c r="E267" s="172"/>
      <c r="F267" s="172" t="s">
        <v>218</v>
      </c>
      <c r="G267" s="172">
        <v>3.0144681736320498E-4</v>
      </c>
      <c r="H267" s="172">
        <v>50</v>
      </c>
      <c r="I267" s="172">
        <v>19</v>
      </c>
      <c r="J267" s="172">
        <v>11</v>
      </c>
      <c r="K267" s="172">
        <v>38.5</v>
      </c>
    </row>
    <row r="268" spans="2:11" x14ac:dyDescent="0.3">
      <c r="B268" s="172" t="s">
        <v>189</v>
      </c>
      <c r="C268" s="172" t="s">
        <v>80</v>
      </c>
      <c r="D268" s="172" t="s">
        <v>245</v>
      </c>
      <c r="E268" s="172"/>
      <c r="F268" s="172" t="s">
        <v>218</v>
      </c>
      <c r="G268" s="172">
        <v>2.9447092645812199E-4</v>
      </c>
      <c r="H268" s="172">
        <v>50</v>
      </c>
      <c r="I268" s="172">
        <v>19</v>
      </c>
      <c r="J268" s="172">
        <v>11</v>
      </c>
      <c r="K268" s="172">
        <v>38.5</v>
      </c>
    </row>
    <row r="269" spans="2:11" s="172" customFormat="1" x14ac:dyDescent="0.3">
      <c r="B269" s="172" t="s">
        <v>189</v>
      </c>
      <c r="C269" s="172" t="s">
        <v>81</v>
      </c>
      <c r="D269" s="172" t="s">
        <v>245</v>
      </c>
      <c r="F269" s="172" t="s">
        <v>221</v>
      </c>
      <c r="G269" s="172">
        <v>1.8039136706014E-4</v>
      </c>
      <c r="H269" s="172">
        <v>53</v>
      </c>
      <c r="I269" s="172">
        <v>15</v>
      </c>
      <c r="J269" s="172">
        <v>11</v>
      </c>
      <c r="K269" s="172">
        <v>38.5</v>
      </c>
    </row>
    <row r="270" spans="2:11" x14ac:dyDescent="0.3">
      <c r="B270" s="172" t="s">
        <v>189</v>
      </c>
      <c r="C270" s="172" t="s">
        <v>82</v>
      </c>
      <c r="D270" s="172" t="s">
        <v>245</v>
      </c>
      <c r="E270" s="172"/>
      <c r="F270" s="172" t="s">
        <v>221</v>
      </c>
      <c r="G270" s="172">
        <v>1.7820398662188401E-4</v>
      </c>
      <c r="H270" s="172">
        <v>53</v>
      </c>
      <c r="I270" s="172">
        <v>15</v>
      </c>
      <c r="J270" s="172">
        <v>11</v>
      </c>
      <c r="K270" s="172">
        <v>38.5</v>
      </c>
    </row>
    <row r="271" spans="2:11" x14ac:dyDescent="0.3">
      <c r="B271" s="172" t="s">
        <v>189</v>
      </c>
      <c r="C271" s="172" t="s">
        <v>246</v>
      </c>
      <c r="D271" s="172" t="s">
        <v>245</v>
      </c>
      <c r="E271" s="172"/>
      <c r="F271" s="172" t="s">
        <v>218</v>
      </c>
      <c r="G271" s="172">
        <v>3.0424373147531098E-4</v>
      </c>
      <c r="H271" s="172">
        <v>50</v>
      </c>
      <c r="I271" s="172">
        <v>19</v>
      </c>
      <c r="J271" s="172">
        <v>11</v>
      </c>
      <c r="K271" s="172">
        <v>38.5</v>
      </c>
    </row>
    <row r="272" spans="2:11" x14ac:dyDescent="0.3">
      <c r="B272" s="172" t="s">
        <v>189</v>
      </c>
      <c r="C272" s="172" t="s">
        <v>246</v>
      </c>
      <c r="D272" s="172" t="s">
        <v>245</v>
      </c>
      <c r="E272" s="172"/>
      <c r="F272" s="172" t="s">
        <v>221</v>
      </c>
      <c r="G272" s="172">
        <v>1.08157484004603E-4</v>
      </c>
      <c r="H272" s="172">
        <v>53</v>
      </c>
      <c r="I272" s="172">
        <v>15</v>
      </c>
      <c r="J272" s="172">
        <v>11</v>
      </c>
      <c r="K272" s="172">
        <v>38.5</v>
      </c>
    </row>
    <row r="273" spans="2:11" x14ac:dyDescent="0.3">
      <c r="B273" s="172" t="s">
        <v>187</v>
      </c>
      <c r="C273" s="172" t="s">
        <v>79</v>
      </c>
      <c r="D273" s="172" t="s">
        <v>245</v>
      </c>
      <c r="E273" s="172"/>
      <c r="F273" s="172" t="s">
        <v>218</v>
      </c>
      <c r="G273" s="172">
        <v>2.9249373518612401E-4</v>
      </c>
      <c r="H273" s="172">
        <v>19</v>
      </c>
      <c r="I273" s="172">
        <v>19.25</v>
      </c>
      <c r="J273" s="172">
        <v>19.25</v>
      </c>
      <c r="K273" s="172">
        <v>35.5</v>
      </c>
    </row>
    <row r="274" spans="2:11" x14ac:dyDescent="0.3">
      <c r="B274" s="172" t="s">
        <v>187</v>
      </c>
      <c r="C274" s="172" t="s">
        <v>80</v>
      </c>
      <c r="D274" s="172" t="s">
        <v>245</v>
      </c>
      <c r="E274" s="172"/>
      <c r="F274" s="172" t="s">
        <v>218</v>
      </c>
      <c r="G274" s="172">
        <v>2.9749006802677798E-4</v>
      </c>
      <c r="H274" s="172">
        <v>25</v>
      </c>
      <c r="I274" s="172">
        <v>19.25</v>
      </c>
      <c r="J274" s="172">
        <v>-0.25</v>
      </c>
      <c r="K274" s="172">
        <v>35.5</v>
      </c>
    </row>
    <row r="275" spans="2:11" x14ac:dyDescent="0.3">
      <c r="B275" s="172" t="s">
        <v>187</v>
      </c>
      <c r="C275" s="172" t="s">
        <v>81</v>
      </c>
      <c r="D275" s="172" t="s">
        <v>245</v>
      </c>
      <c r="E275" s="172"/>
      <c r="F275" s="172" t="s">
        <v>221</v>
      </c>
      <c r="G275" s="172">
        <v>2.7848394243230499E-4</v>
      </c>
      <c r="H275" s="172">
        <v>25</v>
      </c>
      <c r="I275" s="172">
        <v>19.25</v>
      </c>
      <c r="J275" s="172">
        <v>-0.25</v>
      </c>
      <c r="K275" s="172">
        <v>35.5</v>
      </c>
    </row>
    <row r="276" spans="2:11" x14ac:dyDescent="0.3">
      <c r="B276" s="172" t="s">
        <v>187</v>
      </c>
      <c r="C276" s="172" t="s">
        <v>82</v>
      </c>
      <c r="D276" s="172" t="s">
        <v>245</v>
      </c>
      <c r="E276" s="172"/>
      <c r="F276" s="172" t="s">
        <v>221</v>
      </c>
      <c r="G276" s="172">
        <v>3.0719000279818599E-4</v>
      </c>
      <c r="H276" s="172">
        <v>39</v>
      </c>
      <c r="I276" s="172">
        <v>0</v>
      </c>
      <c r="J276" s="172">
        <v>19</v>
      </c>
      <c r="K276" s="172">
        <v>35.5</v>
      </c>
    </row>
    <row r="277" spans="2:11" x14ac:dyDescent="0.3">
      <c r="B277" s="172" t="s">
        <v>187</v>
      </c>
      <c r="C277" s="172" t="s">
        <v>246</v>
      </c>
      <c r="D277" s="172" t="s">
        <v>245</v>
      </c>
      <c r="E277" s="172"/>
      <c r="F277" s="172" t="s">
        <v>218</v>
      </c>
      <c r="G277" s="172">
        <v>1.0080085981711099E-4</v>
      </c>
      <c r="H277" s="172">
        <v>19</v>
      </c>
      <c r="I277" s="172">
        <v>19.25</v>
      </c>
      <c r="J277" s="172">
        <v>19.25</v>
      </c>
      <c r="K277" s="172">
        <v>35.5</v>
      </c>
    </row>
    <row r="278" spans="2:11" x14ac:dyDescent="0.3">
      <c r="B278" s="172" t="s">
        <v>185</v>
      </c>
      <c r="C278" s="172" t="s">
        <v>79</v>
      </c>
      <c r="D278" s="172" t="s">
        <v>245</v>
      </c>
      <c r="E278" s="172"/>
      <c r="F278" s="172" t="s">
        <v>218</v>
      </c>
      <c r="G278" s="172">
        <v>4.50220913511842E-4</v>
      </c>
      <c r="H278" s="172">
        <v>19</v>
      </c>
      <c r="I278" s="172">
        <v>19.25</v>
      </c>
      <c r="J278" s="172">
        <v>19.25</v>
      </c>
      <c r="K278" s="172">
        <v>32</v>
      </c>
    </row>
    <row r="279" spans="2:11" x14ac:dyDescent="0.3">
      <c r="B279" s="172" t="s">
        <v>185</v>
      </c>
      <c r="C279" s="172" t="s">
        <v>80</v>
      </c>
      <c r="D279" s="172" t="s">
        <v>245</v>
      </c>
      <c r="E279" s="172"/>
      <c r="F279" s="172" t="s">
        <v>218</v>
      </c>
      <c r="G279" s="172">
        <v>4.5746820230585999E-4</v>
      </c>
      <c r="H279" s="172">
        <v>25</v>
      </c>
      <c r="I279" s="172">
        <v>19.25</v>
      </c>
      <c r="J279" s="172">
        <v>-0.25</v>
      </c>
      <c r="K279" s="172">
        <v>32</v>
      </c>
    </row>
    <row r="280" spans="2:11" x14ac:dyDescent="0.3">
      <c r="B280" s="172" t="s">
        <v>185</v>
      </c>
      <c r="C280" s="172" t="s">
        <v>81</v>
      </c>
      <c r="D280" s="172" t="s">
        <v>245</v>
      </c>
      <c r="E280" s="172"/>
      <c r="F280" s="172" t="s">
        <v>221</v>
      </c>
      <c r="G280" s="172">
        <v>4.4060552835116398E-4</v>
      </c>
      <c r="H280" s="172">
        <v>19</v>
      </c>
      <c r="I280" s="172">
        <v>19.25</v>
      </c>
      <c r="J280" s="172">
        <v>19.25</v>
      </c>
      <c r="K280" s="172">
        <v>32</v>
      </c>
    </row>
    <row r="281" spans="2:11" x14ac:dyDescent="0.3">
      <c r="B281" s="172" t="s">
        <v>185</v>
      </c>
      <c r="C281" s="172" t="s">
        <v>82</v>
      </c>
      <c r="D281" s="172" t="s">
        <v>245</v>
      </c>
      <c r="E281" s="172"/>
      <c r="F281" s="172" t="s">
        <v>221</v>
      </c>
      <c r="G281" s="172">
        <v>4.99304526518304E-4</v>
      </c>
      <c r="H281" s="172">
        <v>39</v>
      </c>
      <c r="I281" s="172">
        <v>0</v>
      </c>
      <c r="J281" s="172">
        <v>19</v>
      </c>
      <c r="K281" s="172">
        <v>32</v>
      </c>
    </row>
    <row r="282" spans="2:11" x14ac:dyDescent="0.3">
      <c r="B282" s="172" t="s">
        <v>185</v>
      </c>
      <c r="C282" s="172" t="s">
        <v>246</v>
      </c>
      <c r="D282" s="172" t="s">
        <v>245</v>
      </c>
      <c r="E282" s="172"/>
      <c r="F282" s="172" t="s">
        <v>218</v>
      </c>
      <c r="G282" s="172">
        <v>1.0064109165542E-4</v>
      </c>
      <c r="H282" s="172">
        <v>19</v>
      </c>
      <c r="I282" s="172">
        <v>19.25</v>
      </c>
      <c r="J282" s="172">
        <v>19.25</v>
      </c>
      <c r="K282" s="172">
        <v>32</v>
      </c>
    </row>
    <row r="283" spans="2:11" x14ac:dyDescent="0.3">
      <c r="B283" s="172" t="s">
        <v>185</v>
      </c>
      <c r="C283" s="172" t="s">
        <v>246</v>
      </c>
      <c r="D283" s="172" t="s">
        <v>245</v>
      </c>
      <c r="E283" s="172"/>
      <c r="F283" s="172" t="s">
        <v>221</v>
      </c>
      <c r="G283" s="172">
        <v>1.26732230832764E-5</v>
      </c>
      <c r="H283" s="172">
        <v>39</v>
      </c>
      <c r="I283" s="172">
        <v>0</v>
      </c>
      <c r="J283" s="172">
        <v>19</v>
      </c>
      <c r="K283" s="172">
        <v>32</v>
      </c>
    </row>
    <row r="284" spans="2:11" x14ac:dyDescent="0.3">
      <c r="B284" s="172" t="s">
        <v>183</v>
      </c>
      <c r="C284" s="172" t="s">
        <v>79</v>
      </c>
      <c r="D284" s="172" t="s">
        <v>245</v>
      </c>
      <c r="E284" s="172"/>
      <c r="F284" s="172" t="s">
        <v>218</v>
      </c>
      <c r="G284" s="172">
        <v>5.9659885939995305E-4</v>
      </c>
      <c r="H284" s="172">
        <v>19</v>
      </c>
      <c r="I284" s="172">
        <v>19.25</v>
      </c>
      <c r="J284" s="172">
        <v>19.25</v>
      </c>
      <c r="K284" s="172">
        <v>28.5</v>
      </c>
    </row>
    <row r="285" spans="2:11" x14ac:dyDescent="0.3">
      <c r="B285" s="172" t="s">
        <v>183</v>
      </c>
      <c r="C285" s="172" t="s">
        <v>80</v>
      </c>
      <c r="D285" s="172" t="s">
        <v>245</v>
      </c>
      <c r="E285" s="172"/>
      <c r="F285" s="172" t="s">
        <v>218</v>
      </c>
      <c r="G285" s="172">
        <v>6.0672140560491701E-4</v>
      </c>
      <c r="H285" s="172">
        <v>25</v>
      </c>
      <c r="I285" s="172">
        <v>19.25</v>
      </c>
      <c r="J285" s="172">
        <v>-0.25</v>
      </c>
      <c r="K285" s="172">
        <v>28.5</v>
      </c>
    </row>
    <row r="286" spans="2:11" x14ac:dyDescent="0.3">
      <c r="B286" s="172" t="s">
        <v>183</v>
      </c>
      <c r="C286" s="172" t="s">
        <v>81</v>
      </c>
      <c r="D286" s="172" t="s">
        <v>245</v>
      </c>
      <c r="E286" s="172"/>
      <c r="F286" s="172" t="s">
        <v>221</v>
      </c>
      <c r="G286" s="172">
        <v>5.9170066315128499E-4</v>
      </c>
      <c r="H286" s="172">
        <v>19</v>
      </c>
      <c r="I286" s="172">
        <v>19.25</v>
      </c>
      <c r="J286" s="172">
        <v>19.25</v>
      </c>
      <c r="K286" s="172">
        <v>28.5</v>
      </c>
    </row>
    <row r="287" spans="2:11" x14ac:dyDescent="0.3">
      <c r="B287" s="172" t="s">
        <v>183</v>
      </c>
      <c r="C287" s="172" t="s">
        <v>82</v>
      </c>
      <c r="D287" s="172" t="s">
        <v>245</v>
      </c>
      <c r="E287" s="172"/>
      <c r="F287" s="172" t="s">
        <v>221</v>
      </c>
      <c r="G287" s="172">
        <v>6.8201586770882201E-4</v>
      </c>
      <c r="H287" s="172">
        <v>39</v>
      </c>
      <c r="I287" s="172">
        <v>0</v>
      </c>
      <c r="J287" s="172">
        <v>19</v>
      </c>
      <c r="K287" s="172">
        <v>28.5</v>
      </c>
    </row>
    <row r="288" spans="2:11" x14ac:dyDescent="0.3">
      <c r="B288" s="172" t="s">
        <v>183</v>
      </c>
      <c r="C288" s="172" t="s">
        <v>246</v>
      </c>
      <c r="D288" s="172" t="s">
        <v>245</v>
      </c>
      <c r="E288" s="172"/>
      <c r="F288" s="172" t="s">
        <v>218</v>
      </c>
      <c r="G288" s="172">
        <v>9.6726906041801002E-5</v>
      </c>
      <c r="H288" s="172">
        <v>19</v>
      </c>
      <c r="I288" s="172">
        <v>19.25</v>
      </c>
      <c r="J288" s="172">
        <v>19.25</v>
      </c>
      <c r="K288" s="172">
        <v>28.5</v>
      </c>
    </row>
    <row r="289" spans="2:11" x14ac:dyDescent="0.3">
      <c r="B289" s="172" t="s">
        <v>183</v>
      </c>
      <c r="C289" s="172" t="s">
        <v>246</v>
      </c>
      <c r="D289" s="172" t="s">
        <v>245</v>
      </c>
      <c r="E289" s="172"/>
      <c r="F289" s="172" t="s">
        <v>221</v>
      </c>
      <c r="G289" s="172">
        <v>1.2079490888884301E-5</v>
      </c>
      <c r="H289" s="172">
        <v>39</v>
      </c>
      <c r="I289" s="172">
        <v>0</v>
      </c>
      <c r="J289" s="172">
        <v>19</v>
      </c>
      <c r="K289" s="172">
        <v>28.5</v>
      </c>
    </row>
    <row r="290" spans="2:11" x14ac:dyDescent="0.3">
      <c r="B290" s="172" t="s">
        <v>181</v>
      </c>
      <c r="C290" s="172" t="s">
        <v>79</v>
      </c>
      <c r="D290" s="172" t="s">
        <v>245</v>
      </c>
      <c r="E290" s="172"/>
      <c r="F290" s="172" t="s">
        <v>218</v>
      </c>
      <c r="G290" s="172">
        <v>7.2102989005886503E-4</v>
      </c>
      <c r="H290" s="172">
        <v>19</v>
      </c>
      <c r="I290" s="172">
        <v>19.25</v>
      </c>
      <c r="J290" s="172">
        <v>19.25</v>
      </c>
      <c r="K290" s="172">
        <v>25</v>
      </c>
    </row>
    <row r="291" spans="2:11" x14ac:dyDescent="0.3">
      <c r="B291" s="172" t="s">
        <v>181</v>
      </c>
      <c r="C291" s="172" t="s">
        <v>80</v>
      </c>
      <c r="D291" s="172" t="s">
        <v>245</v>
      </c>
      <c r="E291" s="172"/>
      <c r="F291" s="172" t="s">
        <v>218</v>
      </c>
      <c r="G291" s="172">
        <v>7.3371941011475897E-4</v>
      </c>
      <c r="H291" s="172">
        <v>25</v>
      </c>
      <c r="I291" s="172">
        <v>19.25</v>
      </c>
      <c r="J291" s="172">
        <v>-0.25</v>
      </c>
      <c r="K291" s="172">
        <v>25</v>
      </c>
    </row>
    <row r="292" spans="2:11" x14ac:dyDescent="0.3">
      <c r="B292" s="172" t="s">
        <v>181</v>
      </c>
      <c r="C292" s="172" t="s">
        <v>81</v>
      </c>
      <c r="D292" s="172" t="s">
        <v>245</v>
      </c>
      <c r="E292" s="172"/>
      <c r="F292" s="172" t="s">
        <v>221</v>
      </c>
      <c r="G292" s="172">
        <v>7.2098380872792395E-4</v>
      </c>
      <c r="H292" s="172">
        <v>25</v>
      </c>
      <c r="I292" s="172">
        <v>19.25</v>
      </c>
      <c r="J292" s="172">
        <v>-0.25</v>
      </c>
      <c r="K292" s="172">
        <v>25</v>
      </c>
    </row>
    <row r="293" spans="2:11" x14ac:dyDescent="0.3">
      <c r="B293" s="172" t="s">
        <v>181</v>
      </c>
      <c r="C293" s="172" t="s">
        <v>82</v>
      </c>
      <c r="D293" s="172" t="s">
        <v>245</v>
      </c>
      <c r="E293" s="172"/>
      <c r="F293" s="172" t="s">
        <v>221</v>
      </c>
      <c r="G293" s="172">
        <v>8.38834162047983E-4</v>
      </c>
      <c r="H293" s="172">
        <v>39</v>
      </c>
      <c r="I293" s="172">
        <v>0</v>
      </c>
      <c r="J293" s="172">
        <v>19</v>
      </c>
      <c r="K293" s="172">
        <v>25</v>
      </c>
    </row>
    <row r="294" spans="2:11" x14ac:dyDescent="0.3">
      <c r="B294" s="172" t="s">
        <v>181</v>
      </c>
      <c r="C294" s="172" t="s">
        <v>246</v>
      </c>
      <c r="D294" s="172" t="s">
        <v>245</v>
      </c>
      <c r="E294" s="172"/>
      <c r="F294" s="172" t="s">
        <v>218</v>
      </c>
      <c r="G294" s="172">
        <v>9.0864814143396406E-5</v>
      </c>
      <c r="H294" s="172">
        <v>19</v>
      </c>
      <c r="I294" s="172">
        <v>19.25</v>
      </c>
      <c r="J294" s="172">
        <v>19.25</v>
      </c>
      <c r="K294" s="172">
        <v>25</v>
      </c>
    </row>
    <row r="295" spans="2:11" x14ac:dyDescent="0.3">
      <c r="B295" s="172" t="s">
        <v>179</v>
      </c>
      <c r="C295" s="172" t="s">
        <v>79</v>
      </c>
      <c r="D295" s="172" t="s">
        <v>245</v>
      </c>
      <c r="E295" s="172"/>
      <c r="F295" s="172" t="s">
        <v>218</v>
      </c>
      <c r="G295" s="172">
        <v>8.2546314858286305E-4</v>
      </c>
      <c r="H295" s="172">
        <v>19</v>
      </c>
      <c r="I295" s="172">
        <v>19.25</v>
      </c>
      <c r="J295" s="172">
        <v>19.25</v>
      </c>
      <c r="K295" s="172">
        <v>21.5</v>
      </c>
    </row>
    <row r="296" spans="2:11" x14ac:dyDescent="0.3">
      <c r="B296" s="172" t="s">
        <v>179</v>
      </c>
      <c r="C296" s="172" t="s">
        <v>80</v>
      </c>
      <c r="D296" s="172" t="s">
        <v>245</v>
      </c>
      <c r="E296" s="172"/>
      <c r="F296" s="172" t="s">
        <v>218</v>
      </c>
      <c r="G296" s="172">
        <v>8.4050606679451001E-4</v>
      </c>
      <c r="H296" s="172">
        <v>25</v>
      </c>
      <c r="I296" s="172">
        <v>19.25</v>
      </c>
      <c r="J296" s="172">
        <v>-0.25</v>
      </c>
      <c r="K296" s="172">
        <v>21.5</v>
      </c>
    </row>
    <row r="297" spans="2:11" x14ac:dyDescent="0.3">
      <c r="B297" s="172" t="s">
        <v>179</v>
      </c>
      <c r="C297" s="172" t="s">
        <v>81</v>
      </c>
      <c r="D297" s="172" t="s">
        <v>245</v>
      </c>
      <c r="E297" s="172"/>
      <c r="F297" s="172" t="s">
        <v>221</v>
      </c>
      <c r="G297" s="172">
        <v>8.3028830634016297E-4</v>
      </c>
      <c r="H297" s="172">
        <v>19</v>
      </c>
      <c r="I297" s="172">
        <v>19.25</v>
      </c>
      <c r="J297" s="172">
        <v>19.25</v>
      </c>
      <c r="K297" s="172">
        <v>21.5</v>
      </c>
    </row>
    <row r="298" spans="2:11" x14ac:dyDescent="0.3">
      <c r="B298" s="172" t="s">
        <v>179</v>
      </c>
      <c r="C298" s="172" t="s">
        <v>82</v>
      </c>
      <c r="D298" s="172" t="s">
        <v>245</v>
      </c>
      <c r="E298" s="172"/>
      <c r="F298" s="172" t="s">
        <v>221</v>
      </c>
      <c r="G298" s="172">
        <v>9.7190837204621096E-4</v>
      </c>
      <c r="H298" s="172">
        <v>39</v>
      </c>
      <c r="I298" s="172">
        <v>0</v>
      </c>
      <c r="J298" s="172">
        <v>19</v>
      </c>
      <c r="K298" s="172">
        <v>21.5</v>
      </c>
    </row>
    <row r="299" spans="2:11" x14ac:dyDescent="0.3">
      <c r="B299" s="172" t="s">
        <v>179</v>
      </c>
      <c r="C299" s="172" t="s">
        <v>246</v>
      </c>
      <c r="D299" s="172" t="s">
        <v>245</v>
      </c>
      <c r="E299" s="172"/>
      <c r="F299" s="172" t="s">
        <v>218</v>
      </c>
      <c r="G299" s="172">
        <v>8.3070305346714794E-5</v>
      </c>
      <c r="H299" s="172">
        <v>19</v>
      </c>
      <c r="I299" s="172">
        <v>19.25</v>
      </c>
      <c r="J299" s="172">
        <v>19.25</v>
      </c>
      <c r="K299" s="172">
        <v>21.5</v>
      </c>
    </row>
    <row r="300" spans="2:11" x14ac:dyDescent="0.3">
      <c r="B300" s="172" t="s">
        <v>39</v>
      </c>
      <c r="C300" s="172" t="s">
        <v>79</v>
      </c>
      <c r="D300" s="172" t="s">
        <v>245</v>
      </c>
      <c r="E300" s="172"/>
      <c r="F300" s="172" t="s">
        <v>218</v>
      </c>
      <c r="G300" s="172">
        <v>9.1211469841823904E-4</v>
      </c>
      <c r="H300" s="172">
        <v>19</v>
      </c>
      <c r="I300" s="172">
        <v>19.25</v>
      </c>
      <c r="J300" s="172">
        <v>19.25</v>
      </c>
      <c r="K300" s="172">
        <v>18</v>
      </c>
    </row>
    <row r="301" spans="2:11" x14ac:dyDescent="0.3">
      <c r="B301" s="172" t="s">
        <v>39</v>
      </c>
      <c r="C301" s="172" t="s">
        <v>80</v>
      </c>
      <c r="D301" s="172" t="s">
        <v>245</v>
      </c>
      <c r="E301" s="172"/>
      <c r="F301" s="172" t="s">
        <v>218</v>
      </c>
      <c r="G301" s="172">
        <v>9.29404638735564E-4</v>
      </c>
      <c r="H301" s="172">
        <v>25</v>
      </c>
      <c r="I301" s="172">
        <v>19.25</v>
      </c>
      <c r="J301" s="172">
        <v>-0.25</v>
      </c>
      <c r="K301" s="172">
        <v>18</v>
      </c>
    </row>
    <row r="302" spans="2:11" x14ac:dyDescent="0.3">
      <c r="B302" s="172" t="s">
        <v>39</v>
      </c>
      <c r="C302" s="172" t="s">
        <v>81</v>
      </c>
      <c r="D302" s="172" t="s">
        <v>245</v>
      </c>
      <c r="E302" s="172"/>
      <c r="F302" s="172" t="s">
        <v>221</v>
      </c>
      <c r="G302" s="172">
        <v>9.2208196844199202E-4</v>
      </c>
      <c r="H302" s="172">
        <v>19</v>
      </c>
      <c r="I302" s="172">
        <v>19.25</v>
      </c>
      <c r="J302" s="172">
        <v>19.25</v>
      </c>
      <c r="K302" s="172">
        <v>18</v>
      </c>
    </row>
    <row r="303" spans="2:11" x14ac:dyDescent="0.3">
      <c r="B303" s="172" t="s">
        <v>39</v>
      </c>
      <c r="C303" s="172" t="s">
        <v>82</v>
      </c>
      <c r="D303" s="172" t="s">
        <v>245</v>
      </c>
      <c r="E303" s="172"/>
      <c r="F303" s="172" t="s">
        <v>221</v>
      </c>
      <c r="G303" s="172">
        <v>1.08455544622362E-3</v>
      </c>
      <c r="H303" s="172">
        <v>39</v>
      </c>
      <c r="I303" s="172">
        <v>0</v>
      </c>
      <c r="J303" s="172">
        <v>19</v>
      </c>
      <c r="K303" s="172">
        <v>18</v>
      </c>
    </row>
    <row r="304" spans="2:11" x14ac:dyDescent="0.3">
      <c r="B304" s="172" t="s">
        <v>39</v>
      </c>
      <c r="C304" s="172" t="s">
        <v>246</v>
      </c>
      <c r="D304" s="172" t="s">
        <v>245</v>
      </c>
      <c r="E304" s="172"/>
      <c r="F304" s="172" t="s">
        <v>218</v>
      </c>
      <c r="G304" s="172">
        <v>7.3338255600570096E-5</v>
      </c>
      <c r="H304" s="172">
        <v>19</v>
      </c>
      <c r="I304" s="172">
        <v>19.25</v>
      </c>
      <c r="J304" s="172">
        <v>19.25</v>
      </c>
      <c r="K304" s="172">
        <v>18</v>
      </c>
    </row>
    <row r="305" spans="2:11" x14ac:dyDescent="0.3">
      <c r="B305" s="172" t="s">
        <v>26</v>
      </c>
      <c r="C305" s="172" t="s">
        <v>79</v>
      </c>
      <c r="D305" s="172" t="s">
        <v>245</v>
      </c>
      <c r="E305" s="172"/>
      <c r="F305" s="172" t="s">
        <v>218</v>
      </c>
      <c r="G305" s="172">
        <v>9.8146074069906499E-4</v>
      </c>
      <c r="H305" s="172">
        <v>19</v>
      </c>
      <c r="I305" s="172">
        <v>19.25</v>
      </c>
      <c r="J305" s="172">
        <v>19.25</v>
      </c>
      <c r="K305" s="172">
        <v>14.5</v>
      </c>
    </row>
    <row r="306" spans="2:11" x14ac:dyDescent="0.3">
      <c r="B306" s="172" t="s">
        <v>26</v>
      </c>
      <c r="C306" s="172" t="s">
        <v>80</v>
      </c>
      <c r="D306" s="172" t="s">
        <v>245</v>
      </c>
      <c r="E306" s="172"/>
      <c r="F306" s="172" t="s">
        <v>218</v>
      </c>
      <c r="G306" s="172">
        <v>1.00097226097355E-3</v>
      </c>
      <c r="H306" s="172">
        <v>25</v>
      </c>
      <c r="I306" s="172">
        <v>19.25</v>
      </c>
      <c r="J306" s="172">
        <v>-0.25</v>
      </c>
      <c r="K306" s="172">
        <v>14.5</v>
      </c>
    </row>
    <row r="307" spans="2:11" x14ac:dyDescent="0.3">
      <c r="B307" s="172" t="s">
        <v>26</v>
      </c>
      <c r="C307" s="172" t="s">
        <v>81</v>
      </c>
      <c r="D307" s="172" t="s">
        <v>245</v>
      </c>
      <c r="E307" s="172"/>
      <c r="F307" s="172" t="s">
        <v>221</v>
      </c>
      <c r="G307" s="172">
        <v>9.967968602203111E-4</v>
      </c>
      <c r="H307" s="172">
        <v>19</v>
      </c>
      <c r="I307" s="172">
        <v>19.25</v>
      </c>
      <c r="J307" s="172">
        <v>19.25</v>
      </c>
      <c r="K307" s="172">
        <v>14.5</v>
      </c>
    </row>
    <row r="308" spans="2:11" x14ac:dyDescent="0.3">
      <c r="B308" s="172" t="s">
        <v>26</v>
      </c>
      <c r="C308" s="172" t="s">
        <v>82</v>
      </c>
      <c r="D308" s="172" t="s">
        <v>245</v>
      </c>
      <c r="E308" s="172"/>
      <c r="F308" s="172" t="s">
        <v>221</v>
      </c>
      <c r="G308" s="172">
        <v>1.1775819517642499E-3</v>
      </c>
      <c r="H308" s="172">
        <v>39</v>
      </c>
      <c r="I308" s="172">
        <v>0</v>
      </c>
      <c r="J308" s="172">
        <v>19</v>
      </c>
      <c r="K308" s="172">
        <v>14.5</v>
      </c>
    </row>
    <row r="309" spans="2:11" x14ac:dyDescent="0.3">
      <c r="B309" s="172" t="s">
        <v>26</v>
      </c>
      <c r="C309" s="172" t="s">
        <v>246</v>
      </c>
      <c r="D309" s="172" t="s">
        <v>245</v>
      </c>
      <c r="E309" s="172"/>
      <c r="F309" s="172" t="s">
        <v>218</v>
      </c>
      <c r="G309" s="172">
        <v>6.1542094671761493E-5</v>
      </c>
      <c r="H309" s="172">
        <v>19</v>
      </c>
      <c r="I309" s="172">
        <v>19.25</v>
      </c>
      <c r="J309" s="172">
        <v>19.25</v>
      </c>
      <c r="K309" s="172">
        <v>14.5</v>
      </c>
    </row>
    <row r="310" spans="2:11" x14ac:dyDescent="0.3">
      <c r="B310" s="172" t="s">
        <v>25</v>
      </c>
      <c r="C310" s="172" t="s">
        <v>79</v>
      </c>
      <c r="D310" s="172" t="s">
        <v>245</v>
      </c>
      <c r="E310" s="172"/>
      <c r="F310" s="172" t="s">
        <v>218</v>
      </c>
      <c r="G310" s="172">
        <v>1.0297957320403799E-3</v>
      </c>
      <c r="H310" s="172">
        <v>19</v>
      </c>
      <c r="I310" s="172">
        <v>19.25</v>
      </c>
      <c r="J310" s="172">
        <v>19.25</v>
      </c>
      <c r="K310" s="172">
        <v>11</v>
      </c>
    </row>
    <row r="311" spans="2:11" x14ac:dyDescent="0.3">
      <c r="B311" s="172" t="s">
        <v>25</v>
      </c>
      <c r="C311" s="172" t="s">
        <v>80</v>
      </c>
      <c r="D311" s="172" t="s">
        <v>245</v>
      </c>
      <c r="E311" s="172"/>
      <c r="F311" s="172" t="s">
        <v>218</v>
      </c>
      <c r="G311" s="172">
        <v>1.0514716367962E-3</v>
      </c>
      <c r="H311" s="172">
        <v>25</v>
      </c>
      <c r="I311" s="172">
        <v>19.25</v>
      </c>
      <c r="J311" s="172">
        <v>-0.25</v>
      </c>
      <c r="K311" s="172">
        <v>11</v>
      </c>
    </row>
    <row r="312" spans="2:11" x14ac:dyDescent="0.3">
      <c r="B312" s="172" t="s">
        <v>25</v>
      </c>
      <c r="C312" s="172" t="s">
        <v>81</v>
      </c>
      <c r="D312" s="172" t="s">
        <v>245</v>
      </c>
      <c r="E312" s="172"/>
      <c r="F312" s="172" t="s">
        <v>221</v>
      </c>
      <c r="G312" s="172">
        <v>1.0497736291159401E-3</v>
      </c>
      <c r="H312" s="172">
        <v>25</v>
      </c>
      <c r="I312" s="172">
        <v>19.25</v>
      </c>
      <c r="J312" s="172">
        <v>-0.25</v>
      </c>
      <c r="K312" s="172">
        <v>11</v>
      </c>
    </row>
    <row r="313" spans="2:11" x14ac:dyDescent="0.3">
      <c r="B313" s="172" t="s">
        <v>25</v>
      </c>
      <c r="C313" s="172" t="s">
        <v>82</v>
      </c>
      <c r="D313" s="172" t="s">
        <v>245</v>
      </c>
      <c r="E313" s="172"/>
      <c r="F313" s="172" t="s">
        <v>221</v>
      </c>
      <c r="G313" s="172">
        <v>1.24442624143933E-3</v>
      </c>
      <c r="H313" s="172">
        <v>39</v>
      </c>
      <c r="I313" s="172">
        <v>0</v>
      </c>
      <c r="J313" s="172">
        <v>19</v>
      </c>
      <c r="K313" s="172">
        <v>11</v>
      </c>
    </row>
    <row r="314" spans="2:11" x14ac:dyDescent="0.3">
      <c r="B314" s="172" t="s">
        <v>25</v>
      </c>
      <c r="C314" s="172" t="s">
        <v>246</v>
      </c>
      <c r="D314" s="172" t="s">
        <v>245</v>
      </c>
      <c r="E314" s="172"/>
      <c r="F314" s="172" t="s">
        <v>218</v>
      </c>
      <c r="G314" s="172">
        <v>4.7646602924201902E-5</v>
      </c>
      <c r="H314" s="172">
        <v>19</v>
      </c>
      <c r="I314" s="172">
        <v>19.25</v>
      </c>
      <c r="J314" s="172">
        <v>19.25</v>
      </c>
      <c r="K314" s="172">
        <v>11</v>
      </c>
    </row>
    <row r="315" spans="2:11" x14ac:dyDescent="0.3">
      <c r="B315" s="172" t="s">
        <v>24</v>
      </c>
      <c r="C315" s="172" t="s">
        <v>79</v>
      </c>
      <c r="D315" s="172" t="s">
        <v>245</v>
      </c>
      <c r="E315" s="172"/>
      <c r="F315" s="172" t="s">
        <v>218</v>
      </c>
      <c r="G315" s="172">
        <v>1.0388753774048601E-3</v>
      </c>
      <c r="H315" s="172">
        <v>19</v>
      </c>
      <c r="I315" s="172">
        <v>19.25</v>
      </c>
      <c r="J315" s="172">
        <v>19.25</v>
      </c>
      <c r="K315" s="172">
        <v>7.5</v>
      </c>
    </row>
    <row r="316" spans="2:11" x14ac:dyDescent="0.3">
      <c r="B316" s="172" t="s">
        <v>24</v>
      </c>
      <c r="C316" s="172" t="s">
        <v>80</v>
      </c>
      <c r="D316" s="172" t="s">
        <v>245</v>
      </c>
      <c r="E316" s="172"/>
      <c r="F316" s="172" t="s">
        <v>218</v>
      </c>
      <c r="G316" s="172">
        <v>1.06223922740746E-3</v>
      </c>
      <c r="H316" s="172">
        <v>25</v>
      </c>
      <c r="I316" s="172">
        <v>19.25</v>
      </c>
      <c r="J316" s="172">
        <v>-0.25</v>
      </c>
      <c r="K316" s="172">
        <v>7.5</v>
      </c>
    </row>
    <row r="317" spans="2:11" x14ac:dyDescent="0.3">
      <c r="B317" s="172" t="s">
        <v>24</v>
      </c>
      <c r="C317" s="172" t="s">
        <v>81</v>
      </c>
      <c r="D317" s="172" t="s">
        <v>245</v>
      </c>
      <c r="E317" s="172"/>
      <c r="F317" s="172" t="s">
        <v>221</v>
      </c>
      <c r="G317" s="172">
        <v>1.0611000306639999E-3</v>
      </c>
      <c r="H317" s="172">
        <v>19</v>
      </c>
      <c r="I317" s="172">
        <v>19.25</v>
      </c>
      <c r="J317" s="172">
        <v>19.25</v>
      </c>
      <c r="K317" s="172">
        <v>7.5</v>
      </c>
    </row>
    <row r="318" spans="2:11" x14ac:dyDescent="0.3">
      <c r="B318" s="172" t="s">
        <v>24</v>
      </c>
      <c r="C318" s="172" t="s">
        <v>82</v>
      </c>
      <c r="D318" s="172" t="s">
        <v>245</v>
      </c>
      <c r="E318" s="172"/>
      <c r="F318" s="172" t="s">
        <v>221</v>
      </c>
      <c r="G318" s="172">
        <v>1.25140490763062E-3</v>
      </c>
      <c r="H318" s="172">
        <v>39</v>
      </c>
      <c r="I318" s="172">
        <v>0</v>
      </c>
      <c r="J318" s="172">
        <v>19</v>
      </c>
      <c r="K318" s="172">
        <v>7.5</v>
      </c>
    </row>
    <row r="319" spans="2:11" x14ac:dyDescent="0.3">
      <c r="B319" s="172" t="s">
        <v>24</v>
      </c>
      <c r="C319" s="172" t="s">
        <v>246</v>
      </c>
      <c r="D319" s="172" t="s">
        <v>245</v>
      </c>
      <c r="E319" s="172"/>
      <c r="F319" s="172" t="s">
        <v>218</v>
      </c>
      <c r="G319" s="172">
        <v>3.0051247783483999E-5</v>
      </c>
      <c r="H319" s="172">
        <v>19</v>
      </c>
      <c r="I319" s="172">
        <v>19.25</v>
      </c>
      <c r="J319" s="172">
        <v>19.25</v>
      </c>
      <c r="K319" s="172">
        <v>7.5</v>
      </c>
    </row>
    <row r="320" spans="2:11" x14ac:dyDescent="0.3">
      <c r="B320" s="172" t="s">
        <v>22</v>
      </c>
      <c r="C320" s="172" t="s">
        <v>79</v>
      </c>
      <c r="D320" s="172" t="s">
        <v>245</v>
      </c>
      <c r="E320" s="172"/>
      <c r="F320" s="172" t="s">
        <v>218</v>
      </c>
      <c r="G320" s="172">
        <v>7.8320825249177301E-4</v>
      </c>
      <c r="H320" s="172">
        <v>14</v>
      </c>
      <c r="I320" s="172">
        <v>19</v>
      </c>
      <c r="J320" s="172">
        <v>19</v>
      </c>
      <c r="K320" s="172">
        <v>4</v>
      </c>
    </row>
    <row r="321" spans="2:11" x14ac:dyDescent="0.3">
      <c r="B321" s="172" t="s">
        <v>22</v>
      </c>
      <c r="C321" s="172" t="s">
        <v>80</v>
      </c>
      <c r="D321" s="172" t="s">
        <v>245</v>
      </c>
      <c r="E321" s="172"/>
      <c r="F321" s="172" t="s">
        <v>218</v>
      </c>
      <c r="G321" s="172">
        <v>8.0218836095594201E-4</v>
      </c>
      <c r="H321" s="172">
        <v>48</v>
      </c>
      <c r="I321" s="172">
        <v>19</v>
      </c>
      <c r="J321" s="172">
        <v>0</v>
      </c>
      <c r="K321" s="172">
        <v>4</v>
      </c>
    </row>
    <row r="322" spans="2:11" x14ac:dyDescent="0.3">
      <c r="B322" s="172" t="s">
        <v>22</v>
      </c>
      <c r="C322" s="172" t="s">
        <v>81</v>
      </c>
      <c r="D322" s="172" t="s">
        <v>245</v>
      </c>
      <c r="E322" s="172"/>
      <c r="F322" s="172" t="s">
        <v>221</v>
      </c>
      <c r="G322" s="172">
        <v>7.9635278018844798E-4</v>
      </c>
      <c r="H322" s="172">
        <v>50</v>
      </c>
      <c r="I322" s="172">
        <v>19</v>
      </c>
      <c r="J322" s="172">
        <v>11</v>
      </c>
      <c r="K322" s="172">
        <v>4</v>
      </c>
    </row>
    <row r="323" spans="2:11" x14ac:dyDescent="0.3">
      <c r="B323" s="172" t="s">
        <v>22</v>
      </c>
      <c r="C323" s="172" t="s">
        <v>82</v>
      </c>
      <c r="D323" s="172" t="s">
        <v>245</v>
      </c>
      <c r="E323" s="172"/>
      <c r="F323" s="172" t="s">
        <v>221</v>
      </c>
      <c r="G323" s="172">
        <v>8.9301018248103795E-4</v>
      </c>
      <c r="H323" s="172">
        <v>39</v>
      </c>
      <c r="I323" s="172">
        <v>0</v>
      </c>
      <c r="J323" s="172">
        <v>19</v>
      </c>
      <c r="K323" s="172">
        <v>4</v>
      </c>
    </row>
    <row r="324" spans="2:11" x14ac:dyDescent="0.3">
      <c r="B324" s="172" t="s">
        <v>22</v>
      </c>
      <c r="C324" s="172" t="s">
        <v>246</v>
      </c>
      <c r="D324" s="172" t="s">
        <v>245</v>
      </c>
      <c r="E324" s="172"/>
      <c r="F324" s="172" t="s">
        <v>218</v>
      </c>
      <c r="G324" s="172">
        <v>1.01302772694606E-5</v>
      </c>
      <c r="H324" s="172">
        <v>14</v>
      </c>
      <c r="I324" s="172">
        <v>19</v>
      </c>
      <c r="J324" s="172">
        <v>19</v>
      </c>
      <c r="K324" s="172">
        <v>4</v>
      </c>
    </row>
    <row r="325" spans="2:11" x14ac:dyDescent="0.3">
      <c r="B325" s="172" t="s">
        <v>22</v>
      </c>
      <c r="C325" s="172" t="s">
        <v>246</v>
      </c>
      <c r="D325" s="172" t="s">
        <v>245</v>
      </c>
      <c r="E325" s="172"/>
      <c r="F325" s="172" t="s">
        <v>221</v>
      </c>
      <c r="G325" s="172">
        <v>3.29321724056906E-6</v>
      </c>
      <c r="H325" s="172">
        <v>48</v>
      </c>
      <c r="I325" s="172">
        <v>19</v>
      </c>
      <c r="J325" s="172">
        <v>0</v>
      </c>
      <c r="K325" s="172">
        <v>4</v>
      </c>
    </row>
    <row r="326" spans="2:11" x14ac:dyDescent="0.3">
      <c r="B326" s="172"/>
      <c r="C326" s="172"/>
      <c r="D326" s="172"/>
      <c r="E326" s="172"/>
      <c r="F326" s="172"/>
      <c r="G326" s="172"/>
      <c r="H326" s="172"/>
      <c r="I326" s="172"/>
      <c r="J326" s="172"/>
      <c r="K326" s="172"/>
    </row>
    <row r="327" spans="2:11" x14ac:dyDescent="0.3">
      <c r="B327" s="172"/>
      <c r="C327" s="172"/>
      <c r="D327" s="172"/>
      <c r="E327" s="172"/>
      <c r="F327" s="172"/>
      <c r="G327" s="172"/>
      <c r="H327" s="172"/>
      <c r="I327" s="172"/>
      <c r="J327" s="172"/>
      <c r="K327" s="172"/>
    </row>
    <row r="328" spans="2:11" x14ac:dyDescent="0.3">
      <c r="B328" s="172"/>
      <c r="C328" s="172"/>
      <c r="D328" s="172"/>
      <c r="E328" s="172"/>
      <c r="F328" s="172"/>
      <c r="G328" s="172"/>
      <c r="H328" s="172"/>
      <c r="I328" s="172"/>
      <c r="J328" s="172"/>
      <c r="K328" s="172"/>
    </row>
    <row r="329" spans="2:11" x14ac:dyDescent="0.3">
      <c r="B329" s="172"/>
      <c r="C329" s="172"/>
      <c r="D329" s="172"/>
      <c r="E329" s="172"/>
      <c r="F329" s="172"/>
      <c r="G329" s="172"/>
      <c r="H329" s="172"/>
      <c r="I329" s="172"/>
      <c r="J329" s="172"/>
      <c r="K329" s="172"/>
    </row>
    <row r="330" spans="2:11" x14ac:dyDescent="0.3">
      <c r="B330" s="172"/>
      <c r="C330" s="172"/>
      <c r="D330" s="172"/>
      <c r="E330" s="172"/>
      <c r="F330" s="172"/>
      <c r="G330" s="172"/>
      <c r="H330" s="172"/>
      <c r="I330" s="172"/>
      <c r="J330" s="172"/>
      <c r="K330" s="172"/>
    </row>
    <row r="331" spans="2:11" x14ac:dyDescent="0.3">
      <c r="B331" s="172"/>
      <c r="C331" s="172"/>
      <c r="D331" s="172"/>
      <c r="E331" s="172"/>
      <c r="F331" s="172"/>
      <c r="G331" s="172"/>
      <c r="H331" s="172"/>
      <c r="I331" s="172"/>
      <c r="J331" s="172"/>
      <c r="K331" s="172"/>
    </row>
    <row r="332" spans="2:11" x14ac:dyDescent="0.3">
      <c r="B332" s="172"/>
      <c r="C332" s="172"/>
      <c r="D332" s="172"/>
      <c r="E332" s="172"/>
      <c r="F332" s="172"/>
      <c r="G332" s="172"/>
      <c r="H332" s="172"/>
      <c r="I332" s="172"/>
      <c r="J332" s="172"/>
      <c r="K332" s="172"/>
    </row>
    <row r="333" spans="2:11" x14ac:dyDescent="0.3">
      <c r="B333" s="172"/>
      <c r="C333" s="172"/>
      <c r="D333" s="172"/>
      <c r="E333" s="172"/>
      <c r="F333" s="172"/>
      <c r="G333" s="172"/>
      <c r="H333" s="172"/>
      <c r="I333" s="172"/>
      <c r="J333" s="172"/>
      <c r="K333" s="172"/>
    </row>
    <row r="334" spans="2:11" x14ac:dyDescent="0.3">
      <c r="B334" s="172"/>
      <c r="C334" s="172"/>
      <c r="D334" s="172"/>
      <c r="E334" s="172"/>
      <c r="F334" s="172"/>
      <c r="G334" s="172"/>
      <c r="H334" s="172"/>
      <c r="I334" s="172"/>
      <c r="J334" s="172"/>
      <c r="K334" s="172"/>
    </row>
    <row r="335" spans="2:11" x14ac:dyDescent="0.3">
      <c r="B335" s="172"/>
      <c r="C335" s="172"/>
      <c r="D335" s="172"/>
      <c r="E335" s="172"/>
      <c r="F335" s="172"/>
      <c r="G335" s="172"/>
      <c r="H335" s="172"/>
      <c r="I335" s="172"/>
      <c r="J335" s="172"/>
      <c r="K335" s="172"/>
    </row>
    <row r="336" spans="2:11" x14ac:dyDescent="0.3">
      <c r="B336" s="172"/>
      <c r="C336" s="172"/>
      <c r="D336" s="172"/>
      <c r="E336" s="172"/>
      <c r="F336" s="172"/>
      <c r="G336" s="172"/>
      <c r="H336" s="172"/>
      <c r="I336" s="172"/>
      <c r="J336" s="172"/>
      <c r="K336" s="172"/>
    </row>
    <row r="337" spans="2:11" x14ac:dyDescent="0.3">
      <c r="B337" s="172"/>
      <c r="C337" s="172"/>
      <c r="D337" s="172"/>
      <c r="E337" s="172"/>
      <c r="F337" s="172"/>
      <c r="G337" s="172"/>
      <c r="H337" s="172"/>
      <c r="I337" s="172"/>
      <c r="J337" s="172"/>
      <c r="K337" s="172"/>
    </row>
    <row r="338" spans="2:11" x14ac:dyDescent="0.3">
      <c r="B338" s="172"/>
      <c r="C338" s="172"/>
      <c r="D338" s="172"/>
      <c r="E338" s="172"/>
      <c r="F338" s="172"/>
      <c r="G338" s="172"/>
      <c r="H338" s="172"/>
      <c r="I338" s="172"/>
      <c r="J338" s="172"/>
      <c r="K338" s="172"/>
    </row>
    <row r="339" spans="2:11" s="172" customFormat="1" x14ac:dyDescent="0.3"/>
    <row r="340" spans="2:11" x14ac:dyDescent="0.3">
      <c r="B340" s="172"/>
      <c r="C340" s="172"/>
      <c r="D340" s="172"/>
      <c r="E340" s="172"/>
      <c r="F340" s="172"/>
      <c r="G340" s="172"/>
      <c r="H340" s="172"/>
      <c r="I340" s="172"/>
      <c r="J340" s="172"/>
      <c r="K340" s="172"/>
    </row>
    <row r="341" spans="2:11" x14ac:dyDescent="0.3">
      <c r="B341" s="172"/>
      <c r="C341" s="172"/>
      <c r="D341" s="172"/>
      <c r="E341" s="172"/>
      <c r="F341" s="172"/>
      <c r="G341" s="172"/>
      <c r="H341" s="172"/>
      <c r="I341" s="172"/>
      <c r="J341" s="172"/>
      <c r="K341" s="172"/>
    </row>
    <row r="342" spans="2:11" x14ac:dyDescent="0.3">
      <c r="B342" s="172"/>
      <c r="C342" s="172"/>
      <c r="D342" s="172"/>
      <c r="E342" s="172"/>
      <c r="F342" s="172"/>
      <c r="G342" s="172"/>
      <c r="H342" s="172"/>
      <c r="I342" s="172"/>
      <c r="J342" s="172"/>
      <c r="K342" s="172"/>
    </row>
    <row r="343" spans="2:11" s="172" customFormat="1" x14ac:dyDescent="0.3"/>
    <row r="344" spans="2:11" x14ac:dyDescent="0.3">
      <c r="B344" s="172"/>
      <c r="C344" s="172"/>
      <c r="D344" s="172"/>
      <c r="E344" s="172"/>
      <c r="F344" s="172"/>
      <c r="G344" s="172"/>
      <c r="H344" s="172"/>
      <c r="I344" s="172"/>
      <c r="J344" s="172"/>
      <c r="K344" s="172"/>
    </row>
    <row r="345" spans="2:11" x14ac:dyDescent="0.3">
      <c r="B345" s="172"/>
      <c r="C345" s="172"/>
      <c r="D345" s="172"/>
      <c r="E345" s="172"/>
      <c r="F345" s="172"/>
      <c r="G345" s="172"/>
      <c r="H345" s="172"/>
      <c r="I345" s="172"/>
      <c r="J345" s="172"/>
      <c r="K345" s="172"/>
    </row>
    <row r="346" spans="2:11" x14ac:dyDescent="0.3">
      <c r="B346" s="172"/>
      <c r="C346" s="172"/>
      <c r="D346" s="172"/>
      <c r="E346" s="172"/>
      <c r="F346" s="172"/>
      <c r="G346" s="172"/>
      <c r="H346" s="172"/>
      <c r="I346" s="172"/>
      <c r="J346" s="172"/>
      <c r="K346" s="172"/>
    </row>
    <row r="347" spans="2:11" s="172" customFormat="1" x14ac:dyDescent="0.3"/>
    <row r="348" spans="2:11" x14ac:dyDescent="0.3">
      <c r="B348" s="172"/>
      <c r="C348" s="172"/>
      <c r="D348" s="172"/>
      <c r="E348" s="172"/>
      <c r="F348" s="172"/>
      <c r="G348" s="172"/>
      <c r="H348" s="172"/>
      <c r="I348" s="172"/>
      <c r="J348" s="172"/>
      <c r="K348" s="172"/>
    </row>
    <row r="349" spans="2:11" x14ac:dyDescent="0.3">
      <c r="B349" s="172"/>
      <c r="C349" s="172"/>
      <c r="D349" s="172"/>
      <c r="E349" s="172"/>
      <c r="F349" s="172"/>
      <c r="G349" s="172"/>
      <c r="H349" s="172"/>
      <c r="I349" s="172"/>
      <c r="J349" s="172"/>
      <c r="K349" s="172"/>
    </row>
    <row r="350" spans="2:11" x14ac:dyDescent="0.3">
      <c r="B350" s="172"/>
      <c r="C350" s="172"/>
      <c r="D350" s="172"/>
      <c r="E350" s="172"/>
      <c r="F350" s="172"/>
      <c r="G350" s="172"/>
      <c r="H350" s="172"/>
      <c r="I350" s="172"/>
      <c r="J350" s="172"/>
      <c r="K350" s="172"/>
    </row>
    <row r="351" spans="2:11" s="172" customFormat="1" x14ac:dyDescent="0.3"/>
    <row r="352" spans="2:11" x14ac:dyDescent="0.3">
      <c r="B352" s="172"/>
      <c r="C352" s="172"/>
      <c r="D352" s="172"/>
      <c r="E352" s="172"/>
      <c r="F352" s="172"/>
      <c r="G352" s="172"/>
      <c r="H352" s="172"/>
      <c r="I352" s="172"/>
      <c r="J352" s="172"/>
      <c r="K352" s="172"/>
    </row>
    <row r="353" spans="2:11" x14ac:dyDescent="0.3">
      <c r="B353" s="172"/>
      <c r="C353" s="172"/>
      <c r="D353" s="172"/>
      <c r="E353" s="172"/>
      <c r="F353" s="172"/>
      <c r="G353" s="172"/>
      <c r="H353" s="172"/>
      <c r="I353" s="172"/>
      <c r="J353" s="172"/>
      <c r="K353" s="172"/>
    </row>
    <row r="354" spans="2:11" x14ac:dyDescent="0.3">
      <c r="B354" s="172"/>
      <c r="C354" s="172"/>
      <c r="D354" s="172"/>
      <c r="E354" s="172"/>
      <c r="F354" s="172"/>
      <c r="G354" s="172"/>
      <c r="H354" s="172"/>
      <c r="I354" s="172"/>
      <c r="J354" s="172"/>
      <c r="K354" s="172"/>
    </row>
    <row r="355" spans="2:11" s="172" customFormat="1" x14ac:dyDescent="0.3"/>
    <row r="356" spans="2:11" x14ac:dyDescent="0.3">
      <c r="B356" s="172"/>
      <c r="C356" s="172"/>
      <c r="D356" s="172"/>
      <c r="E356" s="172"/>
      <c r="F356" s="172"/>
      <c r="G356" s="172"/>
      <c r="H356" s="172"/>
      <c r="I356" s="172"/>
      <c r="J356" s="172"/>
      <c r="K356" s="172"/>
    </row>
    <row r="357" spans="2:11" x14ac:dyDescent="0.3">
      <c r="B357" s="172"/>
      <c r="C357" s="172"/>
      <c r="D357" s="172"/>
      <c r="E357" s="172"/>
      <c r="F357" s="172"/>
      <c r="G357" s="172"/>
      <c r="H357" s="172"/>
      <c r="I357" s="172"/>
      <c r="J357" s="172"/>
      <c r="K357" s="172"/>
    </row>
    <row r="358" spans="2:11" x14ac:dyDescent="0.3">
      <c r="B358" s="172"/>
      <c r="C358" s="172"/>
      <c r="D358" s="172"/>
      <c r="E358" s="172"/>
      <c r="F358" s="172"/>
      <c r="G358" s="172"/>
      <c r="H358" s="172"/>
      <c r="I358" s="172"/>
      <c r="J358" s="172"/>
      <c r="K358" s="172"/>
    </row>
    <row r="359" spans="2:11" s="172" customFormat="1" x14ac:dyDescent="0.3"/>
    <row r="360" spans="2:11" x14ac:dyDescent="0.3">
      <c r="B360" s="172"/>
      <c r="C360" s="172"/>
      <c r="D360" s="172"/>
      <c r="E360" s="172"/>
      <c r="F360" s="172"/>
      <c r="G360" s="172"/>
      <c r="H360" s="172"/>
      <c r="I360" s="172"/>
      <c r="J360" s="172"/>
      <c r="K360" s="172"/>
    </row>
    <row r="361" spans="2:11" x14ac:dyDescent="0.3">
      <c r="B361" s="172"/>
      <c r="C361" s="172"/>
      <c r="D361" s="172"/>
      <c r="E361" s="172"/>
      <c r="F361" s="172"/>
      <c r="G361" s="172"/>
      <c r="H361" s="172"/>
      <c r="I361" s="172"/>
      <c r="J361" s="172"/>
      <c r="K361" s="172"/>
    </row>
    <row r="362" spans="2:11" x14ac:dyDescent="0.3">
      <c r="B362" s="172"/>
      <c r="C362" s="172"/>
      <c r="D362" s="172"/>
      <c r="E362" s="172"/>
      <c r="F362" s="172"/>
      <c r="G362" s="172"/>
      <c r="H362" s="172"/>
      <c r="I362" s="172"/>
      <c r="J362" s="172"/>
      <c r="K362" s="172"/>
    </row>
    <row r="363" spans="2:11" x14ac:dyDescent="0.3">
      <c r="B363" s="172"/>
      <c r="C363" s="172"/>
      <c r="D363" s="172"/>
      <c r="E363" s="172"/>
      <c r="F363" s="172"/>
      <c r="G363" s="172"/>
      <c r="H363" s="172"/>
      <c r="I363" s="172"/>
      <c r="J363" s="172"/>
      <c r="K363" s="172"/>
    </row>
    <row r="364" spans="2:11" x14ac:dyDescent="0.3">
      <c r="B364" s="172"/>
      <c r="C364" s="172"/>
      <c r="D364" s="172"/>
      <c r="E364" s="172"/>
      <c r="F364" s="172"/>
      <c r="G364" s="172"/>
      <c r="H364" s="172"/>
      <c r="I364" s="172"/>
      <c r="J364" s="172"/>
      <c r="K364" s="172"/>
    </row>
    <row r="365" spans="2:11" x14ac:dyDescent="0.3">
      <c r="B365" s="172"/>
      <c r="C365" s="172"/>
      <c r="D365" s="172"/>
      <c r="E365" s="172"/>
      <c r="F365" s="172"/>
      <c r="G365" s="172"/>
      <c r="H365" s="172"/>
      <c r="I365" s="172"/>
      <c r="J365" s="172"/>
      <c r="K365" s="172"/>
    </row>
    <row r="366" spans="2:11" x14ac:dyDescent="0.3">
      <c r="B366" s="172"/>
      <c r="C366" s="172"/>
      <c r="D366" s="172"/>
      <c r="E366" s="172"/>
      <c r="F366" s="172"/>
      <c r="G366" s="172"/>
      <c r="H366" s="172"/>
      <c r="I366" s="172"/>
      <c r="J366" s="172"/>
      <c r="K366" s="172"/>
    </row>
    <row r="367" spans="2:11" x14ac:dyDescent="0.3">
      <c r="B367" s="172"/>
      <c r="C367" s="172"/>
      <c r="D367" s="172"/>
      <c r="E367" s="172"/>
      <c r="F367" s="172"/>
      <c r="G367" s="172"/>
      <c r="H367" s="172"/>
      <c r="I367" s="172"/>
      <c r="J367" s="172"/>
      <c r="K367" s="172"/>
    </row>
    <row r="368" spans="2:11" x14ac:dyDescent="0.3">
      <c r="B368" s="172"/>
      <c r="C368" s="172"/>
      <c r="D368" s="172"/>
      <c r="E368" s="172"/>
      <c r="F368" s="172"/>
      <c r="G368" s="172"/>
      <c r="H368" s="172"/>
      <c r="I368" s="172"/>
      <c r="J368" s="172"/>
      <c r="K368" s="172"/>
    </row>
    <row r="369" spans="2:11" x14ac:dyDescent="0.3">
      <c r="B369" s="172"/>
      <c r="C369" s="172"/>
      <c r="D369" s="172"/>
      <c r="E369" s="172"/>
      <c r="F369" s="172"/>
      <c r="G369" s="172"/>
      <c r="H369" s="172"/>
      <c r="I369" s="172"/>
      <c r="J369" s="172"/>
      <c r="K369" s="172"/>
    </row>
    <row r="370" spans="2:11" x14ac:dyDescent="0.3">
      <c r="B370" s="172"/>
      <c r="C370" s="172"/>
      <c r="D370" s="172"/>
      <c r="E370" s="172"/>
      <c r="F370" s="172"/>
      <c r="G370" s="172"/>
      <c r="H370" s="172"/>
      <c r="I370" s="172"/>
      <c r="J370" s="172"/>
      <c r="K370" s="172"/>
    </row>
    <row r="371" spans="2:11" x14ac:dyDescent="0.3">
      <c r="B371" s="172"/>
      <c r="C371" s="172"/>
      <c r="D371" s="172"/>
      <c r="E371" s="172"/>
      <c r="F371" s="172"/>
      <c r="G371" s="172"/>
      <c r="H371" s="172"/>
      <c r="I371" s="172"/>
      <c r="J371" s="172"/>
      <c r="K371" s="172"/>
    </row>
    <row r="372" spans="2:11" x14ac:dyDescent="0.3">
      <c r="B372" s="172"/>
      <c r="C372" s="172"/>
      <c r="D372" s="172"/>
      <c r="E372" s="172"/>
      <c r="F372" s="172"/>
      <c r="G372" s="172"/>
      <c r="H372" s="172"/>
      <c r="I372" s="172"/>
      <c r="J372" s="172"/>
      <c r="K372" s="172"/>
    </row>
    <row r="373" spans="2:11" x14ac:dyDescent="0.3">
      <c r="B373" s="172"/>
      <c r="C373" s="172"/>
      <c r="D373" s="172"/>
      <c r="E373" s="172"/>
      <c r="F373" s="172"/>
      <c r="G373" s="172"/>
      <c r="H373" s="172"/>
      <c r="I373" s="172"/>
      <c r="J373" s="172"/>
      <c r="K373" s="172"/>
    </row>
    <row r="374" spans="2:11" x14ac:dyDescent="0.3">
      <c r="B374" s="172"/>
      <c r="C374" s="172"/>
      <c r="D374" s="172"/>
      <c r="E374" s="172"/>
      <c r="F374" s="172"/>
      <c r="G374" s="172"/>
      <c r="H374" s="172"/>
      <c r="I374" s="172"/>
      <c r="J374" s="172"/>
      <c r="K374" s="172"/>
    </row>
    <row r="375" spans="2:11" x14ac:dyDescent="0.3">
      <c r="B375" s="172"/>
      <c r="C375" s="172"/>
      <c r="D375" s="172"/>
      <c r="E375" s="172"/>
      <c r="F375" s="172"/>
      <c r="G375" s="172"/>
      <c r="H375" s="172"/>
      <c r="I375" s="172"/>
      <c r="J375" s="172"/>
      <c r="K375" s="172"/>
    </row>
    <row r="376" spans="2:11" x14ac:dyDescent="0.3">
      <c r="B376" s="172"/>
      <c r="C376" s="172"/>
      <c r="D376" s="172"/>
      <c r="E376" s="172"/>
      <c r="F376" s="172"/>
      <c r="G376" s="172"/>
      <c r="H376" s="172"/>
      <c r="I376" s="172"/>
      <c r="J376" s="172"/>
      <c r="K376" s="172"/>
    </row>
    <row r="377" spans="2:11" x14ac:dyDescent="0.3">
      <c r="B377" s="172"/>
      <c r="C377" s="172"/>
      <c r="D377" s="172"/>
      <c r="E377" s="172"/>
      <c r="F377" s="172"/>
      <c r="G377" s="172"/>
      <c r="H377" s="172"/>
      <c r="I377" s="172"/>
      <c r="J377" s="172"/>
      <c r="K377" s="172"/>
    </row>
    <row r="378" spans="2:11" x14ac:dyDescent="0.3">
      <c r="B378" s="172"/>
      <c r="C378" s="172"/>
      <c r="D378" s="172"/>
      <c r="E378" s="172"/>
      <c r="F378" s="172"/>
      <c r="G378" s="172"/>
      <c r="H378" s="172"/>
      <c r="I378" s="172"/>
      <c r="J378" s="172"/>
      <c r="K378" s="172"/>
    </row>
    <row r="379" spans="2:11" x14ac:dyDescent="0.3">
      <c r="B379" s="172"/>
      <c r="C379" s="172"/>
      <c r="D379" s="172"/>
      <c r="E379" s="172"/>
      <c r="F379" s="172"/>
      <c r="G379" s="172"/>
      <c r="H379" s="172"/>
      <c r="I379" s="172"/>
      <c r="J379" s="172"/>
      <c r="K379" s="172"/>
    </row>
    <row r="380" spans="2:11" x14ac:dyDescent="0.3">
      <c r="B380" s="172"/>
      <c r="C380" s="172"/>
      <c r="D380" s="172"/>
      <c r="E380" s="172"/>
      <c r="F380" s="172"/>
      <c r="G380" s="172"/>
      <c r="H380" s="172"/>
      <c r="I380" s="172"/>
      <c r="J380" s="172"/>
      <c r="K380" s="172"/>
    </row>
    <row r="381" spans="2:11" x14ac:dyDescent="0.3">
      <c r="B381" s="172"/>
      <c r="C381" s="172"/>
      <c r="D381" s="172"/>
      <c r="E381" s="172"/>
      <c r="F381" s="172"/>
      <c r="G381" s="172"/>
      <c r="H381" s="172"/>
      <c r="I381" s="172"/>
      <c r="J381" s="172"/>
      <c r="K381" s="172"/>
    </row>
    <row r="382" spans="2:11" x14ac:dyDescent="0.3">
      <c r="B382" s="172"/>
      <c r="C382" s="172"/>
      <c r="D382" s="172"/>
      <c r="E382" s="172"/>
      <c r="F382" s="172"/>
      <c r="G382" s="172"/>
      <c r="H382" s="172"/>
      <c r="I382" s="172"/>
      <c r="J382" s="172"/>
      <c r="K382" s="172"/>
    </row>
    <row r="383" spans="2:11" x14ac:dyDescent="0.3">
      <c r="B383" s="172"/>
      <c r="C383" s="172"/>
      <c r="D383" s="172"/>
      <c r="E383" s="172"/>
      <c r="F383" s="172"/>
      <c r="G383" s="172"/>
      <c r="H383" s="172"/>
      <c r="I383" s="172"/>
      <c r="J383" s="172"/>
      <c r="K383" s="172"/>
    </row>
    <row r="384" spans="2:11" x14ac:dyDescent="0.3">
      <c r="B384" s="172"/>
      <c r="C384" s="172"/>
      <c r="D384" s="172"/>
      <c r="E384" s="172"/>
      <c r="F384" s="172"/>
      <c r="G384" s="172"/>
      <c r="H384" s="172"/>
      <c r="I384" s="172"/>
      <c r="J384" s="172"/>
      <c r="K384" s="172"/>
    </row>
    <row r="385" spans="2:11" x14ac:dyDescent="0.3">
      <c r="B385" s="172"/>
      <c r="C385" s="172"/>
      <c r="D385" s="172"/>
      <c r="E385" s="172"/>
      <c r="F385" s="172"/>
      <c r="G385" s="172"/>
      <c r="H385" s="172"/>
      <c r="I385" s="172"/>
      <c r="J385" s="172"/>
      <c r="K385" s="172"/>
    </row>
    <row r="386" spans="2:11" x14ac:dyDescent="0.3">
      <c r="B386" s="172"/>
      <c r="C386" s="172"/>
      <c r="D386" s="172"/>
      <c r="E386" s="172"/>
      <c r="F386" s="172"/>
      <c r="G386" s="172"/>
      <c r="H386" s="172"/>
      <c r="I386" s="172"/>
      <c r="J386" s="172"/>
      <c r="K386" s="172"/>
    </row>
    <row r="387" spans="2:11" x14ac:dyDescent="0.3">
      <c r="B387" s="172"/>
      <c r="C387" s="172"/>
      <c r="D387" s="172"/>
      <c r="E387" s="172"/>
      <c r="F387" s="172"/>
      <c r="G387" s="172"/>
      <c r="H387" s="172"/>
      <c r="I387" s="172"/>
      <c r="J387" s="172"/>
      <c r="K387" s="172"/>
    </row>
    <row r="388" spans="2:11" x14ac:dyDescent="0.3">
      <c r="B388" s="172"/>
      <c r="C388" s="172"/>
      <c r="D388" s="172"/>
      <c r="E388" s="172"/>
      <c r="F388" s="172"/>
      <c r="G388" s="172"/>
      <c r="H388" s="172"/>
      <c r="I388" s="172"/>
      <c r="J388" s="172"/>
      <c r="K388" s="172"/>
    </row>
    <row r="389" spans="2:11" x14ac:dyDescent="0.3">
      <c r="B389" s="172"/>
      <c r="C389" s="172"/>
      <c r="D389" s="172"/>
      <c r="E389" s="172"/>
      <c r="F389" s="172"/>
      <c r="G389" s="172"/>
      <c r="H389" s="172"/>
      <c r="I389" s="172"/>
      <c r="J389" s="172"/>
      <c r="K389" s="172"/>
    </row>
    <row r="390" spans="2:11" x14ac:dyDescent="0.3">
      <c r="B390" s="172"/>
      <c r="C390" s="172"/>
      <c r="D390" s="172"/>
      <c r="E390" s="172"/>
      <c r="F390" s="172"/>
      <c r="G390" s="172"/>
      <c r="H390" s="172"/>
      <c r="I390" s="172"/>
      <c r="J390" s="172"/>
      <c r="K390" s="172"/>
    </row>
    <row r="391" spans="2:11" x14ac:dyDescent="0.3">
      <c r="B391" s="172"/>
      <c r="C391" s="172"/>
      <c r="D391" s="172"/>
      <c r="E391" s="172"/>
      <c r="F391" s="172"/>
      <c r="G391" s="172"/>
      <c r="H391" s="172"/>
      <c r="I391" s="172"/>
      <c r="J391" s="172"/>
      <c r="K391" s="172"/>
    </row>
    <row r="392" spans="2:11" x14ac:dyDescent="0.3">
      <c r="B392" s="172"/>
      <c r="C392" s="172"/>
      <c r="D392" s="172"/>
      <c r="E392" s="172"/>
      <c r="F392" s="172"/>
      <c r="G392" s="172"/>
      <c r="H392" s="172"/>
      <c r="I392" s="172"/>
      <c r="J392" s="172"/>
      <c r="K392" s="172"/>
    </row>
    <row r="393" spans="2:11" x14ac:dyDescent="0.3">
      <c r="B393" s="172"/>
      <c r="C393" s="172"/>
      <c r="D393" s="172"/>
      <c r="E393" s="172"/>
      <c r="F393" s="172"/>
      <c r="G393" s="172"/>
      <c r="H393" s="172"/>
      <c r="I393" s="172"/>
      <c r="J393" s="172"/>
      <c r="K393" s="172"/>
    </row>
    <row r="395" spans="2:11" x14ac:dyDescent="0.3">
      <c r="B395" s="167" t="s">
        <v>251</v>
      </c>
      <c r="C395" s="168"/>
      <c r="D395" s="168"/>
      <c r="E395" s="168"/>
      <c r="F395" s="168"/>
      <c r="G395" s="168"/>
      <c r="H395" s="168"/>
      <c r="I395" s="168"/>
      <c r="J395" s="168"/>
      <c r="K395" s="168"/>
    </row>
    <row r="396" spans="2:11" x14ac:dyDescent="0.3">
      <c r="B396" s="169" t="s">
        <v>9</v>
      </c>
      <c r="C396" s="169" t="s">
        <v>46</v>
      </c>
      <c r="D396" s="169" t="s">
        <v>239</v>
      </c>
      <c r="E396" s="169" t="s">
        <v>244</v>
      </c>
      <c r="F396" s="169" t="s">
        <v>42</v>
      </c>
      <c r="G396" s="169" t="s">
        <v>252</v>
      </c>
      <c r="H396" s="169" t="s">
        <v>253</v>
      </c>
      <c r="I396" s="169" t="s">
        <v>218</v>
      </c>
      <c r="J396" s="169" t="s">
        <v>221</v>
      </c>
      <c r="K396" s="170" t="s">
        <v>206</v>
      </c>
    </row>
    <row r="397" spans="2:11" x14ac:dyDescent="0.3">
      <c r="B397" s="173"/>
      <c r="C397" s="173"/>
      <c r="D397" s="173"/>
      <c r="E397" s="173"/>
      <c r="F397" s="173"/>
      <c r="G397" s="173"/>
      <c r="H397" s="173"/>
      <c r="I397" s="173" t="s">
        <v>7</v>
      </c>
      <c r="J397" s="173" t="s">
        <v>7</v>
      </c>
      <c r="K397" s="174" t="s">
        <v>7</v>
      </c>
    </row>
    <row r="398" spans="2:11" x14ac:dyDescent="0.3">
      <c r="B398" s="172" t="s">
        <v>189</v>
      </c>
      <c r="C398" s="172" t="s">
        <v>79</v>
      </c>
      <c r="D398" s="172" t="s">
        <v>245</v>
      </c>
      <c r="E398" s="172"/>
      <c r="F398" s="172" t="s">
        <v>218</v>
      </c>
      <c r="G398" s="172">
        <v>3.0144681736320498E-4</v>
      </c>
      <c r="H398" s="172">
        <v>50</v>
      </c>
      <c r="I398" s="172">
        <v>19</v>
      </c>
      <c r="J398" s="172">
        <v>11</v>
      </c>
      <c r="K398" s="172">
        <v>38.5</v>
      </c>
    </row>
    <row r="399" spans="2:11" x14ac:dyDescent="0.3">
      <c r="B399" s="172" t="s">
        <v>189</v>
      </c>
      <c r="C399" s="172" t="s">
        <v>80</v>
      </c>
      <c r="D399" s="172" t="s">
        <v>245</v>
      </c>
      <c r="E399" s="172"/>
      <c r="F399" s="172" t="s">
        <v>218</v>
      </c>
      <c r="G399" s="172">
        <v>2.9447092645812199E-4</v>
      </c>
      <c r="H399" s="172">
        <v>50</v>
      </c>
      <c r="I399" s="172">
        <v>19</v>
      </c>
      <c r="J399" s="172">
        <v>11</v>
      </c>
      <c r="K399" s="172">
        <v>38.5</v>
      </c>
    </row>
    <row r="400" spans="2:11" x14ac:dyDescent="0.3">
      <c r="B400" s="172" t="s">
        <v>189</v>
      </c>
      <c r="C400" s="172" t="s">
        <v>81</v>
      </c>
      <c r="D400" s="172" t="s">
        <v>245</v>
      </c>
      <c r="E400" s="172"/>
      <c r="F400" s="172" t="s">
        <v>221</v>
      </c>
      <c r="G400" s="172">
        <v>1.8039136706014E-4</v>
      </c>
      <c r="H400" s="172">
        <v>53</v>
      </c>
      <c r="I400" s="172">
        <v>15</v>
      </c>
      <c r="J400" s="172">
        <v>11</v>
      </c>
      <c r="K400" s="172">
        <v>38.5</v>
      </c>
    </row>
    <row r="401" spans="2:11" s="172" customFormat="1" x14ac:dyDescent="0.3">
      <c r="B401" s="172" t="s">
        <v>189</v>
      </c>
      <c r="C401" s="172" t="s">
        <v>82</v>
      </c>
      <c r="D401" s="172" t="s">
        <v>245</v>
      </c>
      <c r="F401" s="172" t="s">
        <v>221</v>
      </c>
      <c r="G401" s="172">
        <v>1.7820398662188401E-4</v>
      </c>
      <c r="H401" s="172">
        <v>53</v>
      </c>
      <c r="I401" s="172">
        <v>15</v>
      </c>
      <c r="J401" s="172">
        <v>11</v>
      </c>
      <c r="K401" s="172">
        <v>38.5</v>
      </c>
    </row>
    <row r="402" spans="2:11" x14ac:dyDescent="0.3">
      <c r="B402" s="172" t="s">
        <v>189</v>
      </c>
      <c r="C402" s="172" t="s">
        <v>246</v>
      </c>
      <c r="D402" s="172" t="s">
        <v>245</v>
      </c>
      <c r="E402" s="172"/>
      <c r="F402" s="172" t="s">
        <v>218</v>
      </c>
      <c r="G402" s="172">
        <v>3.0424373147531098E-4</v>
      </c>
      <c r="H402" s="172">
        <v>50</v>
      </c>
      <c r="I402" s="172">
        <v>19</v>
      </c>
      <c r="J402" s="172">
        <v>11</v>
      </c>
      <c r="K402" s="172">
        <v>38.5</v>
      </c>
    </row>
    <row r="403" spans="2:11" x14ac:dyDescent="0.3">
      <c r="B403" s="172" t="s">
        <v>189</v>
      </c>
      <c r="C403" s="172" t="s">
        <v>246</v>
      </c>
      <c r="D403" s="172" t="s">
        <v>245</v>
      </c>
      <c r="E403" s="172"/>
      <c r="F403" s="172" t="s">
        <v>221</v>
      </c>
      <c r="G403" s="172">
        <v>1.08157484004603E-4</v>
      </c>
      <c r="H403" s="172">
        <v>53</v>
      </c>
      <c r="I403" s="172">
        <v>15</v>
      </c>
      <c r="J403" s="172">
        <v>11</v>
      </c>
      <c r="K403" s="172">
        <v>38.5</v>
      </c>
    </row>
    <row r="404" spans="2:11" x14ac:dyDescent="0.3">
      <c r="B404" s="172" t="s">
        <v>187</v>
      </c>
      <c r="C404" s="172" t="s">
        <v>79</v>
      </c>
      <c r="D404" s="172" t="s">
        <v>245</v>
      </c>
      <c r="E404" s="172"/>
      <c r="F404" s="172" t="s">
        <v>218</v>
      </c>
      <c r="G404" s="172">
        <v>2.9249373518612401E-4</v>
      </c>
      <c r="H404" s="172">
        <v>19</v>
      </c>
      <c r="I404" s="172">
        <v>19.25</v>
      </c>
      <c r="J404" s="172">
        <v>19.25</v>
      </c>
      <c r="K404" s="172">
        <v>35.5</v>
      </c>
    </row>
    <row r="405" spans="2:11" x14ac:dyDescent="0.3">
      <c r="B405" s="172" t="s">
        <v>187</v>
      </c>
      <c r="C405" s="172" t="s">
        <v>80</v>
      </c>
      <c r="D405" s="172" t="s">
        <v>245</v>
      </c>
      <c r="E405" s="172"/>
      <c r="F405" s="172" t="s">
        <v>218</v>
      </c>
      <c r="G405" s="172">
        <v>2.9749006802677798E-4</v>
      </c>
      <c r="H405" s="172">
        <v>25</v>
      </c>
      <c r="I405" s="172">
        <v>19.25</v>
      </c>
      <c r="J405" s="172">
        <v>-0.25</v>
      </c>
      <c r="K405" s="172">
        <v>35.5</v>
      </c>
    </row>
    <row r="406" spans="2:11" x14ac:dyDescent="0.3">
      <c r="B406" s="172" t="s">
        <v>187</v>
      </c>
      <c r="C406" s="172" t="s">
        <v>81</v>
      </c>
      <c r="D406" s="172" t="s">
        <v>245</v>
      </c>
      <c r="E406" s="172"/>
      <c r="F406" s="172" t="s">
        <v>221</v>
      </c>
      <c r="G406" s="172">
        <v>2.7848394243230499E-4</v>
      </c>
      <c r="H406" s="172">
        <v>25</v>
      </c>
      <c r="I406" s="172">
        <v>19.25</v>
      </c>
      <c r="J406" s="172">
        <v>-0.25</v>
      </c>
      <c r="K406" s="172">
        <v>35.5</v>
      </c>
    </row>
    <row r="407" spans="2:11" x14ac:dyDescent="0.3">
      <c r="B407" s="172" t="s">
        <v>187</v>
      </c>
      <c r="C407" s="172" t="s">
        <v>82</v>
      </c>
      <c r="D407" s="172" t="s">
        <v>245</v>
      </c>
      <c r="E407" s="172"/>
      <c r="F407" s="172" t="s">
        <v>221</v>
      </c>
      <c r="G407" s="172">
        <v>3.0719000279818599E-4</v>
      </c>
      <c r="H407" s="172">
        <v>39</v>
      </c>
      <c r="I407" s="172">
        <v>0</v>
      </c>
      <c r="J407" s="172">
        <v>19</v>
      </c>
      <c r="K407" s="172">
        <v>35.5</v>
      </c>
    </row>
    <row r="408" spans="2:11" x14ac:dyDescent="0.3">
      <c r="B408" s="172" t="s">
        <v>187</v>
      </c>
      <c r="C408" s="172" t="s">
        <v>246</v>
      </c>
      <c r="D408" s="172" t="s">
        <v>245</v>
      </c>
      <c r="E408" s="172"/>
      <c r="F408" s="172" t="s">
        <v>218</v>
      </c>
      <c r="G408" s="172">
        <v>1.0080085981711099E-4</v>
      </c>
      <c r="H408" s="172">
        <v>19</v>
      </c>
      <c r="I408" s="172">
        <v>19.25</v>
      </c>
      <c r="J408" s="172">
        <v>19.25</v>
      </c>
      <c r="K408" s="172">
        <v>35.5</v>
      </c>
    </row>
    <row r="409" spans="2:11" x14ac:dyDescent="0.3">
      <c r="B409" s="172" t="s">
        <v>185</v>
      </c>
      <c r="C409" s="172" t="s">
        <v>79</v>
      </c>
      <c r="D409" s="172" t="s">
        <v>245</v>
      </c>
      <c r="E409" s="172"/>
      <c r="F409" s="172" t="s">
        <v>218</v>
      </c>
      <c r="G409" s="172">
        <v>4.50220913511842E-4</v>
      </c>
      <c r="H409" s="172">
        <v>19</v>
      </c>
      <c r="I409" s="172">
        <v>19.25</v>
      </c>
      <c r="J409" s="172">
        <v>19.25</v>
      </c>
      <c r="K409" s="172">
        <v>32</v>
      </c>
    </row>
    <row r="410" spans="2:11" x14ac:dyDescent="0.3">
      <c r="B410" s="172" t="s">
        <v>185</v>
      </c>
      <c r="C410" s="172" t="s">
        <v>80</v>
      </c>
      <c r="D410" s="172" t="s">
        <v>245</v>
      </c>
      <c r="E410" s="172"/>
      <c r="F410" s="172" t="s">
        <v>218</v>
      </c>
      <c r="G410" s="172">
        <v>4.5746820230585999E-4</v>
      </c>
      <c r="H410" s="172">
        <v>25</v>
      </c>
      <c r="I410" s="172">
        <v>19.25</v>
      </c>
      <c r="J410" s="172">
        <v>-0.25</v>
      </c>
      <c r="K410" s="172">
        <v>32</v>
      </c>
    </row>
    <row r="411" spans="2:11" x14ac:dyDescent="0.3">
      <c r="B411" s="172" t="s">
        <v>185</v>
      </c>
      <c r="C411" s="172" t="s">
        <v>81</v>
      </c>
      <c r="D411" s="172" t="s">
        <v>245</v>
      </c>
      <c r="E411" s="172"/>
      <c r="F411" s="172" t="s">
        <v>221</v>
      </c>
      <c r="G411" s="172">
        <v>4.4060552835116398E-4</v>
      </c>
      <c r="H411" s="172">
        <v>19</v>
      </c>
      <c r="I411" s="172">
        <v>19.25</v>
      </c>
      <c r="J411" s="172">
        <v>19.25</v>
      </c>
      <c r="K411" s="172">
        <v>32</v>
      </c>
    </row>
    <row r="412" spans="2:11" x14ac:dyDescent="0.3">
      <c r="B412" s="172" t="s">
        <v>185</v>
      </c>
      <c r="C412" s="172" t="s">
        <v>82</v>
      </c>
      <c r="D412" s="172" t="s">
        <v>245</v>
      </c>
      <c r="E412" s="172"/>
      <c r="F412" s="172" t="s">
        <v>221</v>
      </c>
      <c r="G412" s="172">
        <v>4.99304526518304E-4</v>
      </c>
      <c r="H412" s="172">
        <v>39</v>
      </c>
      <c r="I412" s="172">
        <v>0</v>
      </c>
      <c r="J412" s="172">
        <v>19</v>
      </c>
      <c r="K412" s="172">
        <v>32</v>
      </c>
    </row>
    <row r="413" spans="2:11" x14ac:dyDescent="0.3">
      <c r="B413" s="172" t="s">
        <v>185</v>
      </c>
      <c r="C413" s="172" t="s">
        <v>246</v>
      </c>
      <c r="D413" s="172" t="s">
        <v>245</v>
      </c>
      <c r="E413" s="172"/>
      <c r="F413" s="172" t="s">
        <v>218</v>
      </c>
      <c r="G413" s="172">
        <v>1.0064109165542E-4</v>
      </c>
      <c r="H413" s="172">
        <v>19</v>
      </c>
      <c r="I413" s="172">
        <v>19.25</v>
      </c>
      <c r="J413" s="172">
        <v>19.25</v>
      </c>
      <c r="K413" s="172">
        <v>32</v>
      </c>
    </row>
    <row r="414" spans="2:11" x14ac:dyDescent="0.3">
      <c r="B414" s="172" t="s">
        <v>185</v>
      </c>
      <c r="C414" s="172" t="s">
        <v>246</v>
      </c>
      <c r="D414" s="172" t="s">
        <v>245</v>
      </c>
      <c r="E414" s="172"/>
      <c r="F414" s="172" t="s">
        <v>221</v>
      </c>
      <c r="G414" s="172">
        <v>1.26732230832764E-5</v>
      </c>
      <c r="H414" s="172">
        <v>39</v>
      </c>
      <c r="I414" s="172">
        <v>0</v>
      </c>
      <c r="J414" s="172">
        <v>19</v>
      </c>
      <c r="K414" s="172">
        <v>32</v>
      </c>
    </row>
    <row r="415" spans="2:11" x14ac:dyDescent="0.3">
      <c r="B415" s="172" t="s">
        <v>183</v>
      </c>
      <c r="C415" s="172" t="s">
        <v>79</v>
      </c>
      <c r="D415" s="172" t="s">
        <v>245</v>
      </c>
      <c r="E415" s="172"/>
      <c r="F415" s="172" t="s">
        <v>218</v>
      </c>
      <c r="G415" s="172">
        <v>5.9659885939995305E-4</v>
      </c>
      <c r="H415" s="172">
        <v>19</v>
      </c>
      <c r="I415" s="172">
        <v>19.25</v>
      </c>
      <c r="J415" s="172">
        <v>19.25</v>
      </c>
      <c r="K415" s="172">
        <v>28.5</v>
      </c>
    </row>
    <row r="416" spans="2:11" x14ac:dyDescent="0.3">
      <c r="B416" s="172" t="s">
        <v>183</v>
      </c>
      <c r="C416" s="172" t="s">
        <v>80</v>
      </c>
      <c r="D416" s="172" t="s">
        <v>245</v>
      </c>
      <c r="E416" s="172"/>
      <c r="F416" s="172" t="s">
        <v>218</v>
      </c>
      <c r="G416" s="172">
        <v>6.0672140560491701E-4</v>
      </c>
      <c r="H416" s="172">
        <v>25</v>
      </c>
      <c r="I416" s="172">
        <v>19.25</v>
      </c>
      <c r="J416" s="172">
        <v>-0.25</v>
      </c>
      <c r="K416" s="172">
        <v>28.5</v>
      </c>
    </row>
    <row r="417" spans="2:11" x14ac:dyDescent="0.3">
      <c r="B417" s="172" t="s">
        <v>183</v>
      </c>
      <c r="C417" s="172" t="s">
        <v>81</v>
      </c>
      <c r="D417" s="172" t="s">
        <v>245</v>
      </c>
      <c r="E417" s="172"/>
      <c r="F417" s="172" t="s">
        <v>221</v>
      </c>
      <c r="G417" s="172">
        <v>5.9170066315128499E-4</v>
      </c>
      <c r="H417" s="172">
        <v>19</v>
      </c>
      <c r="I417" s="172">
        <v>19.25</v>
      </c>
      <c r="J417" s="172">
        <v>19.25</v>
      </c>
      <c r="K417" s="172">
        <v>28.5</v>
      </c>
    </row>
    <row r="418" spans="2:11" x14ac:dyDescent="0.3">
      <c r="B418" s="172" t="s">
        <v>183</v>
      </c>
      <c r="C418" s="172" t="s">
        <v>82</v>
      </c>
      <c r="D418" s="172" t="s">
        <v>245</v>
      </c>
      <c r="E418" s="172"/>
      <c r="F418" s="172" t="s">
        <v>221</v>
      </c>
      <c r="G418" s="172">
        <v>6.8201586770882201E-4</v>
      </c>
      <c r="H418" s="172">
        <v>39</v>
      </c>
      <c r="I418" s="172">
        <v>0</v>
      </c>
      <c r="J418" s="172">
        <v>19</v>
      </c>
      <c r="K418" s="172">
        <v>28.5</v>
      </c>
    </row>
    <row r="419" spans="2:11" x14ac:dyDescent="0.3">
      <c r="B419" s="172" t="s">
        <v>183</v>
      </c>
      <c r="C419" s="172" t="s">
        <v>246</v>
      </c>
      <c r="D419" s="172" t="s">
        <v>245</v>
      </c>
      <c r="E419" s="172"/>
      <c r="F419" s="172" t="s">
        <v>218</v>
      </c>
      <c r="G419" s="172">
        <v>9.6726906041801002E-5</v>
      </c>
      <c r="H419" s="172">
        <v>19</v>
      </c>
      <c r="I419" s="172">
        <v>19.25</v>
      </c>
      <c r="J419" s="172">
        <v>19.25</v>
      </c>
      <c r="K419" s="172">
        <v>28.5</v>
      </c>
    </row>
    <row r="420" spans="2:11" x14ac:dyDescent="0.3">
      <c r="B420" s="172" t="s">
        <v>183</v>
      </c>
      <c r="C420" s="172" t="s">
        <v>246</v>
      </c>
      <c r="D420" s="172" t="s">
        <v>245</v>
      </c>
      <c r="E420" s="172"/>
      <c r="F420" s="172" t="s">
        <v>221</v>
      </c>
      <c r="G420" s="172">
        <v>1.2079490888884301E-5</v>
      </c>
      <c r="H420" s="172">
        <v>39</v>
      </c>
      <c r="I420" s="172">
        <v>0</v>
      </c>
      <c r="J420" s="172">
        <v>19</v>
      </c>
      <c r="K420" s="172">
        <v>28.5</v>
      </c>
    </row>
    <row r="421" spans="2:11" x14ac:dyDescent="0.3">
      <c r="B421" s="172" t="s">
        <v>181</v>
      </c>
      <c r="C421" s="172" t="s">
        <v>79</v>
      </c>
      <c r="D421" s="172" t="s">
        <v>245</v>
      </c>
      <c r="E421" s="172"/>
      <c r="F421" s="172" t="s">
        <v>218</v>
      </c>
      <c r="G421" s="172">
        <v>7.2102989005886503E-4</v>
      </c>
      <c r="H421" s="172">
        <v>19</v>
      </c>
      <c r="I421" s="172">
        <v>19.25</v>
      </c>
      <c r="J421" s="172">
        <v>19.25</v>
      </c>
      <c r="K421" s="172">
        <v>25</v>
      </c>
    </row>
    <row r="422" spans="2:11" x14ac:dyDescent="0.3">
      <c r="B422" s="172" t="s">
        <v>181</v>
      </c>
      <c r="C422" s="172" t="s">
        <v>80</v>
      </c>
      <c r="D422" s="172" t="s">
        <v>245</v>
      </c>
      <c r="E422" s="172"/>
      <c r="F422" s="172" t="s">
        <v>218</v>
      </c>
      <c r="G422" s="172">
        <v>7.3371941011475897E-4</v>
      </c>
      <c r="H422" s="172">
        <v>25</v>
      </c>
      <c r="I422" s="172">
        <v>19.25</v>
      </c>
      <c r="J422" s="172">
        <v>-0.25</v>
      </c>
      <c r="K422" s="172">
        <v>25</v>
      </c>
    </row>
    <row r="423" spans="2:11" x14ac:dyDescent="0.3">
      <c r="B423" s="172" t="s">
        <v>181</v>
      </c>
      <c r="C423" s="172" t="s">
        <v>81</v>
      </c>
      <c r="D423" s="172" t="s">
        <v>245</v>
      </c>
      <c r="E423" s="172"/>
      <c r="F423" s="172" t="s">
        <v>221</v>
      </c>
      <c r="G423" s="172">
        <v>7.2098380872792395E-4</v>
      </c>
      <c r="H423" s="172">
        <v>25</v>
      </c>
      <c r="I423" s="172">
        <v>19.25</v>
      </c>
      <c r="J423" s="172">
        <v>-0.25</v>
      </c>
      <c r="K423" s="172">
        <v>25</v>
      </c>
    </row>
    <row r="424" spans="2:11" x14ac:dyDescent="0.3">
      <c r="B424" s="172" t="s">
        <v>181</v>
      </c>
      <c r="C424" s="172" t="s">
        <v>82</v>
      </c>
      <c r="D424" s="172" t="s">
        <v>245</v>
      </c>
      <c r="E424" s="172"/>
      <c r="F424" s="172" t="s">
        <v>221</v>
      </c>
      <c r="G424" s="172">
        <v>8.38834162047983E-4</v>
      </c>
      <c r="H424" s="172">
        <v>39</v>
      </c>
      <c r="I424" s="172">
        <v>0</v>
      </c>
      <c r="J424" s="172">
        <v>19</v>
      </c>
      <c r="K424" s="172">
        <v>25</v>
      </c>
    </row>
    <row r="425" spans="2:11" x14ac:dyDescent="0.3">
      <c r="B425" s="172" t="s">
        <v>181</v>
      </c>
      <c r="C425" s="172" t="s">
        <v>246</v>
      </c>
      <c r="D425" s="172" t="s">
        <v>245</v>
      </c>
      <c r="E425" s="172"/>
      <c r="F425" s="172" t="s">
        <v>218</v>
      </c>
      <c r="G425" s="172">
        <v>9.0864814143396406E-5</v>
      </c>
      <c r="H425" s="172">
        <v>19</v>
      </c>
      <c r="I425" s="172">
        <v>19.25</v>
      </c>
      <c r="J425" s="172">
        <v>19.25</v>
      </c>
      <c r="K425" s="172">
        <v>25</v>
      </c>
    </row>
    <row r="426" spans="2:11" x14ac:dyDescent="0.3">
      <c r="B426" s="172" t="s">
        <v>179</v>
      </c>
      <c r="C426" s="172" t="s">
        <v>79</v>
      </c>
      <c r="D426" s="172" t="s">
        <v>245</v>
      </c>
      <c r="E426" s="172"/>
      <c r="F426" s="172" t="s">
        <v>218</v>
      </c>
      <c r="G426" s="172">
        <v>8.2546314858286305E-4</v>
      </c>
      <c r="H426" s="172">
        <v>19</v>
      </c>
      <c r="I426" s="172">
        <v>19.25</v>
      </c>
      <c r="J426" s="172">
        <v>19.25</v>
      </c>
      <c r="K426" s="172">
        <v>21.5</v>
      </c>
    </row>
    <row r="427" spans="2:11" x14ac:dyDescent="0.3">
      <c r="B427" s="172" t="s">
        <v>179</v>
      </c>
      <c r="C427" s="172" t="s">
        <v>80</v>
      </c>
      <c r="D427" s="172" t="s">
        <v>245</v>
      </c>
      <c r="E427" s="172"/>
      <c r="F427" s="172" t="s">
        <v>218</v>
      </c>
      <c r="G427" s="172">
        <v>8.4050606679451001E-4</v>
      </c>
      <c r="H427" s="172">
        <v>25</v>
      </c>
      <c r="I427" s="172">
        <v>19.25</v>
      </c>
      <c r="J427" s="172">
        <v>-0.25</v>
      </c>
      <c r="K427" s="172">
        <v>21.5</v>
      </c>
    </row>
    <row r="428" spans="2:11" x14ac:dyDescent="0.3">
      <c r="B428" s="172" t="s">
        <v>179</v>
      </c>
      <c r="C428" s="172" t="s">
        <v>81</v>
      </c>
      <c r="D428" s="172" t="s">
        <v>245</v>
      </c>
      <c r="E428" s="172"/>
      <c r="F428" s="172" t="s">
        <v>221</v>
      </c>
      <c r="G428" s="172">
        <v>8.3028830634016297E-4</v>
      </c>
      <c r="H428" s="172">
        <v>19</v>
      </c>
      <c r="I428" s="172">
        <v>19.25</v>
      </c>
      <c r="J428" s="172">
        <v>19.25</v>
      </c>
      <c r="K428" s="172">
        <v>21.5</v>
      </c>
    </row>
    <row r="429" spans="2:11" x14ac:dyDescent="0.3">
      <c r="B429" s="172" t="s">
        <v>179</v>
      </c>
      <c r="C429" s="172" t="s">
        <v>82</v>
      </c>
      <c r="D429" s="172" t="s">
        <v>245</v>
      </c>
      <c r="E429" s="172"/>
      <c r="F429" s="172" t="s">
        <v>221</v>
      </c>
      <c r="G429" s="172">
        <v>9.7190837204621096E-4</v>
      </c>
      <c r="H429" s="172">
        <v>39</v>
      </c>
      <c r="I429" s="172">
        <v>0</v>
      </c>
      <c r="J429" s="172">
        <v>19</v>
      </c>
      <c r="K429" s="172">
        <v>21.5</v>
      </c>
    </row>
    <row r="430" spans="2:11" x14ac:dyDescent="0.3">
      <c r="B430" s="172" t="s">
        <v>179</v>
      </c>
      <c r="C430" s="172" t="s">
        <v>246</v>
      </c>
      <c r="D430" s="172" t="s">
        <v>245</v>
      </c>
      <c r="E430" s="172"/>
      <c r="F430" s="172" t="s">
        <v>218</v>
      </c>
      <c r="G430" s="172">
        <v>8.3070305346714794E-5</v>
      </c>
      <c r="H430" s="172">
        <v>19</v>
      </c>
      <c r="I430" s="172">
        <v>19.25</v>
      </c>
      <c r="J430" s="172">
        <v>19.25</v>
      </c>
      <c r="K430" s="172">
        <v>21.5</v>
      </c>
    </row>
    <row r="431" spans="2:11" x14ac:dyDescent="0.3">
      <c r="B431" s="172" t="s">
        <v>39</v>
      </c>
      <c r="C431" s="172" t="s">
        <v>79</v>
      </c>
      <c r="D431" s="172" t="s">
        <v>245</v>
      </c>
      <c r="E431" s="172"/>
      <c r="F431" s="172" t="s">
        <v>218</v>
      </c>
      <c r="G431" s="172">
        <v>9.1211469841823904E-4</v>
      </c>
      <c r="H431" s="172">
        <v>19</v>
      </c>
      <c r="I431" s="172">
        <v>19.25</v>
      </c>
      <c r="J431" s="172">
        <v>19.25</v>
      </c>
      <c r="K431" s="172">
        <v>18</v>
      </c>
    </row>
    <row r="432" spans="2:11" x14ac:dyDescent="0.3">
      <c r="B432" s="172" t="s">
        <v>39</v>
      </c>
      <c r="C432" s="172" t="s">
        <v>80</v>
      </c>
      <c r="D432" s="172" t="s">
        <v>245</v>
      </c>
      <c r="E432" s="172"/>
      <c r="F432" s="172" t="s">
        <v>218</v>
      </c>
      <c r="G432" s="172">
        <v>9.29404638735564E-4</v>
      </c>
      <c r="H432" s="172">
        <v>25</v>
      </c>
      <c r="I432" s="172">
        <v>19.25</v>
      </c>
      <c r="J432" s="172">
        <v>-0.25</v>
      </c>
      <c r="K432" s="172">
        <v>18</v>
      </c>
    </row>
    <row r="433" spans="2:11" x14ac:dyDescent="0.3">
      <c r="B433" s="172" t="s">
        <v>39</v>
      </c>
      <c r="C433" s="172" t="s">
        <v>81</v>
      </c>
      <c r="D433" s="172" t="s">
        <v>245</v>
      </c>
      <c r="E433" s="172"/>
      <c r="F433" s="172" t="s">
        <v>221</v>
      </c>
      <c r="G433" s="172">
        <v>9.2208196844199202E-4</v>
      </c>
      <c r="H433" s="172">
        <v>19</v>
      </c>
      <c r="I433" s="172">
        <v>19.25</v>
      </c>
      <c r="J433" s="172">
        <v>19.25</v>
      </c>
      <c r="K433" s="172">
        <v>18</v>
      </c>
    </row>
    <row r="434" spans="2:11" x14ac:dyDescent="0.3">
      <c r="B434" s="172" t="s">
        <v>39</v>
      </c>
      <c r="C434" s="172" t="s">
        <v>82</v>
      </c>
      <c r="D434" s="172" t="s">
        <v>245</v>
      </c>
      <c r="E434" s="172"/>
      <c r="F434" s="172" t="s">
        <v>221</v>
      </c>
      <c r="G434" s="172">
        <v>1.08455544622362E-3</v>
      </c>
      <c r="H434" s="172">
        <v>39</v>
      </c>
      <c r="I434" s="172">
        <v>0</v>
      </c>
      <c r="J434" s="172">
        <v>19</v>
      </c>
      <c r="K434" s="172">
        <v>18</v>
      </c>
    </row>
    <row r="435" spans="2:11" x14ac:dyDescent="0.3">
      <c r="B435" s="172" t="s">
        <v>39</v>
      </c>
      <c r="C435" s="172" t="s">
        <v>246</v>
      </c>
      <c r="D435" s="172" t="s">
        <v>245</v>
      </c>
      <c r="E435" s="172"/>
      <c r="F435" s="172" t="s">
        <v>218</v>
      </c>
      <c r="G435" s="172">
        <v>7.3338255600570096E-5</v>
      </c>
      <c r="H435" s="172">
        <v>19</v>
      </c>
      <c r="I435" s="172">
        <v>19.25</v>
      </c>
      <c r="J435" s="172">
        <v>19.25</v>
      </c>
      <c r="K435" s="172">
        <v>18</v>
      </c>
    </row>
    <row r="436" spans="2:11" x14ac:dyDescent="0.3">
      <c r="B436" s="172" t="s">
        <v>26</v>
      </c>
      <c r="C436" s="172" t="s">
        <v>79</v>
      </c>
      <c r="D436" s="172" t="s">
        <v>245</v>
      </c>
      <c r="E436" s="172"/>
      <c r="F436" s="172" t="s">
        <v>218</v>
      </c>
      <c r="G436" s="172">
        <v>9.8146074069906499E-4</v>
      </c>
      <c r="H436" s="172">
        <v>19</v>
      </c>
      <c r="I436" s="172">
        <v>19.25</v>
      </c>
      <c r="J436" s="172">
        <v>19.25</v>
      </c>
      <c r="K436" s="172">
        <v>14.5</v>
      </c>
    </row>
    <row r="437" spans="2:11" x14ac:dyDescent="0.3">
      <c r="B437" s="172" t="s">
        <v>26</v>
      </c>
      <c r="C437" s="172" t="s">
        <v>80</v>
      </c>
      <c r="D437" s="172" t="s">
        <v>245</v>
      </c>
      <c r="E437" s="172"/>
      <c r="F437" s="172" t="s">
        <v>218</v>
      </c>
      <c r="G437" s="172">
        <v>1.00097226097355E-3</v>
      </c>
      <c r="H437" s="172">
        <v>25</v>
      </c>
      <c r="I437" s="172">
        <v>19.25</v>
      </c>
      <c r="J437" s="172">
        <v>-0.25</v>
      </c>
      <c r="K437" s="172">
        <v>14.5</v>
      </c>
    </row>
    <row r="438" spans="2:11" x14ac:dyDescent="0.3">
      <c r="B438" s="172" t="s">
        <v>26</v>
      </c>
      <c r="C438" s="172" t="s">
        <v>81</v>
      </c>
      <c r="D438" s="172" t="s">
        <v>245</v>
      </c>
      <c r="E438" s="172"/>
      <c r="F438" s="172" t="s">
        <v>221</v>
      </c>
      <c r="G438" s="172">
        <v>9.967968602203111E-4</v>
      </c>
      <c r="H438" s="172">
        <v>19</v>
      </c>
      <c r="I438" s="172">
        <v>19.25</v>
      </c>
      <c r="J438" s="172">
        <v>19.25</v>
      </c>
      <c r="K438" s="172">
        <v>14.5</v>
      </c>
    </row>
    <row r="439" spans="2:11" x14ac:dyDescent="0.3">
      <c r="B439" s="172" t="s">
        <v>26</v>
      </c>
      <c r="C439" s="172" t="s">
        <v>82</v>
      </c>
      <c r="D439" s="172" t="s">
        <v>245</v>
      </c>
      <c r="E439" s="172"/>
      <c r="F439" s="172" t="s">
        <v>221</v>
      </c>
      <c r="G439" s="172">
        <v>1.1775819517642499E-3</v>
      </c>
      <c r="H439" s="172">
        <v>39</v>
      </c>
      <c r="I439" s="172">
        <v>0</v>
      </c>
      <c r="J439" s="172">
        <v>19</v>
      </c>
      <c r="K439" s="172">
        <v>14.5</v>
      </c>
    </row>
    <row r="440" spans="2:11" x14ac:dyDescent="0.3">
      <c r="B440" s="172" t="s">
        <v>26</v>
      </c>
      <c r="C440" s="172" t="s">
        <v>246</v>
      </c>
      <c r="D440" s="172" t="s">
        <v>245</v>
      </c>
      <c r="E440" s="172"/>
      <c r="F440" s="172" t="s">
        <v>218</v>
      </c>
      <c r="G440" s="172">
        <v>6.1542094671761493E-5</v>
      </c>
      <c r="H440" s="172">
        <v>19</v>
      </c>
      <c r="I440" s="172">
        <v>19.25</v>
      </c>
      <c r="J440" s="172">
        <v>19.25</v>
      </c>
      <c r="K440" s="172">
        <v>14.5</v>
      </c>
    </row>
    <row r="441" spans="2:11" x14ac:dyDescent="0.3">
      <c r="B441" s="172" t="s">
        <v>25</v>
      </c>
      <c r="C441" s="172" t="s">
        <v>79</v>
      </c>
      <c r="D441" s="172" t="s">
        <v>245</v>
      </c>
      <c r="E441" s="172"/>
      <c r="F441" s="172" t="s">
        <v>218</v>
      </c>
      <c r="G441" s="172">
        <v>1.0297957320403799E-3</v>
      </c>
      <c r="H441" s="172">
        <v>19</v>
      </c>
      <c r="I441" s="172">
        <v>19.25</v>
      </c>
      <c r="J441" s="172">
        <v>19.25</v>
      </c>
      <c r="K441" s="172">
        <v>11</v>
      </c>
    </row>
    <row r="442" spans="2:11" x14ac:dyDescent="0.3">
      <c r="B442" s="172" t="s">
        <v>25</v>
      </c>
      <c r="C442" s="172" t="s">
        <v>80</v>
      </c>
      <c r="D442" s="172" t="s">
        <v>245</v>
      </c>
      <c r="E442" s="172"/>
      <c r="F442" s="172" t="s">
        <v>218</v>
      </c>
      <c r="G442" s="172">
        <v>1.0514716367962E-3</v>
      </c>
      <c r="H442" s="172">
        <v>25</v>
      </c>
      <c r="I442" s="172">
        <v>19.25</v>
      </c>
      <c r="J442" s="172">
        <v>-0.25</v>
      </c>
      <c r="K442" s="172">
        <v>11</v>
      </c>
    </row>
    <row r="443" spans="2:11" x14ac:dyDescent="0.3">
      <c r="B443" s="172" t="s">
        <v>25</v>
      </c>
      <c r="C443" s="172" t="s">
        <v>81</v>
      </c>
      <c r="D443" s="172" t="s">
        <v>245</v>
      </c>
      <c r="E443" s="172"/>
      <c r="F443" s="172" t="s">
        <v>221</v>
      </c>
      <c r="G443" s="172">
        <v>1.0497736291159401E-3</v>
      </c>
      <c r="H443" s="172">
        <v>25</v>
      </c>
      <c r="I443" s="172">
        <v>19.25</v>
      </c>
      <c r="J443" s="172">
        <v>-0.25</v>
      </c>
      <c r="K443" s="172">
        <v>11</v>
      </c>
    </row>
    <row r="444" spans="2:11" x14ac:dyDescent="0.3">
      <c r="B444" s="172" t="s">
        <v>25</v>
      </c>
      <c r="C444" s="172" t="s">
        <v>82</v>
      </c>
      <c r="D444" s="172" t="s">
        <v>245</v>
      </c>
      <c r="E444" s="172"/>
      <c r="F444" s="172" t="s">
        <v>221</v>
      </c>
      <c r="G444" s="172">
        <v>1.24442624143933E-3</v>
      </c>
      <c r="H444" s="172">
        <v>39</v>
      </c>
      <c r="I444" s="172">
        <v>0</v>
      </c>
      <c r="J444" s="172">
        <v>19</v>
      </c>
      <c r="K444" s="172">
        <v>11</v>
      </c>
    </row>
    <row r="445" spans="2:11" x14ac:dyDescent="0.3">
      <c r="B445" s="172" t="s">
        <v>25</v>
      </c>
      <c r="C445" s="172" t="s">
        <v>246</v>
      </c>
      <c r="D445" s="172" t="s">
        <v>245</v>
      </c>
      <c r="E445" s="172"/>
      <c r="F445" s="172" t="s">
        <v>218</v>
      </c>
      <c r="G445" s="172">
        <v>4.7646602924201902E-5</v>
      </c>
      <c r="H445" s="172">
        <v>19</v>
      </c>
      <c r="I445" s="172">
        <v>19.25</v>
      </c>
      <c r="J445" s="172">
        <v>19.25</v>
      </c>
      <c r="K445" s="172">
        <v>11</v>
      </c>
    </row>
    <row r="446" spans="2:11" x14ac:dyDescent="0.3">
      <c r="B446" s="172" t="s">
        <v>24</v>
      </c>
      <c r="C446" s="172" t="s">
        <v>79</v>
      </c>
      <c r="D446" s="172" t="s">
        <v>245</v>
      </c>
      <c r="E446" s="172"/>
      <c r="F446" s="172" t="s">
        <v>218</v>
      </c>
      <c r="G446" s="172">
        <v>1.0388753774048601E-3</v>
      </c>
      <c r="H446" s="172">
        <v>19</v>
      </c>
      <c r="I446" s="172">
        <v>19.25</v>
      </c>
      <c r="J446" s="172">
        <v>19.25</v>
      </c>
      <c r="K446" s="172">
        <v>7.5</v>
      </c>
    </row>
    <row r="447" spans="2:11" x14ac:dyDescent="0.3">
      <c r="B447" s="172" t="s">
        <v>24</v>
      </c>
      <c r="C447" s="172" t="s">
        <v>80</v>
      </c>
      <c r="D447" s="172" t="s">
        <v>245</v>
      </c>
      <c r="E447" s="172"/>
      <c r="F447" s="172" t="s">
        <v>218</v>
      </c>
      <c r="G447" s="172">
        <v>1.06223922740746E-3</v>
      </c>
      <c r="H447" s="172">
        <v>25</v>
      </c>
      <c r="I447" s="172">
        <v>19.25</v>
      </c>
      <c r="J447" s="172">
        <v>-0.25</v>
      </c>
      <c r="K447" s="172">
        <v>7.5</v>
      </c>
    </row>
    <row r="448" spans="2:11" x14ac:dyDescent="0.3">
      <c r="B448" s="172" t="s">
        <v>24</v>
      </c>
      <c r="C448" s="172" t="s">
        <v>81</v>
      </c>
      <c r="D448" s="172" t="s">
        <v>245</v>
      </c>
      <c r="E448" s="172"/>
      <c r="F448" s="172" t="s">
        <v>221</v>
      </c>
      <c r="G448" s="172">
        <v>1.0611000306639999E-3</v>
      </c>
      <c r="H448" s="172">
        <v>19</v>
      </c>
      <c r="I448" s="172">
        <v>19.25</v>
      </c>
      <c r="J448" s="172">
        <v>19.25</v>
      </c>
      <c r="K448" s="172">
        <v>7.5</v>
      </c>
    </row>
    <row r="449" spans="2:11" x14ac:dyDescent="0.3">
      <c r="B449" s="172" t="s">
        <v>24</v>
      </c>
      <c r="C449" s="172" t="s">
        <v>82</v>
      </c>
      <c r="D449" s="172" t="s">
        <v>245</v>
      </c>
      <c r="E449" s="172"/>
      <c r="F449" s="172" t="s">
        <v>221</v>
      </c>
      <c r="G449" s="172">
        <v>1.25140490763062E-3</v>
      </c>
      <c r="H449" s="172">
        <v>39</v>
      </c>
      <c r="I449" s="172">
        <v>0</v>
      </c>
      <c r="J449" s="172">
        <v>19</v>
      </c>
      <c r="K449" s="172">
        <v>7.5</v>
      </c>
    </row>
    <row r="450" spans="2:11" x14ac:dyDescent="0.3">
      <c r="B450" s="172" t="s">
        <v>24</v>
      </c>
      <c r="C450" s="172" t="s">
        <v>246</v>
      </c>
      <c r="D450" s="172" t="s">
        <v>245</v>
      </c>
      <c r="E450" s="172"/>
      <c r="F450" s="172" t="s">
        <v>218</v>
      </c>
      <c r="G450" s="172">
        <v>3.0051247783483999E-5</v>
      </c>
      <c r="H450" s="172">
        <v>19</v>
      </c>
      <c r="I450" s="172">
        <v>19.25</v>
      </c>
      <c r="J450" s="172">
        <v>19.25</v>
      </c>
      <c r="K450" s="172">
        <v>7.5</v>
      </c>
    </row>
    <row r="451" spans="2:11" x14ac:dyDescent="0.3">
      <c r="B451" s="172" t="s">
        <v>22</v>
      </c>
      <c r="C451" s="172" t="s">
        <v>79</v>
      </c>
      <c r="D451" s="172" t="s">
        <v>245</v>
      </c>
      <c r="E451" s="172"/>
      <c r="F451" s="172" t="s">
        <v>218</v>
      </c>
      <c r="G451" s="172">
        <v>7.8320825249177301E-4</v>
      </c>
      <c r="H451" s="172">
        <v>14</v>
      </c>
      <c r="I451" s="172">
        <v>19</v>
      </c>
      <c r="J451" s="172">
        <v>19</v>
      </c>
      <c r="K451" s="172">
        <v>4</v>
      </c>
    </row>
    <row r="452" spans="2:11" x14ac:dyDescent="0.3">
      <c r="B452" s="172" t="s">
        <v>22</v>
      </c>
      <c r="C452" s="172" t="s">
        <v>80</v>
      </c>
      <c r="D452" s="172" t="s">
        <v>245</v>
      </c>
      <c r="E452" s="172"/>
      <c r="F452" s="172" t="s">
        <v>218</v>
      </c>
      <c r="G452" s="172">
        <v>8.0218836095594201E-4</v>
      </c>
      <c r="H452" s="172">
        <v>48</v>
      </c>
      <c r="I452" s="172">
        <v>19</v>
      </c>
      <c r="J452" s="172">
        <v>0</v>
      </c>
      <c r="K452" s="172">
        <v>4</v>
      </c>
    </row>
    <row r="453" spans="2:11" x14ac:dyDescent="0.3">
      <c r="B453" s="172" t="s">
        <v>22</v>
      </c>
      <c r="C453" s="172" t="s">
        <v>81</v>
      </c>
      <c r="D453" s="172" t="s">
        <v>245</v>
      </c>
      <c r="E453" s="172"/>
      <c r="F453" s="172" t="s">
        <v>221</v>
      </c>
      <c r="G453" s="172">
        <v>7.9635278018844798E-4</v>
      </c>
      <c r="H453" s="172">
        <v>50</v>
      </c>
      <c r="I453" s="172">
        <v>19</v>
      </c>
      <c r="J453" s="172">
        <v>11</v>
      </c>
      <c r="K453" s="172">
        <v>4</v>
      </c>
    </row>
    <row r="454" spans="2:11" x14ac:dyDescent="0.3">
      <c r="B454" s="172" t="s">
        <v>22</v>
      </c>
      <c r="C454" s="172" t="s">
        <v>82</v>
      </c>
      <c r="D454" s="172" t="s">
        <v>245</v>
      </c>
      <c r="E454" s="172"/>
      <c r="F454" s="172" t="s">
        <v>221</v>
      </c>
      <c r="G454" s="172">
        <v>8.9301018248103795E-4</v>
      </c>
      <c r="H454" s="172">
        <v>39</v>
      </c>
      <c r="I454" s="172">
        <v>0</v>
      </c>
      <c r="J454" s="172">
        <v>19</v>
      </c>
      <c r="K454" s="172">
        <v>4</v>
      </c>
    </row>
    <row r="455" spans="2:11" x14ac:dyDescent="0.3">
      <c r="B455" s="172" t="s">
        <v>22</v>
      </c>
      <c r="C455" s="172" t="s">
        <v>246</v>
      </c>
      <c r="D455" s="172" t="s">
        <v>245</v>
      </c>
      <c r="E455" s="172"/>
      <c r="F455" s="172" t="s">
        <v>218</v>
      </c>
      <c r="G455" s="172">
        <v>1.01302772694606E-5</v>
      </c>
      <c r="H455" s="172">
        <v>14</v>
      </c>
      <c r="I455" s="172">
        <v>19</v>
      </c>
      <c r="J455" s="172">
        <v>19</v>
      </c>
      <c r="K455" s="172">
        <v>4</v>
      </c>
    </row>
    <row r="456" spans="2:11" x14ac:dyDescent="0.3">
      <c r="B456" s="172" t="s">
        <v>22</v>
      </c>
      <c r="C456" s="172" t="s">
        <v>246</v>
      </c>
      <c r="D456" s="172" t="s">
        <v>245</v>
      </c>
      <c r="E456" s="172"/>
      <c r="F456" s="172" t="s">
        <v>221</v>
      </c>
      <c r="G456" s="172">
        <v>3.29321724056906E-6</v>
      </c>
      <c r="H456" s="172">
        <v>48</v>
      </c>
      <c r="I456" s="172">
        <v>19</v>
      </c>
      <c r="J456" s="172">
        <v>0</v>
      </c>
      <c r="K456" s="172">
        <v>4</v>
      </c>
    </row>
    <row r="457" spans="2:11" x14ac:dyDescent="0.3">
      <c r="B457" s="172"/>
      <c r="C457" s="172"/>
      <c r="D457" s="172"/>
      <c r="E457" s="172"/>
      <c r="F457" s="172"/>
      <c r="G457" s="172"/>
      <c r="H457" s="172"/>
      <c r="I457" s="172"/>
      <c r="J457" s="172"/>
      <c r="K457" s="172"/>
    </row>
    <row r="458" spans="2:11" x14ac:dyDescent="0.3">
      <c r="B458" s="172"/>
      <c r="C458" s="172"/>
      <c r="D458" s="172"/>
      <c r="E458" s="172"/>
      <c r="F458" s="172"/>
      <c r="G458" s="172"/>
      <c r="H458" s="172"/>
      <c r="I458" s="172"/>
      <c r="J458" s="172"/>
      <c r="K458" s="172"/>
    </row>
    <row r="459" spans="2:11" x14ac:dyDescent="0.3">
      <c r="B459" s="172"/>
      <c r="C459" s="172"/>
      <c r="D459" s="172"/>
      <c r="E459" s="172"/>
      <c r="F459" s="172"/>
      <c r="G459" s="172"/>
      <c r="H459" s="172"/>
      <c r="I459" s="172"/>
      <c r="J459" s="172"/>
      <c r="K459" s="172"/>
    </row>
    <row r="460" spans="2:11" x14ac:dyDescent="0.3">
      <c r="B460" s="172"/>
      <c r="C460" s="172"/>
      <c r="D460" s="172"/>
      <c r="E460" s="172"/>
      <c r="F460" s="172"/>
      <c r="G460" s="172"/>
      <c r="H460" s="172"/>
      <c r="I460" s="172"/>
      <c r="J460" s="172"/>
      <c r="K460" s="172"/>
    </row>
    <row r="461" spans="2:11" x14ac:dyDescent="0.3">
      <c r="B461" s="172"/>
      <c r="C461" s="172"/>
      <c r="D461" s="172"/>
      <c r="E461" s="172"/>
      <c r="F461" s="172"/>
      <c r="G461" s="172"/>
      <c r="H461" s="172"/>
      <c r="I461" s="172"/>
      <c r="J461" s="172"/>
      <c r="K461" s="172"/>
    </row>
    <row r="462" spans="2:11" x14ac:dyDescent="0.3">
      <c r="B462" s="172"/>
      <c r="C462" s="172"/>
      <c r="D462" s="172"/>
      <c r="E462" s="172"/>
      <c r="F462" s="172"/>
      <c r="G462" s="172"/>
      <c r="H462" s="172"/>
      <c r="I462" s="172"/>
      <c r="J462" s="172"/>
      <c r="K462" s="172"/>
    </row>
    <row r="463" spans="2:11" x14ac:dyDescent="0.3">
      <c r="B463" s="172"/>
      <c r="C463" s="172"/>
      <c r="D463" s="172"/>
      <c r="E463" s="172"/>
      <c r="F463" s="172"/>
      <c r="G463" s="172"/>
      <c r="H463" s="172"/>
      <c r="I463" s="172"/>
      <c r="J463" s="172"/>
      <c r="K463" s="172"/>
    </row>
    <row r="464" spans="2:11" x14ac:dyDescent="0.3">
      <c r="B464" s="172"/>
      <c r="C464" s="172"/>
      <c r="D464" s="172"/>
      <c r="E464" s="172"/>
      <c r="F464" s="172"/>
      <c r="G464" s="172"/>
      <c r="H464" s="172"/>
      <c r="I464" s="172"/>
      <c r="J464" s="172"/>
      <c r="K464" s="172"/>
    </row>
    <row r="465" spans="2:11" x14ac:dyDescent="0.3">
      <c r="B465" s="172"/>
      <c r="C465" s="172"/>
      <c r="D465" s="172"/>
      <c r="E465" s="172"/>
      <c r="F465" s="172"/>
      <c r="G465" s="172"/>
      <c r="H465" s="172"/>
      <c r="I465" s="172"/>
      <c r="J465" s="172"/>
      <c r="K465" s="172"/>
    </row>
    <row r="466" spans="2:11" x14ac:dyDescent="0.3">
      <c r="B466" s="172"/>
      <c r="C466" s="172"/>
      <c r="D466" s="172"/>
      <c r="E466" s="172"/>
      <c r="F466" s="172"/>
      <c r="G466" s="172"/>
      <c r="H466" s="172"/>
      <c r="I466" s="172"/>
      <c r="J466" s="172"/>
      <c r="K466" s="172"/>
    </row>
    <row r="467" spans="2:11" x14ac:dyDescent="0.3">
      <c r="B467" s="172"/>
      <c r="C467" s="172"/>
      <c r="D467" s="172"/>
      <c r="E467" s="172"/>
      <c r="F467" s="172"/>
      <c r="G467" s="172"/>
      <c r="H467" s="172"/>
      <c r="I467" s="172"/>
      <c r="J467" s="172"/>
      <c r="K467" s="172"/>
    </row>
    <row r="468" spans="2:11" x14ac:dyDescent="0.3">
      <c r="B468" s="172"/>
      <c r="C468" s="172"/>
      <c r="D468" s="172"/>
      <c r="E468" s="172"/>
      <c r="F468" s="172"/>
      <c r="G468" s="172"/>
      <c r="H468" s="172"/>
      <c r="I468" s="172"/>
      <c r="J468" s="172"/>
      <c r="K468" s="172"/>
    </row>
    <row r="469" spans="2:11" x14ac:dyDescent="0.3">
      <c r="B469" s="172"/>
      <c r="C469" s="172"/>
      <c r="D469" s="172"/>
      <c r="E469" s="172"/>
      <c r="F469" s="172"/>
      <c r="G469" s="172"/>
      <c r="H469" s="172"/>
      <c r="I469" s="172"/>
      <c r="J469" s="172"/>
      <c r="K469" s="172"/>
    </row>
    <row r="470" spans="2:11" x14ac:dyDescent="0.3">
      <c r="B470" s="172"/>
      <c r="C470" s="172"/>
      <c r="D470" s="172"/>
      <c r="E470" s="172"/>
      <c r="F470" s="172"/>
      <c r="G470" s="172"/>
      <c r="H470" s="172"/>
      <c r="I470" s="172"/>
      <c r="J470" s="172"/>
      <c r="K470" s="172"/>
    </row>
    <row r="471" spans="2:11" x14ac:dyDescent="0.3">
      <c r="B471" s="172"/>
      <c r="C471" s="172"/>
      <c r="D471" s="172"/>
      <c r="E471" s="172"/>
      <c r="F471" s="172"/>
      <c r="G471" s="172"/>
      <c r="H471" s="172"/>
      <c r="I471" s="172"/>
      <c r="J471" s="172"/>
      <c r="K471" s="172"/>
    </row>
    <row r="472" spans="2:11" x14ac:dyDescent="0.3">
      <c r="B472" s="172"/>
      <c r="C472" s="172"/>
      <c r="D472" s="172"/>
      <c r="E472" s="172"/>
      <c r="F472" s="172"/>
      <c r="G472" s="172"/>
      <c r="H472" s="172"/>
      <c r="I472" s="172"/>
      <c r="J472" s="172"/>
      <c r="K472" s="172"/>
    </row>
    <row r="473" spans="2:11" x14ac:dyDescent="0.3">
      <c r="B473" s="172"/>
      <c r="C473" s="172"/>
      <c r="D473" s="172"/>
      <c r="E473" s="172"/>
      <c r="F473" s="172"/>
      <c r="G473" s="172"/>
      <c r="H473" s="172"/>
      <c r="I473" s="172"/>
      <c r="J473" s="172"/>
      <c r="K473" s="172"/>
    </row>
    <row r="474" spans="2:11" x14ac:dyDescent="0.3">
      <c r="B474" s="172"/>
      <c r="C474" s="172"/>
      <c r="D474" s="172"/>
      <c r="E474" s="172"/>
      <c r="F474" s="172"/>
      <c r="G474" s="172"/>
      <c r="H474" s="172"/>
      <c r="I474" s="172"/>
      <c r="J474" s="172"/>
      <c r="K474" s="172"/>
    </row>
    <row r="475" spans="2:11" x14ac:dyDescent="0.3">
      <c r="B475" s="172"/>
      <c r="C475" s="172"/>
      <c r="D475" s="172"/>
      <c r="E475" s="172"/>
      <c r="F475" s="172"/>
      <c r="G475" s="172"/>
      <c r="H475" s="172"/>
      <c r="I475" s="172"/>
      <c r="J475" s="172"/>
      <c r="K475" s="172"/>
    </row>
    <row r="476" spans="2:11" x14ac:dyDescent="0.3">
      <c r="B476" s="172"/>
      <c r="C476" s="172"/>
      <c r="D476" s="172"/>
      <c r="E476" s="172"/>
      <c r="F476" s="172"/>
      <c r="G476" s="172"/>
      <c r="H476" s="172"/>
      <c r="I476" s="172"/>
      <c r="J476" s="172"/>
      <c r="K476" s="172"/>
    </row>
    <row r="477" spans="2:11" x14ac:dyDescent="0.3">
      <c r="B477" s="172"/>
      <c r="C477" s="172"/>
      <c r="D477" s="172"/>
      <c r="E477" s="172"/>
      <c r="F477" s="172"/>
      <c r="G477" s="172"/>
      <c r="H477" s="172"/>
      <c r="I477" s="172"/>
      <c r="J477" s="172"/>
      <c r="K477" s="172"/>
    </row>
    <row r="478" spans="2:11" x14ac:dyDescent="0.3">
      <c r="B478" s="172"/>
      <c r="C478" s="172"/>
      <c r="D478" s="172"/>
      <c r="E478" s="172"/>
      <c r="F478" s="172"/>
      <c r="G478" s="172"/>
      <c r="H478" s="172"/>
      <c r="I478" s="172"/>
      <c r="J478" s="172"/>
      <c r="K478" s="172"/>
    </row>
    <row r="479" spans="2:11" x14ac:dyDescent="0.3">
      <c r="B479" s="172"/>
      <c r="C479" s="172"/>
      <c r="D479" s="172"/>
      <c r="E479" s="172"/>
      <c r="F479" s="172"/>
      <c r="G479" s="172"/>
      <c r="H479" s="172"/>
      <c r="I479" s="172"/>
      <c r="J479" s="172"/>
      <c r="K479" s="172"/>
    </row>
    <row r="480" spans="2:11" x14ac:dyDescent="0.3">
      <c r="B480" s="172"/>
      <c r="C480" s="172"/>
      <c r="D480" s="172"/>
      <c r="E480" s="172"/>
      <c r="F480" s="172"/>
      <c r="G480" s="172"/>
      <c r="H480" s="172"/>
      <c r="I480" s="172"/>
      <c r="J480" s="172"/>
      <c r="K480" s="172"/>
    </row>
    <row r="481" spans="2:11" x14ac:dyDescent="0.3">
      <c r="B481" s="172"/>
      <c r="C481" s="172"/>
      <c r="D481" s="172"/>
      <c r="E481" s="172"/>
      <c r="F481" s="172"/>
      <c r="G481" s="172"/>
      <c r="H481" s="172"/>
      <c r="I481" s="172"/>
      <c r="J481" s="172"/>
      <c r="K481" s="172"/>
    </row>
    <row r="482" spans="2:11" x14ac:dyDescent="0.3">
      <c r="B482" s="172"/>
      <c r="C482" s="172"/>
      <c r="D482" s="172"/>
      <c r="E482" s="172"/>
      <c r="F482" s="172"/>
      <c r="G482" s="172"/>
      <c r="H482" s="172"/>
      <c r="I482" s="172"/>
      <c r="J482" s="172"/>
      <c r="K482" s="172"/>
    </row>
    <row r="483" spans="2:11" x14ac:dyDescent="0.3">
      <c r="B483" s="172"/>
      <c r="C483" s="172"/>
      <c r="D483" s="172"/>
      <c r="E483" s="172"/>
      <c r="F483" s="172"/>
      <c r="G483" s="172"/>
      <c r="H483" s="172"/>
      <c r="I483" s="172"/>
      <c r="J483" s="172"/>
      <c r="K483" s="172"/>
    </row>
    <row r="484" spans="2:11" x14ac:dyDescent="0.3">
      <c r="B484" s="172"/>
      <c r="C484" s="172"/>
      <c r="D484" s="172"/>
      <c r="E484" s="172"/>
      <c r="F484" s="172"/>
      <c r="G484" s="172"/>
      <c r="H484" s="172"/>
      <c r="I484" s="172"/>
      <c r="J484" s="172"/>
      <c r="K484" s="172"/>
    </row>
    <row r="485" spans="2:11" x14ac:dyDescent="0.3">
      <c r="B485" s="172"/>
      <c r="C485" s="172"/>
      <c r="D485" s="172"/>
      <c r="E485" s="172"/>
      <c r="F485" s="172"/>
      <c r="G485" s="172"/>
      <c r="H485" s="172"/>
      <c r="I485" s="172"/>
      <c r="J485" s="172"/>
      <c r="K485" s="172"/>
    </row>
    <row r="486" spans="2:11" x14ac:dyDescent="0.3">
      <c r="B486" s="172"/>
      <c r="C486" s="172"/>
      <c r="D486" s="172"/>
      <c r="E486" s="172"/>
      <c r="F486" s="172"/>
      <c r="G486" s="172"/>
      <c r="H486" s="172"/>
      <c r="I486" s="172"/>
      <c r="J486" s="172"/>
      <c r="K486" s="172"/>
    </row>
    <row r="487" spans="2:11" x14ac:dyDescent="0.3">
      <c r="B487" s="172"/>
      <c r="C487" s="172"/>
      <c r="D487" s="172"/>
      <c r="E487" s="172"/>
      <c r="F487" s="172"/>
      <c r="G487" s="172"/>
      <c r="H487" s="172"/>
      <c r="I487" s="172"/>
      <c r="J487" s="172"/>
      <c r="K487" s="172"/>
    </row>
    <row r="488" spans="2:11" x14ac:dyDescent="0.3">
      <c r="B488" s="172"/>
      <c r="C488" s="172"/>
      <c r="D488" s="172"/>
      <c r="E488" s="172"/>
      <c r="F488" s="172"/>
      <c r="G488" s="172"/>
      <c r="H488" s="172"/>
      <c r="I488" s="172"/>
      <c r="J488" s="172"/>
      <c r="K488" s="172"/>
    </row>
    <row r="489" spans="2:11" x14ac:dyDescent="0.3">
      <c r="B489" s="172"/>
      <c r="C489" s="172"/>
      <c r="D489" s="172"/>
      <c r="E489" s="172"/>
      <c r="F489" s="172"/>
      <c r="G489" s="172"/>
      <c r="H489" s="172"/>
      <c r="I489" s="172"/>
      <c r="J489" s="172"/>
      <c r="K489" s="172"/>
    </row>
    <row r="490" spans="2:11" x14ac:dyDescent="0.3">
      <c r="B490" s="172"/>
      <c r="C490" s="172"/>
      <c r="D490" s="172"/>
      <c r="E490" s="172"/>
      <c r="F490" s="172"/>
      <c r="G490" s="172"/>
      <c r="H490" s="172"/>
      <c r="I490" s="172"/>
      <c r="J490" s="172"/>
      <c r="K490" s="172"/>
    </row>
    <row r="491" spans="2:11" x14ac:dyDescent="0.3">
      <c r="B491" s="172"/>
      <c r="C491" s="172"/>
      <c r="D491" s="172"/>
      <c r="E491" s="172"/>
      <c r="F491" s="172"/>
      <c r="G491" s="172"/>
      <c r="H491" s="172"/>
      <c r="I491" s="172"/>
      <c r="J491" s="172"/>
      <c r="K491" s="172"/>
    </row>
    <row r="492" spans="2:11" x14ac:dyDescent="0.3">
      <c r="B492" s="172"/>
      <c r="C492" s="172"/>
      <c r="D492" s="172"/>
      <c r="E492" s="172"/>
      <c r="F492" s="172"/>
      <c r="G492" s="172"/>
      <c r="H492" s="172"/>
      <c r="I492" s="172"/>
      <c r="J492" s="172"/>
      <c r="K492" s="172"/>
    </row>
    <row r="493" spans="2:11" x14ac:dyDescent="0.3">
      <c r="B493" s="172"/>
      <c r="C493" s="172"/>
      <c r="D493" s="172"/>
      <c r="E493" s="172"/>
      <c r="F493" s="172"/>
      <c r="G493" s="172"/>
      <c r="H493" s="172"/>
      <c r="I493" s="172"/>
      <c r="J493" s="172"/>
      <c r="K493" s="172"/>
    </row>
    <row r="494" spans="2:11" x14ac:dyDescent="0.3">
      <c r="B494" s="172"/>
      <c r="C494" s="172"/>
      <c r="D494" s="172"/>
      <c r="E494" s="172"/>
      <c r="F494" s="172"/>
      <c r="G494" s="172"/>
      <c r="H494" s="172"/>
      <c r="I494" s="172"/>
      <c r="J494" s="172"/>
      <c r="K494" s="172"/>
    </row>
    <row r="495" spans="2:11" x14ac:dyDescent="0.3">
      <c r="B495" s="172"/>
      <c r="C495" s="172"/>
      <c r="D495" s="172"/>
      <c r="E495" s="172"/>
      <c r="F495" s="172"/>
      <c r="G495" s="172"/>
      <c r="H495" s="172"/>
      <c r="I495" s="172"/>
      <c r="J495" s="172"/>
      <c r="K495" s="172"/>
    </row>
    <row r="496" spans="2:11" x14ac:dyDescent="0.3">
      <c r="B496" s="172"/>
      <c r="C496" s="172"/>
      <c r="D496" s="172"/>
      <c r="E496" s="172"/>
      <c r="F496" s="172"/>
      <c r="G496" s="172"/>
      <c r="H496" s="172"/>
      <c r="I496" s="172"/>
      <c r="J496" s="172"/>
      <c r="K496" s="172"/>
    </row>
    <row r="497" spans="2:11" x14ac:dyDescent="0.3">
      <c r="B497" s="172"/>
      <c r="C497" s="172"/>
      <c r="D497" s="172"/>
      <c r="E497" s="172"/>
      <c r="F497" s="172"/>
      <c r="G497" s="172"/>
      <c r="H497" s="172"/>
      <c r="I497" s="172"/>
      <c r="J497" s="172"/>
      <c r="K497" s="172"/>
    </row>
    <row r="498" spans="2:11" x14ac:dyDescent="0.3">
      <c r="B498" s="172"/>
      <c r="C498" s="172"/>
      <c r="D498" s="172"/>
      <c r="E498" s="172"/>
      <c r="F498" s="172"/>
      <c r="G498" s="172"/>
      <c r="H498" s="172"/>
      <c r="I498" s="172"/>
      <c r="J498" s="172"/>
      <c r="K498" s="172"/>
    </row>
    <row r="499" spans="2:11" x14ac:dyDescent="0.3">
      <c r="B499" s="172"/>
      <c r="C499" s="172"/>
      <c r="D499" s="172"/>
      <c r="E499" s="172"/>
      <c r="F499" s="172"/>
      <c r="G499" s="172"/>
      <c r="H499" s="172"/>
      <c r="I499" s="172"/>
      <c r="J499" s="172"/>
      <c r="K499" s="172"/>
    </row>
    <row r="500" spans="2:11" x14ac:dyDescent="0.3">
      <c r="B500" s="172"/>
      <c r="C500" s="172"/>
      <c r="D500" s="172"/>
      <c r="E500" s="172"/>
      <c r="F500" s="172"/>
      <c r="G500" s="172"/>
      <c r="H500" s="172"/>
      <c r="I500" s="172"/>
      <c r="J500" s="172"/>
      <c r="K500" s="172"/>
    </row>
    <row r="501" spans="2:11" x14ac:dyDescent="0.3">
      <c r="B501" s="172"/>
      <c r="C501" s="172"/>
      <c r="D501" s="172"/>
      <c r="E501" s="172"/>
      <c r="F501" s="172"/>
      <c r="G501" s="172"/>
      <c r="H501" s="172"/>
      <c r="I501" s="172"/>
      <c r="J501" s="172"/>
      <c r="K501" s="172"/>
    </row>
    <row r="502" spans="2:11" x14ac:dyDescent="0.3">
      <c r="B502" s="172"/>
      <c r="C502" s="172"/>
      <c r="D502" s="172"/>
      <c r="E502" s="172"/>
      <c r="F502" s="172"/>
      <c r="G502" s="172"/>
      <c r="H502" s="172"/>
      <c r="I502" s="172"/>
      <c r="J502" s="172"/>
      <c r="K502" s="172"/>
    </row>
    <row r="503" spans="2:11" x14ac:dyDescent="0.3">
      <c r="B503" s="172"/>
      <c r="C503" s="172"/>
      <c r="D503" s="172"/>
      <c r="E503" s="172"/>
      <c r="F503" s="172"/>
      <c r="G503" s="172"/>
      <c r="H503" s="172"/>
      <c r="I503" s="172"/>
      <c r="J503" s="172"/>
      <c r="K503" s="172"/>
    </row>
    <row r="504" spans="2:11" x14ac:dyDescent="0.3">
      <c r="B504" s="172"/>
      <c r="C504" s="172"/>
      <c r="D504" s="172"/>
      <c r="E504" s="172"/>
      <c r="F504" s="172"/>
      <c r="G504" s="172"/>
      <c r="H504" s="172"/>
      <c r="I504" s="172"/>
      <c r="J504" s="172"/>
      <c r="K504" s="172"/>
    </row>
    <row r="505" spans="2:11" x14ac:dyDescent="0.3">
      <c r="B505" s="172"/>
      <c r="C505" s="172"/>
      <c r="D505" s="172"/>
      <c r="E505" s="172"/>
      <c r="F505" s="172"/>
      <c r="G505" s="172"/>
      <c r="H505" s="172"/>
      <c r="I505" s="172"/>
      <c r="J505" s="172"/>
      <c r="K505" s="172"/>
    </row>
    <row r="506" spans="2:11" x14ac:dyDescent="0.3">
      <c r="B506" s="172"/>
      <c r="C506" s="172"/>
      <c r="D506" s="172"/>
      <c r="E506" s="172"/>
      <c r="F506" s="172"/>
      <c r="G506" s="172"/>
      <c r="H506" s="172"/>
      <c r="I506" s="172"/>
      <c r="J506" s="172"/>
      <c r="K506" s="172"/>
    </row>
    <row r="507" spans="2:11" x14ac:dyDescent="0.3">
      <c r="B507" s="172"/>
      <c r="C507" s="172"/>
      <c r="D507" s="172"/>
      <c r="E507" s="172"/>
      <c r="F507" s="172"/>
      <c r="G507" s="172"/>
      <c r="H507" s="172"/>
      <c r="I507" s="172"/>
      <c r="J507" s="172"/>
      <c r="K507" s="172"/>
    </row>
    <row r="508" spans="2:11" x14ac:dyDescent="0.3">
      <c r="B508" s="172"/>
      <c r="C508" s="172"/>
      <c r="D508" s="172"/>
      <c r="E508" s="172"/>
      <c r="F508" s="172"/>
      <c r="G508" s="172"/>
      <c r="H508" s="172"/>
      <c r="I508" s="172"/>
      <c r="J508" s="172"/>
      <c r="K508" s="172"/>
    </row>
    <row r="509" spans="2:11" x14ac:dyDescent="0.3">
      <c r="B509" s="172"/>
      <c r="C509" s="172"/>
      <c r="D509" s="172"/>
      <c r="E509" s="172"/>
      <c r="F509" s="172"/>
      <c r="G509" s="172"/>
      <c r="H509" s="172"/>
      <c r="I509" s="172"/>
      <c r="J509" s="172"/>
      <c r="K509" s="172"/>
    </row>
    <row r="510" spans="2:11" x14ac:dyDescent="0.3">
      <c r="B510" s="172"/>
      <c r="C510" s="172"/>
      <c r="D510" s="172"/>
      <c r="E510" s="172"/>
      <c r="F510" s="172"/>
      <c r="G510" s="172"/>
      <c r="H510" s="172"/>
      <c r="I510" s="172"/>
      <c r="J510" s="172"/>
      <c r="K510" s="172"/>
    </row>
    <row r="511" spans="2:11" x14ac:dyDescent="0.3">
      <c r="B511" s="172"/>
      <c r="C511" s="172"/>
      <c r="D511" s="172"/>
      <c r="E511" s="172"/>
      <c r="F511" s="172"/>
      <c r="G511" s="172"/>
      <c r="H511" s="172"/>
      <c r="I511" s="172"/>
      <c r="J511" s="172"/>
      <c r="K511" s="172"/>
    </row>
    <row r="512" spans="2:11" x14ac:dyDescent="0.3">
      <c r="B512" s="172"/>
      <c r="C512" s="172"/>
      <c r="D512" s="172"/>
      <c r="E512" s="172"/>
      <c r="F512" s="172"/>
      <c r="G512" s="172"/>
      <c r="H512" s="172"/>
      <c r="I512" s="172"/>
      <c r="J512" s="172"/>
      <c r="K512" s="172"/>
    </row>
    <row r="513" spans="2:11" x14ac:dyDescent="0.3">
      <c r="B513" s="172"/>
      <c r="C513" s="172"/>
      <c r="D513" s="172"/>
      <c r="E513" s="172"/>
      <c r="F513" s="172"/>
      <c r="G513" s="172"/>
      <c r="H513" s="172"/>
      <c r="I513" s="172"/>
      <c r="J513" s="172"/>
      <c r="K513" s="172"/>
    </row>
    <row r="514" spans="2:11" x14ac:dyDescent="0.3">
      <c r="B514" s="172"/>
      <c r="C514" s="172"/>
      <c r="D514" s="172"/>
      <c r="E514" s="172"/>
      <c r="F514" s="172"/>
      <c r="G514" s="172"/>
      <c r="H514" s="172"/>
      <c r="I514" s="172"/>
      <c r="J514" s="172"/>
      <c r="K514" s="172"/>
    </row>
    <row r="515" spans="2:11" x14ac:dyDescent="0.3">
      <c r="B515" s="172"/>
      <c r="C515" s="172"/>
      <c r="D515" s="172"/>
      <c r="E515" s="172"/>
      <c r="F515" s="172"/>
      <c r="G515" s="172"/>
      <c r="H515" s="172"/>
      <c r="I515" s="172"/>
      <c r="J515" s="172"/>
      <c r="K515" s="172"/>
    </row>
    <row r="516" spans="2:11" x14ac:dyDescent="0.3">
      <c r="B516" s="172"/>
      <c r="C516" s="172"/>
      <c r="D516" s="172"/>
      <c r="E516" s="172"/>
      <c r="F516" s="172"/>
      <c r="G516" s="172"/>
      <c r="H516" s="172"/>
      <c r="I516" s="172"/>
      <c r="J516" s="172"/>
      <c r="K516" s="172"/>
    </row>
    <row r="517" spans="2:11" x14ac:dyDescent="0.3">
      <c r="B517" s="172"/>
      <c r="C517" s="172"/>
      <c r="D517" s="172"/>
      <c r="E517" s="172"/>
      <c r="F517" s="172"/>
      <c r="G517" s="172"/>
      <c r="H517" s="172"/>
      <c r="I517" s="172"/>
      <c r="J517" s="172"/>
      <c r="K517" s="172"/>
    </row>
    <row r="518" spans="2:11" x14ac:dyDescent="0.3">
      <c r="B518" s="172"/>
      <c r="C518" s="172"/>
      <c r="D518" s="172"/>
      <c r="E518" s="172"/>
      <c r="F518" s="172"/>
      <c r="G518" s="172"/>
      <c r="H518" s="172"/>
      <c r="I518" s="172"/>
      <c r="J518" s="172"/>
      <c r="K518" s="172"/>
    </row>
    <row r="519" spans="2:11" x14ac:dyDescent="0.3">
      <c r="B519" s="172"/>
      <c r="C519" s="172"/>
      <c r="D519" s="172"/>
      <c r="E519" s="172"/>
      <c r="F519" s="172"/>
      <c r="G519" s="172"/>
      <c r="H519" s="172"/>
      <c r="I519" s="172"/>
      <c r="J519" s="172"/>
      <c r="K519" s="172"/>
    </row>
    <row r="520" spans="2:11" x14ac:dyDescent="0.3">
      <c r="B520" s="172"/>
      <c r="C520" s="172"/>
      <c r="D520" s="172"/>
      <c r="E520" s="172"/>
      <c r="F520" s="172"/>
      <c r="G520" s="172"/>
      <c r="H520" s="172"/>
      <c r="I520" s="172"/>
      <c r="J520" s="172"/>
      <c r="K520" s="172"/>
    </row>
    <row r="521" spans="2:11" x14ac:dyDescent="0.3">
      <c r="B521" s="172"/>
      <c r="C521" s="172"/>
      <c r="D521" s="172"/>
      <c r="E521" s="172"/>
      <c r="F521" s="172"/>
      <c r="G521" s="172"/>
      <c r="H521" s="172"/>
      <c r="I521" s="172"/>
      <c r="J521" s="172"/>
      <c r="K521" s="172"/>
    </row>
    <row r="522" spans="2:11" x14ac:dyDescent="0.3">
      <c r="B522" s="172"/>
      <c r="C522" s="172"/>
      <c r="D522" s="172"/>
      <c r="E522" s="172"/>
      <c r="F522" s="172"/>
      <c r="G522" s="172"/>
      <c r="H522" s="172"/>
      <c r="I522" s="172"/>
      <c r="J522" s="172"/>
      <c r="K522" s="172"/>
    </row>
    <row r="523" spans="2:11" x14ac:dyDescent="0.3">
      <c r="B523" s="172"/>
      <c r="C523" s="172"/>
      <c r="D523" s="172"/>
      <c r="E523" s="172"/>
      <c r="F523" s="172"/>
      <c r="G523" s="172"/>
      <c r="H523" s="172"/>
      <c r="I523" s="172"/>
      <c r="J523" s="172"/>
      <c r="K523" s="172"/>
    </row>
    <row r="524" spans="2:11" x14ac:dyDescent="0.3">
      <c r="B524" s="172"/>
      <c r="C524" s="172"/>
      <c r="D524" s="172"/>
      <c r="E524" s="172"/>
      <c r="F524" s="172"/>
      <c r="G524" s="172"/>
      <c r="H524" s="172"/>
      <c r="I524" s="172"/>
      <c r="J524" s="172"/>
      <c r="K524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opLeftCell="A61" zoomScale="80" zoomScaleNormal="80" workbookViewId="0">
      <selection activeCell="E66" sqref="E66:E77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/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/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/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/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/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/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/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/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/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/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/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/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/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/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/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/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/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/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/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/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/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/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/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/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/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/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/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/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/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/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/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/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/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/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/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/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/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/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/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/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/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/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/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/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zoomScale="80" zoomScaleNormal="80" workbookViewId="0">
      <selection activeCell="N4" sqref="N4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19</v>
      </c>
      <c r="O3" s="183">
        <v>19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2.6350096637613299E-2</v>
      </c>
      <c r="F6" s="185">
        <v>2.5790374157313101E-2</v>
      </c>
      <c r="G6" s="186">
        <v>1.02170276696593</v>
      </c>
      <c r="H6" s="42">
        <f>+E6/(1.2*F6)</f>
        <v>0.8514189724716047</v>
      </c>
      <c r="I6" s="47">
        <f>+'Centers of Mass and Rigidity'!L5-'Centers of Mass and Rigidity'!F5</f>
        <v>-1.3911591726467982</v>
      </c>
      <c r="J6" s="47">
        <f>+'Centers of Mass and Rigidity'!M5-'Centers of Mass and Rigidity'!G5</f>
        <v>-0.17722727764665969</v>
      </c>
      <c r="K6" s="172">
        <f>IF(+'Sismo UBC-94 y Dinamico'!O15=0,'Sismo UBC-94 y Dinamico'!M15,'Sismo UBC-94 y Dinamico'!O15)</f>
        <v>1098.2493015829334</v>
      </c>
      <c r="L6" s="172">
        <f>IF(+'Sismo UBC-94 y Dinamico'!P15=0,'Sismo UBC-94 y Dinamico'!N15,'Sismo UBC-94 y Dinamico'!P15)</f>
        <v>52.564760073003498</v>
      </c>
      <c r="M6" s="52">
        <f>0.05*N6*K6*(H6-1)+0.05*O6*L6*(H6-1)</f>
        <v>-162.43967898621693</v>
      </c>
      <c r="N6">
        <f>+$N$3</f>
        <v>19</v>
      </c>
      <c r="O6">
        <f>+$O$3</f>
        <v>19</v>
      </c>
      <c r="P6" s="95">
        <f>+K6*(J6+0.05*N6*H6)-K6*(J6+0.05*N6)</f>
        <v>-155.02005922595799</v>
      </c>
      <c r="Q6" s="95">
        <f>+L6*(I6+0.05*O6*H6)-L6*(I6+0.05*O6)</f>
        <v>-7.4196197602589038</v>
      </c>
      <c r="R6" s="95">
        <f>+P6+Q6</f>
        <v>-162.4396789862169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2.7057234859250601E-2</v>
      </c>
      <c r="F7" s="185">
        <v>2.5143603934199898E-2</v>
      </c>
      <c r="G7" s="186">
        <v>1.0761080603265401</v>
      </c>
      <c r="H7" s="42">
        <f t="shared" ref="H7:H16" si="0">+E7/(1.2*F7)</f>
        <v>0.89675671693878301</v>
      </c>
      <c r="I7" s="47">
        <f>+'Centers of Mass and Rigidity'!L6-'Centers of Mass and Rigidity'!F6</f>
        <v>0.81832396142009856</v>
      </c>
      <c r="J7" s="47">
        <f>+'Centers of Mass and Rigidity'!M6-'Centers of Mass and Rigidity'!G6</f>
        <v>0.14376094031357134</v>
      </c>
      <c r="K7" s="172">
        <f>IF(+'Sismo UBC-94 y Dinamico'!O16=0,'Sismo UBC-94 y Dinamico'!M16,'Sismo UBC-94 y Dinamico'!O16)</f>
        <v>15974.306463273961</v>
      </c>
      <c r="L7" s="172">
        <f>IF(+'Sismo UBC-94 y Dinamico'!P16=0,'Sismo UBC-94 y Dinamico'!N16,'Sismo UBC-94 y Dinamico'!P16)</f>
        <v>299.58656554043034</v>
      </c>
      <c r="M7" s="52">
        <f>0.05*N7*K7*(H7-1)+0.05*O7*L7*(H7-1)</f>
        <v>-1596.1616372577578</v>
      </c>
      <c r="N7" s="172">
        <f t="shared" ref="N7:N16" si="1">+$N$3</f>
        <v>19</v>
      </c>
      <c r="O7" s="172">
        <f t="shared" ref="O7:O16" si="2">+$O$3</f>
        <v>19</v>
      </c>
      <c r="P7" s="95">
        <f>+K7*(J7+0.05*N7*H7)-K7*(J7+0.05*N7)</f>
        <v>-1566.7778516997041</v>
      </c>
      <c r="Q7" s="95">
        <f>+L7*(I7+0.05*O7*H7)-L7*(I7+0.05*O7)</f>
        <v>-29.383785558057127</v>
      </c>
      <c r="R7" s="95">
        <f>+P7+Q7</f>
        <v>-1596.1616372577612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2.60348463522154E-2</v>
      </c>
      <c r="F8" s="185">
        <v>2.41721189395834E-2</v>
      </c>
      <c r="G8" s="186">
        <v>1.0770609898655501</v>
      </c>
      <c r="H8" s="42">
        <f t="shared" si="0"/>
        <v>0.89755082488795479</v>
      </c>
      <c r="I8" s="47">
        <f>+'Centers of Mass and Rigidity'!L7-'Centers of Mass and Rigidity'!F7</f>
        <v>0.90623364566060083</v>
      </c>
      <c r="J8" s="47">
        <f>+'Centers of Mass and Rigidity'!M7-'Centers of Mass and Rigidity'!G7</f>
        <v>7.6329902786058668E-2</v>
      </c>
      <c r="K8" s="172">
        <f>IF(+'Sismo UBC-94 y Dinamico'!O17=0,'Sismo UBC-94 y Dinamico'!M17,'Sismo UBC-94 y Dinamico'!O17)</f>
        <v>17634.933672002993</v>
      </c>
      <c r="L8" s="172">
        <f>IF(+'Sismo UBC-94 y Dinamico'!P17=0,'Sismo UBC-94 y Dinamico'!N17,'Sismo UBC-94 y Dinamico'!P17)</f>
        <v>301.3844277288203</v>
      </c>
      <c r="M8" s="52">
        <f>0.05*N8*K8*(H8-1)+0.05*O8*L8*(H8-1)</f>
        <v>-1745.6829441715322</v>
      </c>
      <c r="N8" s="172">
        <f t="shared" si="1"/>
        <v>19</v>
      </c>
      <c r="O8" s="172">
        <f t="shared" si="2"/>
        <v>19</v>
      </c>
      <c r="P8" s="95">
        <f>+K8*(J8+0.05*N8*H8)-K8*(J8+0.05*N8)</f>
        <v>-1716.3501874597223</v>
      </c>
      <c r="Q8" s="95">
        <f>+L8*(I8+0.05*O8*H8)-L8*(I8+0.05*O8)</f>
        <v>-29.33275671181184</v>
      </c>
      <c r="R8" s="95">
        <f>+P8+Q8</f>
        <v>-1745.682944171534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2.4461604702633401E-2</v>
      </c>
      <c r="F9" s="185">
        <v>2.2695076102959202E-2</v>
      </c>
      <c r="G9" s="186">
        <v>1.0778375270327401</v>
      </c>
      <c r="H9" s="42">
        <f t="shared" si="0"/>
        <v>0.89819793919395075</v>
      </c>
      <c r="I9" s="47">
        <f>+'Centers of Mass and Rigidity'!L8-'Centers of Mass and Rigidity'!F8</f>
        <v>0.90144358049409945</v>
      </c>
      <c r="J9" s="47">
        <f>+'Centers of Mass and Rigidity'!M8-'Centers of Mass and Rigidity'!G8</f>
        <v>8.1466134316318772E-2</v>
      </c>
      <c r="K9" s="172">
        <f>IF(+'Sismo UBC-94 y Dinamico'!O18=0,'Sismo UBC-94 y Dinamico'!M18,'Sismo UBC-94 y Dinamico'!O18)</f>
        <v>14908.639895175855</v>
      </c>
      <c r="L9" s="172">
        <f>IF(+'Sismo UBC-94 y Dinamico'!P18=0,'Sismo UBC-94 y Dinamico'!N18,'Sismo UBC-94 y Dinamico'!P18)</f>
        <v>237.71425032997948</v>
      </c>
      <c r="M9" s="52">
        <f>0.05*N9*K9*(H9-1)+0.05*O9*L9*(H9-1)</f>
        <v>-1464.8335624252043</v>
      </c>
      <c r="N9" s="172">
        <f t="shared" si="1"/>
        <v>19</v>
      </c>
      <c r="O9" s="172">
        <f t="shared" si="2"/>
        <v>19</v>
      </c>
      <c r="P9" s="95">
        <f>+K9*(J9+0.05*N9*H9)-K9*(J9+0.05*N9)</f>
        <v>-1441.843751886976</v>
      </c>
      <c r="Q9" s="95">
        <f>+L9*(I9+0.05*O9*H9)-L9*(I9+0.05*O9)</f>
        <v>-22.989810538229165</v>
      </c>
      <c r="R9" s="95">
        <f>+P9+Q9</f>
        <v>-1464.8335624252052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2.2377110822653101E-2</v>
      </c>
      <c r="F10" s="185">
        <v>2.0747463083923199E-2</v>
      </c>
      <c r="G10" s="186">
        <v>1.07854684363761</v>
      </c>
      <c r="H10" s="42">
        <f t="shared" si="0"/>
        <v>0.898789036364671</v>
      </c>
      <c r="I10" s="47">
        <f>+'Centers of Mass and Rigidity'!L9-'Centers of Mass and Rigidity'!F9</f>
        <v>0.89345451904859985</v>
      </c>
      <c r="J10" s="47">
        <f>+'Centers of Mass and Rigidity'!M9-'Centers of Mass and Rigidity'!G9</f>
        <v>8.6166966129658462E-2</v>
      </c>
      <c r="K10" s="172">
        <f>IF(+'Sismo UBC-94 y Dinamico'!O19=0,'Sismo UBC-94 y Dinamico'!M19,'Sismo UBC-94 y Dinamico'!O19)</f>
        <v>12660.287269590821</v>
      </c>
      <c r="L10" s="172">
        <f>IF(+'Sismo UBC-94 y Dinamico'!P19=0,'Sismo UBC-94 y Dinamico'!N19,'Sismo UBC-94 y Dinamico'!P19)</f>
        <v>198.16171912057894</v>
      </c>
      <c r="M10" s="52">
        <f>0.05*N10*K10*(H10-1)+0.05*O10*L10*(H10-1)</f>
        <v>-1236.3452123530424</v>
      </c>
      <c r="N10" s="172">
        <f t="shared" si="1"/>
        <v>19</v>
      </c>
      <c r="O10" s="172">
        <f t="shared" si="2"/>
        <v>19</v>
      </c>
      <c r="P10" s="95">
        <f>+K10*(J10+0.05*N10*H10)-K10*(J10+0.05*N10)</f>
        <v>-1217.2918807326078</v>
      </c>
      <c r="Q10" s="95">
        <f>+L10*(I10+0.05*O10*H10)-L10*(I10+0.05*O10)</f>
        <v>-19.05333162043587</v>
      </c>
      <c r="R10" s="95">
        <f>+P10+Q10</f>
        <v>-1236.3452123530437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1.98580228911612E-2</v>
      </c>
      <c r="F11" s="185">
        <v>1.8400009133567902E-2</v>
      </c>
      <c r="G11" s="186">
        <v>1.0792398387962401</v>
      </c>
      <c r="H11" s="42">
        <f t="shared" si="0"/>
        <v>0.89936653233020158</v>
      </c>
      <c r="I11" s="47">
        <f>+'Centers of Mass and Rigidity'!L10-'Centers of Mass and Rigidity'!F10</f>
        <v>0.88159010098400081</v>
      </c>
      <c r="J11" s="47">
        <f>+'Centers of Mass and Rigidity'!M10-'Centers of Mass and Rigidity'!G10</f>
        <v>9.0382385109789354E-2</v>
      </c>
      <c r="K11" s="172">
        <f>IF(+'Sismo UBC-94 y Dinamico'!O20=0,'Sismo UBC-94 y Dinamico'!M20,'Sismo UBC-94 y Dinamico'!O20)</f>
        <v>10912.155064816337</v>
      </c>
      <c r="L11" s="172">
        <f>IF(+'Sismo UBC-94 y Dinamico'!P20=0,'Sismo UBC-94 y Dinamico'!N20,'Sismo UBC-94 y Dinamico'!P20)</f>
        <v>172.79644960244443</v>
      </c>
      <c r="M11" s="52">
        <f t="shared" ref="M11:M16" si="3">0.05*N11*K11*(H11-1)+0.05*O11*L11*(H11-1)</f>
        <v>-1059.7412543551682</v>
      </c>
      <c r="N11" s="172">
        <f t="shared" si="1"/>
        <v>19</v>
      </c>
      <c r="O11" s="172">
        <f t="shared" si="2"/>
        <v>19</v>
      </c>
      <c r="P11" s="95">
        <f t="shared" ref="P11:P16" si="4">+K11*(J11+0.05*N11*H11)-K11*(J11+0.05*N11)</f>
        <v>-1043.2216037268736</v>
      </c>
      <c r="Q11" s="95">
        <f t="shared" ref="Q11:Q16" si="5">+L11*(I11+0.05*O11*H11)-L11*(I11+0.05*O11)</f>
        <v>-16.51965062829737</v>
      </c>
      <c r="R11" s="95">
        <f t="shared" ref="R11:R16" si="6">+P11+Q11</f>
        <v>-1059.7412543551709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1.69741968603421E-2</v>
      </c>
      <c r="F12" s="185">
        <v>1.5717392693141801E-2</v>
      </c>
      <c r="G12" s="186">
        <v>1.0799626370440401</v>
      </c>
      <c r="H12" s="42">
        <f t="shared" si="0"/>
        <v>0.8999688642033643</v>
      </c>
      <c r="I12" s="47">
        <f>+'Centers of Mass and Rigidity'!L11-'Centers of Mass and Rigidity'!F11</f>
        <v>0.86339472939820006</v>
      </c>
      <c r="J12" s="47">
        <f>+'Centers of Mass and Rigidity'!M11-'Centers of Mass and Rigidity'!G11</f>
        <v>9.4060509277699822E-2</v>
      </c>
      <c r="K12" s="172">
        <f>IF(+'Sismo UBC-94 y Dinamico'!O21=0,'Sismo UBC-94 y Dinamico'!M21,'Sismo UBC-94 y Dinamico'!O21)</f>
        <v>9506.0135242065026</v>
      </c>
      <c r="L12" s="172">
        <f>IF(+'Sismo UBC-94 y Dinamico'!P21=0,'Sismo UBC-94 y Dinamico'!N21,'Sismo UBC-94 y Dinamico'!P21)</f>
        <v>151.3917490559339</v>
      </c>
      <c r="M12" s="52">
        <f t="shared" si="3"/>
        <v>-917.73915741621749</v>
      </c>
      <c r="N12" s="172">
        <f t="shared" si="1"/>
        <v>19</v>
      </c>
      <c r="O12" s="172">
        <f t="shared" si="2"/>
        <v>19</v>
      </c>
      <c r="P12" s="95">
        <f t="shared" si="4"/>
        <v>-903.35246323832871</v>
      </c>
      <c r="Q12" s="95">
        <f t="shared" si="5"/>
        <v>-14.386694177889126</v>
      </c>
      <c r="R12" s="95">
        <f t="shared" si="6"/>
        <v>-917.73915741621784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1.37877503833516E-2</v>
      </c>
      <c r="F13" s="185">
        <v>1.27572349801415E-2</v>
      </c>
      <c r="G13" s="186">
        <v>1.08077889956674</v>
      </c>
      <c r="H13" s="42">
        <f t="shared" si="0"/>
        <v>0.90064908297227997</v>
      </c>
      <c r="I13" s="47">
        <f>+'Centers of Mass and Rigidity'!L12-'Centers of Mass and Rigidity'!F12</f>
        <v>0.8325538140262001</v>
      </c>
      <c r="J13" s="47">
        <f>+'Centers of Mass and Rigidity'!M12-'Centers of Mass and Rigidity'!G12</f>
        <v>9.6998857881789746E-2</v>
      </c>
      <c r="K13" s="172">
        <f>IF(+'Sismo UBC-94 y Dinamico'!O22=0,'Sismo UBC-94 y Dinamico'!M22,'Sismo UBC-94 y Dinamico'!O22)</f>
        <v>8259.665600381908</v>
      </c>
      <c r="L13" s="172">
        <f>IF(+'Sismo UBC-94 y Dinamico'!P22=0,'Sismo UBC-94 y Dinamico'!N22,'Sismo UBC-94 y Dinamico'!P22)</f>
        <v>131.60463422765466</v>
      </c>
      <c r="M13" s="52">
        <f t="shared" si="3"/>
        <v>-791.99637319407793</v>
      </c>
      <c r="N13" s="172">
        <f t="shared" si="1"/>
        <v>19</v>
      </c>
      <c r="O13" s="172">
        <f t="shared" si="2"/>
        <v>19</v>
      </c>
      <c r="P13" s="95">
        <f t="shared" si="4"/>
        <v>-779.57508415324446</v>
      </c>
      <c r="Q13" s="95">
        <f t="shared" si="5"/>
        <v>-12.421289040834438</v>
      </c>
      <c r="R13" s="95">
        <f t="shared" si="6"/>
        <v>-791.99637319407884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1.0359139858370701E-2</v>
      </c>
      <c r="F14" s="185">
        <v>9.5757030188596704E-3</v>
      </c>
      <c r="G14" s="186">
        <v>1.08181507279079</v>
      </c>
      <c r="H14" s="42">
        <f t="shared" si="0"/>
        <v>0.90151256065899499</v>
      </c>
      <c r="I14" s="47">
        <f>+'Centers of Mass and Rigidity'!L13-'Centers of Mass and Rigidity'!F13</f>
        <v>0.77337471285560078</v>
      </c>
      <c r="J14" s="47">
        <f>+'Centers of Mass and Rigidity'!M13-'Centers of Mass and Rigidity'!G13</f>
        <v>9.8631551264459105E-2</v>
      </c>
      <c r="K14" s="172">
        <f>IF(+'Sismo UBC-94 y Dinamico'!O23=0,'Sismo UBC-94 y Dinamico'!M23,'Sismo UBC-94 y Dinamico'!O23)</f>
        <v>6969.4775371005198</v>
      </c>
      <c r="L14" s="172">
        <f>IF(+'Sismo UBC-94 y Dinamico'!P23=0,'Sismo UBC-94 y Dinamico'!N23,'Sismo UBC-94 y Dinamico'!P23)</f>
        <v>113.02177229912681</v>
      </c>
      <c r="M14" s="52">
        <f t="shared" si="3"/>
        <v>-662.66036006134732</v>
      </c>
      <c r="N14" s="172">
        <f t="shared" si="1"/>
        <v>19</v>
      </c>
      <c r="O14" s="172">
        <f t="shared" si="2"/>
        <v>19</v>
      </c>
      <c r="P14" s="95">
        <f t="shared" si="4"/>
        <v>-652.08569636500124</v>
      </c>
      <c r="Q14" s="95">
        <f t="shared" si="5"/>
        <v>-10.574663696346988</v>
      </c>
      <c r="R14" s="95">
        <f t="shared" si="6"/>
        <v>-662.66036006134823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6.7617717775258698E-3</v>
      </c>
      <c r="F15" s="185">
        <v>6.2411802272827896E-3</v>
      </c>
      <c r="G15" s="186">
        <v>1.08341235652311</v>
      </c>
      <c r="H15" s="42">
        <f t="shared" si="0"/>
        <v>0.90284363043592286</v>
      </c>
      <c r="I15" s="47">
        <f>+'Centers of Mass and Rigidity'!L14-'Centers of Mass and Rigidity'!F14</f>
        <v>0.64309249220660014</v>
      </c>
      <c r="J15" s="47">
        <f>+'Centers of Mass and Rigidity'!M14-'Centers of Mass and Rigidity'!G14</f>
        <v>9.7419725614949826E-2</v>
      </c>
      <c r="K15" s="172">
        <f>IF(+'Sismo UBC-94 y Dinamico'!O24=0,'Sismo UBC-94 y Dinamico'!M24,'Sismo UBC-94 y Dinamico'!O24)</f>
        <v>5335.6319134320847</v>
      </c>
      <c r="L15" s="172">
        <f>IF(+'Sismo UBC-94 y Dinamico'!P24=0,'Sismo UBC-94 y Dinamico'!N24,'Sismo UBC-94 y Dinamico'!P24)</f>
        <v>92.142269914805937</v>
      </c>
      <c r="M15" s="52">
        <f t="shared" si="3"/>
        <v>-500.97569274422716</v>
      </c>
      <c r="N15" s="172">
        <f t="shared" si="1"/>
        <v>19</v>
      </c>
      <c r="O15" s="172">
        <f t="shared" si="2"/>
        <v>19</v>
      </c>
      <c r="P15" s="95">
        <f t="shared" si="4"/>
        <v>-492.4710947373278</v>
      </c>
      <c r="Q15" s="95">
        <f t="shared" si="5"/>
        <v>-8.5045980069000393</v>
      </c>
      <c r="R15" s="95">
        <f t="shared" si="6"/>
        <v>-500.97569274422784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3.1328330099670899E-3</v>
      </c>
      <c r="F16" s="188">
        <v>2.8829934873375001E-3</v>
      </c>
      <c r="G16" s="189">
        <v>1.0866597596307199</v>
      </c>
      <c r="H16" s="42">
        <f t="shared" si="0"/>
        <v>0.90554979969226412</v>
      </c>
      <c r="I16" s="47">
        <f>+'Centers of Mass and Rigidity'!L15-'Centers of Mass and Rigidity'!F15</f>
        <v>0.29715207380600006</v>
      </c>
      <c r="J16" s="47">
        <f>+'Centers of Mass and Rigidity'!M15-'Centers of Mass and Rigidity'!G15</f>
        <v>8.7872288242259344E-2</v>
      </c>
      <c r="K16" s="172">
        <f>IF(+'Sismo UBC-94 y Dinamico'!O25=0,'Sismo UBC-94 y Dinamico'!M25,'Sismo UBC-94 y Dinamico'!O25)</f>
        <v>2990.5775309576302</v>
      </c>
      <c r="L16" s="172">
        <f>IF(+'Sismo UBC-94 y Dinamico'!P25=0,'Sismo UBC-94 y Dinamico'!N25,'Sismo UBC-94 y Dinamico'!P25)</f>
        <v>58.561383261487642</v>
      </c>
      <c r="M16" s="52">
        <f t="shared" si="3"/>
        <v>-273.59219215340261</v>
      </c>
      <c r="N16" s="172">
        <f t="shared" si="1"/>
        <v>19</v>
      </c>
      <c r="O16" s="172">
        <f t="shared" si="2"/>
        <v>19</v>
      </c>
      <c r="P16" s="95">
        <f t="shared" si="4"/>
        <v>-268.33761449302483</v>
      </c>
      <c r="Q16" s="95">
        <f t="shared" si="5"/>
        <v>-5.2545776603783168</v>
      </c>
      <c r="R16" s="95">
        <f t="shared" si="6"/>
        <v>-273.59219215340318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2.6883042231218901E-2</v>
      </c>
      <c r="F24" s="185">
        <v>2.6285513505526801E-2</v>
      </c>
      <c r="G24" s="186">
        <v>1.0227322447235601</v>
      </c>
      <c r="H24" s="42">
        <f>+E24/(1.2*F24)</f>
        <v>0.85227687060296753</v>
      </c>
      <c r="I24" s="47">
        <f t="shared" ref="I24:L28" si="7">+I6</f>
        <v>-1.3911591726467982</v>
      </c>
      <c r="J24" s="47">
        <f t="shared" si="7"/>
        <v>-0.17722727764665969</v>
      </c>
      <c r="K24" s="48">
        <f>+K6</f>
        <v>1098.2493015829334</v>
      </c>
      <c r="L24" s="48">
        <f>+L6</f>
        <v>52.564760073003498</v>
      </c>
      <c r="M24" s="52">
        <f>-0.05*N24*K24*(H24-1)-0.05*O24*L24*(H24-1)</f>
        <v>161.50176181482826</v>
      </c>
      <c r="N24" s="172">
        <f>+$N$3</f>
        <v>19</v>
      </c>
      <c r="O24" s="172">
        <f>+$O$3</f>
        <v>19</v>
      </c>
      <c r="P24" s="95">
        <f>+K24*(J24-0.05*N24*H24)-K24*(J24-0.05*N24)</f>
        <v>154.12498250353951</v>
      </c>
      <c r="Q24" s="95">
        <f>+L24*(I24-0.05*O24*H24)-L24*(I24-0.05*O24)</f>
        <v>7.3767793112888711</v>
      </c>
      <c r="R24" s="95">
        <f>+P24+Q24</f>
        <v>161.5017618148284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2.7583967187125601E-2</v>
      </c>
      <c r="F25" s="185">
        <v>2.5183580435005501E-2</v>
      </c>
      <c r="G25" s="186">
        <v>1.0953155472993601</v>
      </c>
      <c r="H25" s="42">
        <f>+E25/(1.2*F25)</f>
        <v>0.91276295608280322</v>
      </c>
      <c r="I25" s="47">
        <f t="shared" si="7"/>
        <v>0.81832396142009856</v>
      </c>
      <c r="J25" s="47">
        <f t="shared" si="7"/>
        <v>0.14376094031357134</v>
      </c>
      <c r="K25" s="48">
        <f t="shared" si="7"/>
        <v>15974.306463273961</v>
      </c>
      <c r="L25" s="48">
        <f t="shared" si="7"/>
        <v>299.58656554043034</v>
      </c>
      <c r="M25" s="52">
        <f>-0.05*N25*K25*(H25-1)-0.05*O25*L25*(H25-1)</f>
        <v>1348.7020048155216</v>
      </c>
      <c r="N25" s="172">
        <f t="shared" ref="N25:N34" si="8">+$N$3</f>
        <v>19</v>
      </c>
      <c r="O25" s="172">
        <f t="shared" ref="O25:O34" si="9">+$O$3</f>
        <v>19</v>
      </c>
      <c r="P25" s="95">
        <f>+K25*(J25-0.05*N25*H25)-K25*(J25-0.05*N25)</f>
        <v>1323.8737107592224</v>
      </c>
      <c r="Q25" s="95">
        <f>+L25*(I25-0.05*O25*H25)-L25*(I25-0.05*O25)</f>
        <v>24.828294056300045</v>
      </c>
      <c r="R25" s="95">
        <f>+P25+Q25</f>
        <v>1348.7020048155225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2.65445428910571E-2</v>
      </c>
      <c r="F26" s="185">
        <v>2.4212211935897201E-2</v>
      </c>
      <c r="G26" s="186">
        <v>1.0963287022819299</v>
      </c>
      <c r="H26" s="42">
        <f>+E26/(1.2*F26)</f>
        <v>0.91360725190160375</v>
      </c>
      <c r="I26" s="47">
        <f t="shared" si="7"/>
        <v>0.90623364566060083</v>
      </c>
      <c r="J26" s="47">
        <f t="shared" si="7"/>
        <v>7.6329902786058668E-2</v>
      </c>
      <c r="K26" s="48">
        <f t="shared" si="7"/>
        <v>17634.933672002993</v>
      </c>
      <c r="L26" s="48">
        <f t="shared" si="7"/>
        <v>301.3844277288203</v>
      </c>
      <c r="M26" s="52">
        <f>-0.05*N26*K26*(H26-1)-0.05*O26*L26*(H26-1)</f>
        <v>1472.0894208326945</v>
      </c>
      <c r="N26" s="172">
        <f t="shared" si="8"/>
        <v>19</v>
      </c>
      <c r="O26" s="172">
        <f t="shared" si="9"/>
        <v>19</v>
      </c>
      <c r="P26" s="95">
        <f>+K26*(J26-0.05*N26*H26)-K26*(J26-0.05*N26)</f>
        <v>1447.3538633344178</v>
      </c>
      <c r="Q26" s="95">
        <f>+L26*(I26-0.05*O26*H26)-L26*(I26-0.05*O26)</f>
        <v>24.735557498277522</v>
      </c>
      <c r="R26" s="95">
        <f>+P26+Q26</f>
        <v>1472.0894208326954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2.49465618651089E-2</v>
      </c>
      <c r="F27" s="185">
        <v>2.2734222830594699E-2</v>
      </c>
      <c r="G27" s="186">
        <v>1.09731315871229</v>
      </c>
      <c r="H27" s="42">
        <f>+E27/(1.2*F27)</f>
        <v>0.91442763226024071</v>
      </c>
      <c r="I27" s="47">
        <f t="shared" si="7"/>
        <v>0.90144358049409945</v>
      </c>
      <c r="J27" s="47">
        <f t="shared" si="7"/>
        <v>8.1466134316318772E-2</v>
      </c>
      <c r="K27" s="48">
        <f t="shared" si="7"/>
        <v>14908.639895175855</v>
      </c>
      <c r="L27" s="48">
        <f t="shared" si="7"/>
        <v>237.71425032997948</v>
      </c>
      <c r="M27" s="52">
        <f>-0.05*N27*K27*(H27-1)-0.05*O27*L27*(H27-1)</f>
        <v>1231.3039175130602</v>
      </c>
      <c r="N27" s="172">
        <f t="shared" si="8"/>
        <v>19</v>
      </c>
      <c r="O27" s="172">
        <f t="shared" si="9"/>
        <v>19</v>
      </c>
      <c r="P27" s="95">
        <f>+K27*(J27-0.05*N27*H27)-K27*(J27-0.05*N27)</f>
        <v>1211.9792348291539</v>
      </c>
      <c r="Q27" s="95">
        <f>+L27*(I27-0.05*O27*H27)-L27*(I27-0.05*O27)</f>
        <v>19.324682683907294</v>
      </c>
      <c r="R27" s="95">
        <f>+P27+Q27</f>
        <v>1231.3039175130612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2.2827494764457199E-2</v>
      </c>
      <c r="F28" s="185">
        <v>2.0784552850634901E-2</v>
      </c>
      <c r="G28" s="186">
        <v>1.09829135745684</v>
      </c>
      <c r="H28" s="42">
        <f>+E28/(1.2*F28)</f>
        <v>0.9152427978806984</v>
      </c>
      <c r="I28" s="47">
        <f t="shared" si="7"/>
        <v>0.89345451904859985</v>
      </c>
      <c r="J28" s="47">
        <f t="shared" si="7"/>
        <v>8.6166966129658462E-2</v>
      </c>
      <c r="K28" s="48">
        <f t="shared" si="7"/>
        <v>12660.287269590821</v>
      </c>
      <c r="L28" s="48">
        <f t="shared" si="7"/>
        <v>198.16171912057894</v>
      </c>
      <c r="M28" s="52">
        <f>-0.05*N28*K28*(H28-1)-0.05*O28*L28*(H28-1)</f>
        <v>1035.3538518830944</v>
      </c>
      <c r="N28" s="172">
        <f t="shared" si="8"/>
        <v>19</v>
      </c>
      <c r="O28" s="172">
        <f t="shared" si="9"/>
        <v>19</v>
      </c>
      <c r="P28" s="95">
        <f>+K28*(J28-0.05*N28*H28)-K28*(J28-0.05*N28)</f>
        <v>1019.3980006472739</v>
      </c>
      <c r="Q28" s="95">
        <f>+L28*(I28-0.05*O28*H28)-L28*(I28-0.05*O28)</f>
        <v>15.955851235820628</v>
      </c>
      <c r="R28" s="95">
        <f>+P28+Q28</f>
        <v>1035.3538518830944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2.0265054100581999E-2</v>
      </c>
      <c r="F29" s="185">
        <v>1.8434048504764499E-2</v>
      </c>
      <c r="G29" s="186">
        <v>1.0993273721366299</v>
      </c>
      <c r="H29" s="42">
        <f t="shared" ref="H29:H34" si="10">+E29/(1.2*F29)</f>
        <v>0.91610614344719477</v>
      </c>
      <c r="I29" s="47">
        <f t="shared" ref="I29:L34" si="11">+I11</f>
        <v>0.88159010098400081</v>
      </c>
      <c r="J29" s="47">
        <f t="shared" si="11"/>
        <v>9.0382385109789354E-2</v>
      </c>
      <c r="K29" s="48">
        <f t="shared" si="11"/>
        <v>10912.155064816337</v>
      </c>
      <c r="L29" s="48">
        <f t="shared" si="11"/>
        <v>172.79644960244443</v>
      </c>
      <c r="M29" s="52">
        <f t="shared" ref="M29:M34" si="12">-0.05*N29*K29*(H29-1)-0.05*O29*L29*(H29-1)</f>
        <v>883.46136563317793</v>
      </c>
      <c r="N29" s="172">
        <f t="shared" si="8"/>
        <v>19</v>
      </c>
      <c r="O29" s="172">
        <f t="shared" si="9"/>
        <v>19</v>
      </c>
      <c r="P29" s="95">
        <f t="shared" ref="P29:P34" si="13">+K29*(J29-0.05*N29*H29)-K29*(J29-0.05*N29)</f>
        <v>869.68963310518484</v>
      </c>
      <c r="Q29" s="95">
        <f t="shared" ref="Q29:Q34" si="14">+L29*(I29-0.05*O29*H29)-L29*(I29-0.05*O29)</f>
        <v>13.771732527992432</v>
      </c>
      <c r="R29" s="95">
        <f t="shared" ref="R29:R34" si="15">+P29+Q29</f>
        <v>883.46136563317725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1.7329826531985101E-2</v>
      </c>
      <c r="F30" s="185">
        <v>1.5747480213153201E-2</v>
      </c>
      <c r="G30" s="186">
        <v>1.10048250878323</v>
      </c>
      <c r="H30" s="42">
        <f t="shared" si="10"/>
        <v>0.917068757319358</v>
      </c>
      <c r="I30" s="47">
        <f t="shared" si="11"/>
        <v>0.86339472939820006</v>
      </c>
      <c r="J30" s="47">
        <f t="shared" si="11"/>
        <v>9.4060509277699822E-2</v>
      </c>
      <c r="K30" s="48">
        <f t="shared" si="11"/>
        <v>9506.0135242065026</v>
      </c>
      <c r="L30" s="48">
        <f t="shared" si="11"/>
        <v>151.3917490559339</v>
      </c>
      <c r="M30" s="52">
        <f t="shared" si="12"/>
        <v>760.85558936312702</v>
      </c>
      <c r="N30" s="172">
        <f t="shared" si="8"/>
        <v>19</v>
      </c>
      <c r="O30" s="172">
        <f t="shared" si="9"/>
        <v>19</v>
      </c>
      <c r="P30" s="95">
        <f t="shared" si="13"/>
        <v>748.92823877636238</v>
      </c>
      <c r="Q30" s="95">
        <f t="shared" si="14"/>
        <v>11.927350586764287</v>
      </c>
      <c r="R30" s="95">
        <f t="shared" si="15"/>
        <v>760.85558936312668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1.40842938384755E-2</v>
      </c>
      <c r="F31" s="185">
        <v>1.27825221181119E-2</v>
      </c>
      <c r="G31" s="186">
        <v>1.1018399740157001</v>
      </c>
      <c r="H31" s="42">
        <f t="shared" si="10"/>
        <v>0.91819997834641498</v>
      </c>
      <c r="I31" s="47">
        <f t="shared" si="11"/>
        <v>0.8325538140262001</v>
      </c>
      <c r="J31" s="47">
        <f t="shared" si="11"/>
        <v>9.6998857881789746E-2</v>
      </c>
      <c r="K31" s="48">
        <f t="shared" si="11"/>
        <v>8259.665600381908</v>
      </c>
      <c r="L31" s="48">
        <f t="shared" si="11"/>
        <v>131.60463422765466</v>
      </c>
      <c r="M31" s="52">
        <f t="shared" si="12"/>
        <v>652.08578254753843</v>
      </c>
      <c r="N31" s="172">
        <f t="shared" si="8"/>
        <v>19</v>
      </c>
      <c r="O31" s="172">
        <f t="shared" si="9"/>
        <v>19</v>
      </c>
      <c r="P31" s="95">
        <f t="shared" si="13"/>
        <v>641.85878371448143</v>
      </c>
      <c r="Q31" s="95">
        <f t="shared" si="14"/>
        <v>10.226998833057579</v>
      </c>
      <c r="R31" s="95">
        <f t="shared" si="15"/>
        <v>652.085782547539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1.0588999847545201E-2</v>
      </c>
      <c r="F32" s="185">
        <v>9.5953671813122608E-3</v>
      </c>
      <c r="G32" s="186">
        <v>1.10355337606758</v>
      </c>
      <c r="H32" s="42">
        <f t="shared" si="10"/>
        <v>0.91962781338964972</v>
      </c>
      <c r="I32" s="47">
        <f t="shared" si="11"/>
        <v>0.77337471285560078</v>
      </c>
      <c r="J32" s="47">
        <f t="shared" si="11"/>
        <v>9.8631551264459105E-2</v>
      </c>
      <c r="K32" s="48">
        <f t="shared" si="11"/>
        <v>6969.4775371005198</v>
      </c>
      <c r="L32" s="48">
        <f t="shared" si="11"/>
        <v>113.02177229912681</v>
      </c>
      <c r="M32" s="52">
        <f t="shared" si="12"/>
        <v>540.77415835460818</v>
      </c>
      <c r="N32" s="172">
        <f t="shared" si="8"/>
        <v>19</v>
      </c>
      <c r="O32" s="172">
        <f t="shared" si="9"/>
        <v>19</v>
      </c>
      <c r="P32" s="95">
        <f t="shared" si="13"/>
        <v>532.14454172906244</v>
      </c>
      <c r="Q32" s="95">
        <f t="shared" si="14"/>
        <v>8.6296166255450366</v>
      </c>
      <c r="R32" s="95">
        <f t="shared" si="15"/>
        <v>540.77415835460749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6.9175471413458504E-3</v>
      </c>
      <c r="F33" s="185">
        <v>6.2544393334307896E-3</v>
      </c>
      <c r="G33" s="186">
        <v>1.10602194258575</v>
      </c>
      <c r="H33" s="42">
        <f t="shared" si="10"/>
        <v>0.9216849521547924</v>
      </c>
      <c r="I33" s="47">
        <f t="shared" si="11"/>
        <v>0.64309249220660014</v>
      </c>
      <c r="J33" s="47">
        <f t="shared" si="11"/>
        <v>9.7419725614949826E-2</v>
      </c>
      <c r="K33" s="48">
        <f t="shared" si="11"/>
        <v>5335.6319134320847</v>
      </c>
      <c r="L33" s="48">
        <f t="shared" si="11"/>
        <v>92.142269914805937</v>
      </c>
      <c r="M33" s="52">
        <f t="shared" si="12"/>
        <v>403.82257511870466</v>
      </c>
      <c r="N33" s="172">
        <f t="shared" si="8"/>
        <v>19</v>
      </c>
      <c r="O33" s="172">
        <f t="shared" si="9"/>
        <v>19</v>
      </c>
      <c r="P33" s="95">
        <f t="shared" si="13"/>
        <v>396.96725515560775</v>
      </c>
      <c r="Q33" s="95">
        <f t="shared" si="14"/>
        <v>6.8553199630968535</v>
      </c>
      <c r="R33" s="95">
        <f t="shared" si="15"/>
        <v>403.82257511870461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3.2087534438237698E-3</v>
      </c>
      <c r="F34" s="188">
        <v>2.8893023752609502E-3</v>
      </c>
      <c r="G34" s="189">
        <v>1.11056339111408</v>
      </c>
      <c r="H34" s="42">
        <f t="shared" si="10"/>
        <v>0.9254694925950675</v>
      </c>
      <c r="I34" s="47">
        <f t="shared" si="11"/>
        <v>0.29715207380600006</v>
      </c>
      <c r="J34" s="47">
        <f t="shared" si="11"/>
        <v>8.7872288242259344E-2</v>
      </c>
      <c r="K34" s="48">
        <f t="shared" si="11"/>
        <v>2990.5775309576302</v>
      </c>
      <c r="L34" s="48">
        <f t="shared" si="11"/>
        <v>58.561383261487642</v>
      </c>
      <c r="M34" s="52">
        <f t="shared" si="12"/>
        <v>215.89117690363204</v>
      </c>
      <c r="N34" s="172">
        <f t="shared" si="8"/>
        <v>19</v>
      </c>
      <c r="O34" s="172">
        <f t="shared" si="9"/>
        <v>19</v>
      </c>
      <c r="P34" s="95">
        <f t="shared" si="13"/>
        <v>211.74479777525949</v>
      </c>
      <c r="Q34" s="95">
        <f t="shared" si="14"/>
        <v>4.1463791283727289</v>
      </c>
      <c r="R34" s="95">
        <f t="shared" si="15"/>
        <v>215.89117690363221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2.7808384560021399E-2</v>
      </c>
      <c r="F42" s="185">
        <v>2.7758206809075901E-2</v>
      </c>
      <c r="G42" s="186">
        <v>1.00180767263861</v>
      </c>
      <c r="H42" s="42">
        <f>+E42/(1.2*F42)</f>
        <v>0.83483972719883726</v>
      </c>
      <c r="I42" s="181">
        <f>+I24</f>
        <v>-1.3911591726467982</v>
      </c>
      <c r="J42" s="181">
        <f>+J24</f>
        <v>-0.17722727764665969</v>
      </c>
      <c r="K42" s="48">
        <f>IF(+'Sismo UBC-94 y Dinamico'!O34=0,'Sismo UBC-94 y Dinamico'!M34,'Sismo UBC-94 y Dinamico'!O34)</f>
        <v>65.368468860783125</v>
      </c>
      <c r="L42" s="48">
        <f>IF(+'Sismo UBC-94 y Dinamico'!P34=0,'Sismo UBC-94 y Dinamico'!N34,'Sismo UBC-94 y Dinamico'!P34)</f>
        <v>892.30141488073741</v>
      </c>
      <c r="M42" s="52">
        <f>0.05*N42*K42*(H42-1)+0.05*O42*L42*(H42-1)</f>
        <v>-150.26056828959699</v>
      </c>
      <c r="N42" s="172">
        <f>+$N$3</f>
        <v>19</v>
      </c>
      <c r="O42" s="172">
        <f>+$O$3</f>
        <v>19</v>
      </c>
      <c r="P42" s="95">
        <f>+K42*(J42+0.05*N42*H42)-K42*(J42+0.05*N42)</f>
        <v>-10.256460442159188</v>
      </c>
      <c r="Q42" s="95">
        <f>+L42*(I42+0.05*O42*H42)-L42*(I42+0.05*O42)</f>
        <v>-140.00410784743775</v>
      </c>
      <c r="R42" s="95">
        <f>+P42+Q42</f>
        <v>-150.26056828959693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2.7301850675392501E-2</v>
      </c>
      <c r="F43" s="185">
        <v>2.69812358440914E-2</v>
      </c>
      <c r="G43" s="186">
        <v>1.0118828816127601</v>
      </c>
      <c r="H43" s="42">
        <f t="shared" ref="H43:H52" si="16">+E43/(1.2*F43)</f>
        <v>0.84323573467729407</v>
      </c>
      <c r="I43" s="181">
        <f t="shared" ref="I43:J43" si="17">+I25</f>
        <v>0.81832396142009856</v>
      </c>
      <c r="J43" s="181">
        <f t="shared" si="17"/>
        <v>0.14376094031357134</v>
      </c>
      <c r="K43" s="48">
        <f>IF(+'Sismo UBC-94 y Dinamico'!O35=0,'Sismo UBC-94 y Dinamico'!M35,'Sismo UBC-94 y Dinamico'!O35)</f>
        <v>300.80954959805024</v>
      </c>
      <c r="L43" s="48">
        <f>IF(+'Sismo UBC-94 y Dinamico'!P35=0,'Sismo UBC-94 y Dinamico'!N35,'Sismo UBC-94 y Dinamico'!P35)</f>
        <v>16129.780398237826</v>
      </c>
      <c r="M43" s="52">
        <f>0.05*N43*K43*(H43-1)+0.05*O43*L43*(H43-1)</f>
        <v>-2446.9428938915721</v>
      </c>
      <c r="N43" s="172">
        <f t="shared" ref="N43:N52" si="18">+$N$3</f>
        <v>19</v>
      </c>
      <c r="O43" s="172">
        <f t="shared" ref="O43:O52" si="19">+$O$3</f>
        <v>19</v>
      </c>
      <c r="P43" s="95">
        <f>+K43*(J43+0.05*N43*H43)-K43*(J43+0.05*N43)</f>
        <v>-44.798378642552791</v>
      </c>
      <c r="Q43" s="95">
        <f>+L43*(I43+0.05*O43*H43)-L43*(I43+0.05*O43)</f>
        <v>-2402.1445152490196</v>
      </c>
      <c r="R43" s="95">
        <f>+P43+Q43</f>
        <v>-2446.9428938915726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2.6327707819186901E-2</v>
      </c>
      <c r="F44" s="185">
        <v>2.60280287955682E-2</v>
      </c>
      <c r="G44" s="186">
        <v>1.0115137041676301</v>
      </c>
      <c r="H44" s="42">
        <f t="shared" si="16"/>
        <v>0.84292808680635756</v>
      </c>
      <c r="I44" s="181">
        <f t="shared" ref="I44:J44" si="20">+I26</f>
        <v>0.90623364566060083</v>
      </c>
      <c r="J44" s="181">
        <f t="shared" si="20"/>
        <v>7.6329902786058668E-2</v>
      </c>
      <c r="K44" s="48">
        <f>IF(+'Sismo UBC-94 y Dinamico'!O36=0,'Sismo UBC-94 y Dinamico'!M36,'Sismo UBC-94 y Dinamico'!O36)</f>
        <v>339.85961232941509</v>
      </c>
      <c r="L44" s="48">
        <f>IF(+'Sismo UBC-94 y Dinamico'!P36=0,'Sismo UBC-94 y Dinamico'!N36,'Sismo UBC-94 y Dinamico'!P36)</f>
        <v>17717.06497023251</v>
      </c>
      <c r="M44" s="52">
        <f>0.05*N44*K44*(H44-1)+0.05*O44*L44*(H44-1)</f>
        <v>-2694.4239060474997</v>
      </c>
      <c r="N44" s="172">
        <f t="shared" si="18"/>
        <v>19</v>
      </c>
      <c r="O44" s="172">
        <f t="shared" si="19"/>
        <v>19</v>
      </c>
      <c r="P44" s="95">
        <f>+K44*(J44+0.05*N44*H44)-K44*(J44+0.05*N44)</f>
        <v>-50.713279549539322</v>
      </c>
      <c r="Q44" s="95">
        <f>+L44*(I44+0.05*O44*H44)-L44*(I44+0.05*O44)</f>
        <v>-2643.7106264979629</v>
      </c>
      <c r="R44" s="95">
        <f>+P44+Q44</f>
        <v>-2694.4239060475024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2.4786265193319602E-2</v>
      </c>
      <c r="F45" s="185">
        <v>2.45123016574459E-2</v>
      </c>
      <c r="G45" s="186">
        <v>1.0111765732856199</v>
      </c>
      <c r="H45" s="42">
        <f t="shared" si="16"/>
        <v>0.84264714440468458</v>
      </c>
      <c r="I45" s="181">
        <f t="shared" ref="I45:J45" si="21">+I27</f>
        <v>0.90144358049409945</v>
      </c>
      <c r="J45" s="181">
        <f t="shared" si="21"/>
        <v>8.1466134316318772E-2</v>
      </c>
      <c r="K45" s="48">
        <f>IF(+'Sismo UBC-94 y Dinamico'!O37=0,'Sismo UBC-94 y Dinamico'!M37,'Sismo UBC-94 y Dinamico'!O37)</f>
        <v>273.77407936097143</v>
      </c>
      <c r="L45" s="48">
        <f>IF(+'Sismo UBC-94 y Dinamico'!P37=0,'Sismo UBC-94 y Dinamico'!N37,'Sismo UBC-94 y Dinamico'!P37)</f>
        <v>14892.672516909943</v>
      </c>
      <c r="M45" s="52">
        <f>0.05*N45*K45*(H45-1)+0.05*O45*L45*(H45-1)</f>
        <v>-2267.1594970992264</v>
      </c>
      <c r="N45" s="172">
        <f t="shared" si="18"/>
        <v>19</v>
      </c>
      <c r="O45" s="172">
        <f t="shared" si="19"/>
        <v>19</v>
      </c>
      <c r="P45" s="95">
        <f>+K45*(J45+0.05*N45*H45)-K45*(J45+0.05*N45)</f>
        <v>-40.925176516655995</v>
      </c>
      <c r="Q45" s="95">
        <f>+L45*(I45+0.05*O45*H45)-L45*(I45+0.05*O45)</f>
        <v>-2226.2343205825709</v>
      </c>
      <c r="R45" s="95">
        <f>+P45+Q45</f>
        <v>-2267.1594970992269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2.27159449572891E-2</v>
      </c>
      <c r="F46" s="185">
        <v>2.24660006513785E-2</v>
      </c>
      <c r="G46" s="186">
        <v>1.0111254472831701</v>
      </c>
      <c r="H46" s="42">
        <f t="shared" si="16"/>
        <v>0.84260453940264268</v>
      </c>
      <c r="I46" s="181">
        <f t="shared" ref="I46:J46" si="22">+I28</f>
        <v>0.89345451904859985</v>
      </c>
      <c r="J46" s="181">
        <f t="shared" si="22"/>
        <v>8.6166966129658462E-2</v>
      </c>
      <c r="K46" s="48">
        <f>IF(+'Sismo UBC-94 y Dinamico'!O38=0,'Sismo UBC-94 y Dinamico'!M38,'Sismo UBC-94 y Dinamico'!O38)</f>
        <v>230.44313695085501</v>
      </c>
      <c r="L46" s="48">
        <f>IF(+'Sismo UBC-94 y Dinamico'!P38=0,'Sismo UBC-94 y Dinamico'!N38,'Sismo UBC-94 y Dinamico'!P38)</f>
        <v>12590.988446356278</v>
      </c>
      <c r="M46" s="52">
        <f>0.05*N46*K46*(H46-1)+0.05*O46*L46*(H46-1)</f>
        <v>-1917.1333730935239</v>
      </c>
      <c r="N46" s="172">
        <f t="shared" si="18"/>
        <v>19</v>
      </c>
      <c r="O46" s="172">
        <f t="shared" si="19"/>
        <v>19</v>
      </c>
      <c r="P46" s="95">
        <f>+K46*(J46+0.05*N46*H46)-K46*(J46+0.05*N46)</f>
        <v>-34.457168497785744</v>
      </c>
      <c r="Q46" s="95">
        <f>+L46*(I46+0.05*O46*H46)-L46*(I46+0.05*O46)</f>
        <v>-1882.6762045957403</v>
      </c>
      <c r="R46" s="95">
        <f>+P46+Q46</f>
        <v>-1917.133373093526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2.0193074545112901E-2</v>
      </c>
      <c r="F47" s="185">
        <v>1.9964901137319298E-2</v>
      </c>
      <c r="G47" s="186">
        <v>1.0114287271559399</v>
      </c>
      <c r="H47" s="42">
        <f t="shared" si="16"/>
        <v>0.84285727262994425</v>
      </c>
      <c r="I47" s="181">
        <f t="shared" ref="I47:J47" si="23">+I29</f>
        <v>0.88159010098400081</v>
      </c>
      <c r="J47" s="181">
        <f t="shared" si="23"/>
        <v>9.0382385109789354E-2</v>
      </c>
      <c r="K47" s="48">
        <f>IF(+'Sismo UBC-94 y Dinamico'!O39=0,'Sismo UBC-94 y Dinamico'!M39,'Sismo UBC-94 y Dinamico'!O39)</f>
        <v>201.74920112505319</v>
      </c>
      <c r="L47" s="48">
        <f>IF(+'Sismo UBC-94 y Dinamico'!P39=0,'Sismo UBC-94 y Dinamico'!N39,'Sismo UBC-94 y Dinamico'!P39)</f>
        <v>10824.938768170019</v>
      </c>
      <c r="M47" s="52">
        <f t="shared" ref="M47:M52" si="24">0.05*N47*K47*(H47-1)+0.05*O47*L47*(H47-1)</f>
        <v>-1646.1256302859288</v>
      </c>
      <c r="N47" s="172">
        <f t="shared" si="18"/>
        <v>19</v>
      </c>
      <c r="O47" s="172">
        <f t="shared" si="19"/>
        <v>19</v>
      </c>
      <c r="P47" s="95">
        <f t="shared" ref="P47:P52" si="25">+K47*(J47+0.05*N47*H47)-K47*(J47+0.05*N47)</f>
        <v>-30.118248724044747</v>
      </c>
      <c r="Q47" s="95">
        <f t="shared" ref="Q47:Q52" si="26">+L47*(I47+0.05*O47*H47)-L47*(I47+0.05*O47)</f>
        <v>-1616.0073815618816</v>
      </c>
      <c r="R47" s="95">
        <f t="shared" ref="R47:R52" si="27">+P47+Q47</f>
        <v>-1646.1256302859265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1.7287579101781698E-2</v>
      </c>
      <c r="F48" s="185">
        <v>1.7078923590642899E-2</v>
      </c>
      <c r="G48" s="186">
        <v>1.01221713476446</v>
      </c>
      <c r="H48" s="42">
        <f t="shared" si="16"/>
        <v>0.84351427897038345</v>
      </c>
      <c r="I48" s="181">
        <f t="shared" ref="I48:J48" si="28">+I30</f>
        <v>0.86339472939820006</v>
      </c>
      <c r="J48" s="181">
        <f t="shared" si="28"/>
        <v>9.4060509277699822E-2</v>
      </c>
      <c r="K48" s="48">
        <f>IF(+'Sismo UBC-94 y Dinamico'!O40=0,'Sismo UBC-94 y Dinamico'!M40,'Sismo UBC-94 y Dinamico'!O40)</f>
        <v>176.94857890398373</v>
      </c>
      <c r="L48" s="48">
        <f>IF(+'Sismo UBC-94 y Dinamico'!P40=0,'Sismo UBC-94 y Dinamico'!N40,'Sismo UBC-94 y Dinamico'!P40)</f>
        <v>9448.6112844123836</v>
      </c>
      <c r="M48" s="52">
        <f t="shared" si="24"/>
        <v>-1430.9495417485593</v>
      </c>
      <c r="N48" s="172">
        <f t="shared" si="18"/>
        <v>19</v>
      </c>
      <c r="O48" s="172">
        <f t="shared" si="19"/>
        <v>19</v>
      </c>
      <c r="P48" s="95">
        <f t="shared" si="25"/>
        <v>-26.305429657208123</v>
      </c>
      <c r="Q48" s="95">
        <f t="shared" si="26"/>
        <v>-1404.6441120913532</v>
      </c>
      <c r="R48" s="95">
        <f t="shared" si="27"/>
        <v>-1430.9495417485614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1.40607387821866E-2</v>
      </c>
      <c r="F49" s="185">
        <v>1.3869052929217999E-2</v>
      </c>
      <c r="G49" s="186">
        <v>1.0138211205874601</v>
      </c>
      <c r="H49" s="42">
        <f t="shared" si="16"/>
        <v>0.84485093382288412</v>
      </c>
      <c r="I49" s="181">
        <f t="shared" ref="I49:J49" si="29">+I31</f>
        <v>0.8325538140262001</v>
      </c>
      <c r="J49" s="181">
        <f t="shared" si="29"/>
        <v>9.6998857881789746E-2</v>
      </c>
      <c r="K49" s="48">
        <f>IF(+'Sismo UBC-94 y Dinamico'!O41=0,'Sismo UBC-94 y Dinamico'!M41,'Sismo UBC-94 y Dinamico'!O41)</f>
        <v>152.76277433133762</v>
      </c>
      <c r="L49" s="48">
        <f>IF(+'Sismo UBC-94 y Dinamico'!P41=0,'Sismo UBC-94 y Dinamico'!N41,'Sismo UBC-94 y Dinamico'!P41)</f>
        <v>8265.4548512879574</v>
      </c>
      <c r="M49" s="52">
        <f t="shared" si="24"/>
        <v>-1240.7746733160429</v>
      </c>
      <c r="N49" s="172">
        <f t="shared" si="18"/>
        <v>19</v>
      </c>
      <c r="O49" s="172">
        <f t="shared" si="19"/>
        <v>19</v>
      </c>
      <c r="P49" s="95">
        <f t="shared" si="25"/>
        <v>-22.515951694925917</v>
      </c>
      <c r="Q49" s="95">
        <f t="shared" si="26"/>
        <v>-1218.2587216211177</v>
      </c>
      <c r="R49" s="95">
        <f t="shared" si="27"/>
        <v>-1240.7746733160436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1.05723178461205E-2</v>
      </c>
      <c r="F50" s="185">
        <v>1.03946188319421E-2</v>
      </c>
      <c r="G50" s="186">
        <v>1.01709528911559</v>
      </c>
      <c r="H50" s="42">
        <f t="shared" si="16"/>
        <v>0.84757940759632444</v>
      </c>
      <c r="I50" s="181">
        <f t="shared" ref="I50:J50" si="30">+I32</f>
        <v>0.77337471285560078</v>
      </c>
      <c r="J50" s="181">
        <f t="shared" si="30"/>
        <v>9.8631551264459105E-2</v>
      </c>
      <c r="K50" s="48">
        <f>IF(+'Sismo UBC-94 y Dinamico'!O42=0,'Sismo UBC-94 y Dinamico'!M42,'Sismo UBC-94 y Dinamico'!O42)</f>
        <v>130.48336330264115</v>
      </c>
      <c r="L50" s="48">
        <f>IF(+'Sismo UBC-94 y Dinamico'!P42=0,'Sismo UBC-94 y Dinamico'!N42,'Sismo UBC-94 y Dinamico'!P42)</f>
        <v>7029.9052726606251</v>
      </c>
      <c r="M50" s="52">
        <f t="shared" si="24"/>
        <v>-1036.8211438473641</v>
      </c>
      <c r="N50" s="172">
        <f t="shared" si="18"/>
        <v>19</v>
      </c>
      <c r="O50" s="172">
        <f t="shared" si="19"/>
        <v>19</v>
      </c>
      <c r="P50" s="95">
        <f t="shared" si="25"/>
        <v>-18.893933956741975</v>
      </c>
      <c r="Q50" s="95">
        <f t="shared" si="26"/>
        <v>-1017.9272098906222</v>
      </c>
      <c r="R50" s="95">
        <f t="shared" si="27"/>
        <v>-1036.8211438473641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6.8984447210507401E-3</v>
      </c>
      <c r="F51" s="185">
        <v>6.7334596266412699E-3</v>
      </c>
      <c r="G51" s="186">
        <v>1.02450227721819</v>
      </c>
      <c r="H51" s="42">
        <f t="shared" si="16"/>
        <v>0.85375189768182702</v>
      </c>
      <c r="I51" s="181">
        <f t="shared" ref="I51:J51" si="31">+I33</f>
        <v>0.64309249220660014</v>
      </c>
      <c r="J51" s="181">
        <f t="shared" si="31"/>
        <v>9.7419725614949826E-2</v>
      </c>
      <c r="K51" s="48">
        <f>IF(+'Sismo UBC-94 y Dinamico'!O43=0,'Sismo UBC-94 y Dinamico'!M43,'Sismo UBC-94 y Dinamico'!O43)</f>
        <v>107.08241408281347</v>
      </c>
      <c r="L51" s="48">
        <f>IF(+'Sismo UBC-94 y Dinamico'!P43=0,'Sismo UBC-94 y Dinamico'!N43,'Sismo UBC-94 y Dinamico'!P43)</f>
        <v>5420.5678501271459</v>
      </c>
      <c r="M51" s="52">
        <f t="shared" si="24"/>
        <v>-767.98794334829142</v>
      </c>
      <c r="N51" s="172">
        <f t="shared" si="18"/>
        <v>19</v>
      </c>
      <c r="O51" s="172">
        <f t="shared" si="19"/>
        <v>19</v>
      </c>
      <c r="P51" s="95">
        <f t="shared" si="25"/>
        <v>-14.877569858697271</v>
      </c>
      <c r="Q51" s="95">
        <f t="shared" si="26"/>
        <v>-753.11037348959417</v>
      </c>
      <c r="R51" s="95">
        <f t="shared" si="27"/>
        <v>-767.98794334829142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3.1854111207537902E-3</v>
      </c>
      <c r="F52" s="188">
        <v>3.0514532933715202E-3</v>
      </c>
      <c r="G52" s="189">
        <v>1.04389968139878</v>
      </c>
      <c r="H52" s="42">
        <f t="shared" si="16"/>
        <v>0.86991640116565072</v>
      </c>
      <c r="I52" s="181">
        <f t="shared" ref="I52:J52" si="32">+I34</f>
        <v>0.29715207380600006</v>
      </c>
      <c r="J52" s="181">
        <f t="shared" si="32"/>
        <v>8.7872288242259344E-2</v>
      </c>
      <c r="K52" s="48">
        <f>IF(+'Sismo UBC-94 y Dinamico'!O44=0,'Sismo UBC-94 y Dinamico'!M44,'Sismo UBC-94 y Dinamico'!O44)</f>
        <v>69.083481846297403</v>
      </c>
      <c r="L52" s="48">
        <f>IF(+'Sismo UBC-94 y Dinamico'!P44=0,'Sismo UBC-94 y Dinamico'!N44,'Sismo UBC-94 y Dinamico'!P44)</f>
        <v>3037.6519992461217</v>
      </c>
      <c r="M52" s="52">
        <f t="shared" si="24"/>
        <v>-383.92856540652213</v>
      </c>
      <c r="N52" s="172">
        <f t="shared" si="18"/>
        <v>19</v>
      </c>
      <c r="O52" s="172">
        <f t="shared" si="19"/>
        <v>19</v>
      </c>
      <c r="P52" s="95">
        <f t="shared" si="25"/>
        <v>-8.5372965416451265</v>
      </c>
      <c r="Q52" s="95">
        <f t="shared" si="26"/>
        <v>-375.39126886487747</v>
      </c>
      <c r="R52" s="95">
        <f t="shared" si="27"/>
        <v>-383.92856540652258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2.5920393580248301E-2</v>
      </c>
      <c r="F60" s="185">
        <v>2.5038668000744901E-2</v>
      </c>
      <c r="G60" s="186">
        <v>1.0352145561208399</v>
      </c>
      <c r="H60" s="42">
        <f>+E60/(1.2*F60)</f>
        <v>0.86267879676736958</v>
      </c>
      <c r="I60" s="181">
        <f>+I42</f>
        <v>-1.3911591726467982</v>
      </c>
      <c r="J60" s="181">
        <f>+J42</f>
        <v>-0.17722727764665969</v>
      </c>
      <c r="K60" s="48">
        <f>+K42</f>
        <v>65.368468860783125</v>
      </c>
      <c r="L60" s="48">
        <f>+L42</f>
        <v>892.30141488073741</v>
      </c>
      <c r="M60" s="52">
        <f>-0.05*N60*K60*(H60-1)-0.05*O60*L60*(H60-1)</f>
        <v>124.93296169828696</v>
      </c>
      <c r="N60" s="172">
        <f>+$N$3</f>
        <v>19</v>
      </c>
      <c r="O60" s="172">
        <f>+$O$3</f>
        <v>19</v>
      </c>
      <c r="P60" s="95">
        <f>+K60*(J60-0.05*N60*H60)-K60*(J60-0.05*N60)</f>
        <v>8.527652957565607</v>
      </c>
      <c r="Q60" s="95">
        <f>+L60*(I60-0.05*O60*H60)-L60*(I60-0.05*O60)</f>
        <v>116.40530874072124</v>
      </c>
      <c r="R60" s="95">
        <f>+P60+Q60</f>
        <v>124.93296169828685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3.1772315903544797E-2</v>
      </c>
      <c r="F61" s="185">
        <v>2.77275108575421E-2</v>
      </c>
      <c r="G61" s="186">
        <v>1.14587696193805</v>
      </c>
      <c r="H61" s="42">
        <f t="shared" ref="H61:H70" si="33">+E61/(1.2*F61)</f>
        <v>0.95489746828171329</v>
      </c>
      <c r="I61" s="181">
        <f t="shared" ref="I61:J61" si="34">+I43</f>
        <v>0.81832396142009856</v>
      </c>
      <c r="J61" s="181">
        <f t="shared" si="34"/>
        <v>0.14376094031357134</v>
      </c>
      <c r="K61" s="48">
        <f t="shared" ref="K61:L64" si="35">+K43</f>
        <v>300.80954959805024</v>
      </c>
      <c r="L61" s="48">
        <f t="shared" si="35"/>
        <v>16129.780398237826</v>
      </c>
      <c r="M61" s="52">
        <f>-0.05*N61*K61*(H61-1)-0.05*O61*L61*(H61-1)</f>
        <v>704.00814405880885</v>
      </c>
      <c r="N61" s="172">
        <f t="shared" ref="N61:N70" si="36">+$N$3</f>
        <v>19</v>
      </c>
      <c r="O61" s="172">
        <f t="shared" ref="O61:O70" si="37">+$O$3</f>
        <v>19</v>
      </c>
      <c r="P61" s="95">
        <f>+K61*(J61-0.05*N61*H61)-K61*(J61-0.05*N61)</f>
        <v>12.888908639314138</v>
      </c>
      <c r="Q61" s="95">
        <f>+L61*(I61-0.05*O61*H61)-L61*(I61-0.05*O61)</f>
        <v>691.11923541949523</v>
      </c>
      <c r="R61" s="95">
        <f>+P61+Q61</f>
        <v>704.00814405880942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3.06971508937511E-2</v>
      </c>
      <c r="F62" s="185">
        <v>2.67521882516049E-2</v>
      </c>
      <c r="G62" s="186">
        <v>1.14746317591084</v>
      </c>
      <c r="H62" s="42">
        <f t="shared" si="33"/>
        <v>0.95621931325902965</v>
      </c>
      <c r="I62" s="181">
        <f t="shared" ref="I62:J62" si="38">+I44</f>
        <v>0.90623364566060083</v>
      </c>
      <c r="J62" s="181">
        <f t="shared" si="38"/>
        <v>7.6329902786058668E-2</v>
      </c>
      <c r="K62" s="48">
        <f t="shared" si="35"/>
        <v>339.85961232941509</v>
      </c>
      <c r="L62" s="48">
        <f t="shared" si="35"/>
        <v>17717.06497023251</v>
      </c>
      <c r="M62" s="52">
        <f>-0.05*N62*K62*(H62-1)-0.05*O62*L62*(H62-1)</f>
        <v>751.01733072174716</v>
      </c>
      <c r="N62" s="172">
        <f t="shared" si="36"/>
        <v>19</v>
      </c>
      <c r="O62" s="172">
        <f t="shared" si="37"/>
        <v>19</v>
      </c>
      <c r="P62" s="95">
        <f>+K62*(J62-0.05*N62*H62)-K62*(J62-0.05*N62)</f>
        <v>14.135322862136661</v>
      </c>
      <c r="Q62" s="95">
        <f>+L62*(I62-0.05*O62*H62)-L62*(I62-0.05*O62)</f>
        <v>736.88200785960998</v>
      </c>
      <c r="R62" s="95">
        <f>+P62+Q62</f>
        <v>751.0173307217467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2.8949585050937102E-2</v>
      </c>
      <c r="F63" s="185">
        <v>2.51984475351687E-2</v>
      </c>
      <c r="G63" s="186">
        <v>1.14886383419189</v>
      </c>
      <c r="H63" s="42">
        <f t="shared" si="33"/>
        <v>0.95738652849324202</v>
      </c>
      <c r="I63" s="181">
        <f t="shared" ref="I63:J63" si="39">+I45</f>
        <v>0.90144358049409945</v>
      </c>
      <c r="J63" s="181">
        <f t="shared" si="39"/>
        <v>8.1466134316318772E-2</v>
      </c>
      <c r="K63" s="48">
        <f t="shared" si="35"/>
        <v>273.77407936097143</v>
      </c>
      <c r="L63" s="48">
        <f t="shared" si="35"/>
        <v>14892.672516909943</v>
      </c>
      <c r="M63" s="52">
        <f>-0.05*N63*K63*(H63-1)-0.05*O63*L63*(H63-1)</f>
        <v>613.9801928945094</v>
      </c>
      <c r="N63" s="172">
        <f t="shared" si="36"/>
        <v>19</v>
      </c>
      <c r="O63" s="172">
        <f t="shared" si="37"/>
        <v>19</v>
      </c>
      <c r="P63" s="95">
        <f>+K63*(J63-0.05*N63*H63)-K63*(J63-0.05*N63)</f>
        <v>11.083140733630756</v>
      </c>
      <c r="Q63" s="95">
        <f>+L63*(I63-0.05*O63*H63)-L63*(I63-0.05*O63)</f>
        <v>602.89705216087839</v>
      </c>
      <c r="R63" s="95">
        <f>+P63+Q63</f>
        <v>613.98019289450917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2.6562529513956198E-2</v>
      </c>
      <c r="F64" s="185">
        <v>2.3097958978945399E-2</v>
      </c>
      <c r="G64" s="186">
        <v>1.1499946613537999</v>
      </c>
      <c r="H64" s="42">
        <f t="shared" si="33"/>
        <v>0.95832888446149711</v>
      </c>
      <c r="I64" s="181">
        <f t="shared" ref="I64:J64" si="40">+I46</f>
        <v>0.89345451904859985</v>
      </c>
      <c r="J64" s="181">
        <f t="shared" si="40"/>
        <v>8.6166966129658462E-2</v>
      </c>
      <c r="K64" s="48">
        <f t="shared" si="35"/>
        <v>230.44313695085501</v>
      </c>
      <c r="L64" s="48">
        <f t="shared" si="35"/>
        <v>12590.988446356278</v>
      </c>
      <c r="M64" s="52">
        <f>-0.05*N64*K64*(H64-1)-0.05*O64*L64*(H64-1)</f>
        <v>507.56918903315147</v>
      </c>
      <c r="N64" s="172">
        <f t="shared" si="36"/>
        <v>19</v>
      </c>
      <c r="O64" s="172">
        <f t="shared" si="37"/>
        <v>19</v>
      </c>
      <c r="P64" s="95">
        <f>+K64*(J64-0.05*N64*H64)-K64*(J64-0.05*N64)</f>
        <v>9.1226814556874274</v>
      </c>
      <c r="Q64" s="95">
        <f>+L64*(I64-0.05*O64*H64)-L64*(I64-0.05*O64)</f>
        <v>498.44650757746467</v>
      </c>
      <c r="R64" s="95">
        <f>+P64+Q64</f>
        <v>507.5691890331521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2.36266099467883E-2</v>
      </c>
      <c r="F65" s="185">
        <v>2.05286189867275E-2</v>
      </c>
      <c r="G65" s="186">
        <v>1.15091083146234</v>
      </c>
      <c r="H65" s="42">
        <f t="shared" si="33"/>
        <v>0.95909235955195704</v>
      </c>
      <c r="I65" s="181">
        <f t="shared" ref="I65:J65" si="41">+I47</f>
        <v>0.88159010098400081</v>
      </c>
      <c r="J65" s="181">
        <f t="shared" si="41"/>
        <v>9.0382385109789354E-2</v>
      </c>
      <c r="K65" s="48">
        <f t="shared" ref="K65:L70" si="42">+K47</f>
        <v>201.74920112505319</v>
      </c>
      <c r="L65" s="48">
        <f t="shared" si="42"/>
        <v>10824.938768170019</v>
      </c>
      <c r="M65" s="52">
        <f t="shared" ref="M65:M70" si="43">-0.05*N65*K65*(H65-1)-0.05*O65*L65*(H65-1)</f>
        <v>428.52199744164966</v>
      </c>
      <c r="N65" s="172">
        <f t="shared" si="36"/>
        <v>19</v>
      </c>
      <c r="O65" s="172">
        <f t="shared" si="37"/>
        <v>19</v>
      </c>
      <c r="P65" s="95">
        <f t="shared" ref="P65:P70" si="44">+K65*(J65-0.05*N65*H65)-K65*(J65-0.05*N65)</f>
        <v>7.8404295912883981</v>
      </c>
      <c r="Q65" s="95">
        <f t="shared" ref="Q65:Q70" si="45">+L65*(I65-0.05*O65*H65)-L65*(I65-0.05*O65)</f>
        <v>420.68156785036149</v>
      </c>
      <c r="R65" s="95">
        <f t="shared" ref="R65:R70" si="46">+P65+Q65</f>
        <v>428.52199744164989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2.02249306446265E-2</v>
      </c>
      <c r="F66" s="185">
        <v>1.7562315478590398E-2</v>
      </c>
      <c r="G66" s="186">
        <v>1.1516095738789101</v>
      </c>
      <c r="H66" s="42">
        <f t="shared" si="33"/>
        <v>0.95967464489909293</v>
      </c>
      <c r="I66" s="181">
        <f t="shared" ref="I66:J66" si="47">+I48</f>
        <v>0.86339472939820006</v>
      </c>
      <c r="J66" s="181">
        <f t="shared" si="47"/>
        <v>9.4060509277699822E-2</v>
      </c>
      <c r="K66" s="48">
        <f t="shared" si="42"/>
        <v>176.94857890398373</v>
      </c>
      <c r="L66" s="48">
        <f t="shared" si="42"/>
        <v>9448.6112844123836</v>
      </c>
      <c r="M66" s="52">
        <f t="shared" si="43"/>
        <v>368.74641355660748</v>
      </c>
      <c r="N66" s="172">
        <f t="shared" si="36"/>
        <v>19</v>
      </c>
      <c r="O66" s="172">
        <f t="shared" si="37"/>
        <v>19</v>
      </c>
      <c r="P66" s="95">
        <f t="shared" si="44"/>
        <v>6.7787385649588145</v>
      </c>
      <c r="Q66" s="95">
        <f t="shared" si="45"/>
        <v>361.96767499164844</v>
      </c>
      <c r="R66" s="95">
        <f t="shared" si="46"/>
        <v>368.74641355660725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1.6428986582843801E-2</v>
      </c>
      <c r="F67" s="185">
        <v>1.42615955197975E-2</v>
      </c>
      <c r="G67" s="186">
        <v>1.15197395410897</v>
      </c>
      <c r="H67" s="42">
        <f t="shared" si="33"/>
        <v>0.95997829509080279</v>
      </c>
      <c r="I67" s="181">
        <f t="shared" ref="I67:J67" si="48">+I49</f>
        <v>0.8325538140262001</v>
      </c>
      <c r="J67" s="181">
        <f t="shared" si="48"/>
        <v>9.6998857881789746E-2</v>
      </c>
      <c r="K67" s="48">
        <f t="shared" si="42"/>
        <v>152.76277433133762</v>
      </c>
      <c r="L67" s="48">
        <f t="shared" si="42"/>
        <v>8265.4548512879574</v>
      </c>
      <c r="M67" s="52">
        <f t="shared" si="43"/>
        <v>320.06585059024133</v>
      </c>
      <c r="N67" s="172">
        <f t="shared" si="36"/>
        <v>19</v>
      </c>
      <c r="O67" s="172">
        <f t="shared" si="37"/>
        <v>19</v>
      </c>
      <c r="P67" s="95">
        <f t="shared" si="44"/>
        <v>5.8081353416291392</v>
      </c>
      <c r="Q67" s="95">
        <f t="shared" si="45"/>
        <v>314.25771524861239</v>
      </c>
      <c r="R67" s="95">
        <f t="shared" si="46"/>
        <v>320.06585059024155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1.2307449751668999E-2</v>
      </c>
      <c r="F68" s="185">
        <v>1.06871736351698E-2</v>
      </c>
      <c r="G68" s="186">
        <v>1.1516094125360801</v>
      </c>
      <c r="H68" s="42">
        <f t="shared" si="33"/>
        <v>0.95967451044673524</v>
      </c>
      <c r="I68" s="181">
        <f t="shared" ref="I68:J68" si="49">+I50</f>
        <v>0.77337471285560078</v>
      </c>
      <c r="J68" s="181">
        <f t="shared" si="49"/>
        <v>9.8631551264459105E-2</v>
      </c>
      <c r="K68" s="48">
        <f t="shared" si="42"/>
        <v>130.48336330264115</v>
      </c>
      <c r="L68" s="48">
        <f t="shared" si="42"/>
        <v>7029.9052726606251</v>
      </c>
      <c r="M68" s="52">
        <f t="shared" si="43"/>
        <v>274.30886828000979</v>
      </c>
      <c r="N68" s="172">
        <f t="shared" si="36"/>
        <v>19</v>
      </c>
      <c r="O68" s="172">
        <f t="shared" si="37"/>
        <v>19</v>
      </c>
      <c r="P68" s="95">
        <f t="shared" si="44"/>
        <v>4.9987152285487326</v>
      </c>
      <c r="Q68" s="95">
        <f t="shared" si="45"/>
        <v>269.31015305146082</v>
      </c>
      <c r="R68" s="95">
        <f t="shared" si="46"/>
        <v>274.30886828000956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7.9519579066313194E-3</v>
      </c>
      <c r="F69" s="185">
        <v>6.9189692048675696E-3</v>
      </c>
      <c r="G69" s="186">
        <v>1.14929806321974</v>
      </c>
      <c r="H69" s="42">
        <f t="shared" si="33"/>
        <v>0.95774838601644963</v>
      </c>
      <c r="I69" s="181">
        <f t="shared" ref="I69:J69" si="50">+I51</f>
        <v>0.64309249220660014</v>
      </c>
      <c r="J69" s="181">
        <f t="shared" si="50"/>
        <v>9.7419725614949826E-2</v>
      </c>
      <c r="K69" s="48">
        <f t="shared" si="42"/>
        <v>107.08241408281347</v>
      </c>
      <c r="L69" s="48">
        <f t="shared" si="42"/>
        <v>5420.5678501271459</v>
      </c>
      <c r="M69" s="52">
        <f t="shared" si="43"/>
        <v>221.87453793949598</v>
      </c>
      <c r="N69" s="172">
        <f t="shared" si="36"/>
        <v>19</v>
      </c>
      <c r="O69" s="172">
        <f t="shared" si="37"/>
        <v>19</v>
      </c>
      <c r="P69" s="95">
        <f t="shared" si="44"/>
        <v>4.2981845830410492</v>
      </c>
      <c r="Q69" s="95">
        <f t="shared" si="45"/>
        <v>217.57635335645477</v>
      </c>
      <c r="R69" s="95">
        <f t="shared" si="46"/>
        <v>221.87453793949584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3.5720407299241501E-3</v>
      </c>
      <c r="F70" s="188">
        <v>3.1297267620904699E-3</v>
      </c>
      <c r="G70" s="189">
        <v>1.1413267040405299</v>
      </c>
      <c r="H70" s="42">
        <f t="shared" si="33"/>
        <v>0.9511055867004401</v>
      </c>
      <c r="I70" s="181">
        <f t="shared" ref="I70:J70" si="51">+I52</f>
        <v>0.29715207380600006</v>
      </c>
      <c r="J70" s="181">
        <f t="shared" si="51"/>
        <v>8.7872288242259344E-2</v>
      </c>
      <c r="K70" s="48">
        <f t="shared" si="42"/>
        <v>69.083481846297403</v>
      </c>
      <c r="L70" s="48">
        <f t="shared" si="42"/>
        <v>3037.6519992461217</v>
      </c>
      <c r="M70" s="52">
        <f t="shared" si="43"/>
        <v>144.30690819369283</v>
      </c>
      <c r="N70" s="172">
        <f t="shared" si="36"/>
        <v>19</v>
      </c>
      <c r="O70" s="172">
        <f t="shared" si="37"/>
        <v>19</v>
      </c>
      <c r="P70" s="95">
        <f t="shared" si="44"/>
        <v>3.2089064978872344</v>
      </c>
      <c r="Q70" s="95">
        <f t="shared" si="45"/>
        <v>141.09800169580558</v>
      </c>
      <c r="R70" s="95">
        <f t="shared" si="46"/>
        <v>144.30690819369281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1294792.2116316101</v>
      </c>
      <c r="E6" s="53">
        <f>0.7*D6</f>
        <v>906354.54814212699</v>
      </c>
      <c r="F6" s="1" t="str">
        <f>+IF(D6&lt;E5,"piso suave","ok")</f>
        <v>ok</v>
      </c>
      <c r="G6" s="53">
        <f>0.9*D6</f>
        <v>1165312.9904684492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15561298.6338902</v>
      </c>
      <c r="E7" s="53">
        <f>0.7*D7</f>
        <v>10892909.04372314</v>
      </c>
      <c r="F7" s="1" t="str">
        <f>+IF(D7&lt;E6,"piso suave","ok")</f>
        <v>ok</v>
      </c>
      <c r="G7" s="53">
        <f>0.9*D7</f>
        <v>14005168.770501181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21887021.4847955</v>
      </c>
      <c r="E8" s="53">
        <f>0.7*D8</f>
        <v>15320915.039356848</v>
      </c>
      <c r="F8" s="1" t="str">
        <f>+IF(D8&lt;E7,"piso suave","ok")</f>
        <v>ok</v>
      </c>
      <c r="G8" s="53">
        <f>0.9*D8</f>
        <v>19698319.336315949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24613237.825903099</v>
      </c>
      <c r="E9" s="53">
        <f>0.7*D9</f>
        <v>17229266.47813217</v>
      </c>
      <c r="F9" s="1" t="str">
        <f>+IF(D9&lt;E8,"piso suave","ok")</f>
        <v>ok</v>
      </c>
      <c r="G9" s="53">
        <f>0.9*D9</f>
        <v>22151914.043312788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26161084.212515399</v>
      </c>
      <c r="E10" s="53">
        <f>0.7*D10</f>
        <v>18312758.948760778</v>
      </c>
      <c r="F10" s="1" t="str">
        <f>+IF(D10&lt;E9,"piso suave","ok")</f>
        <v>ok</v>
      </c>
      <c r="G10" s="53">
        <f>0.9*D10</f>
        <v>23544975.79126386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27258965.960275501</v>
      </c>
      <c r="E11" s="53">
        <f t="shared" ref="E11:E16" si="0">0.7*D11</f>
        <v>19081276.172192849</v>
      </c>
      <c r="F11" s="1" t="str">
        <f t="shared" ref="F11:F16" si="1">+IF(D11&lt;E10,"piso suave","ok")</f>
        <v>ok</v>
      </c>
      <c r="G11" s="53">
        <f t="shared" ref="G11:G16" si="2">0.9*D11</f>
        <v>24533069.364247952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27935871.180984601</v>
      </c>
      <c r="E12" s="53">
        <f t="shared" si="0"/>
        <v>19555109.826689221</v>
      </c>
      <c r="F12" s="1" t="str">
        <f t="shared" si="1"/>
        <v>ok</v>
      </c>
      <c r="G12" s="53">
        <f t="shared" si="2"/>
        <v>25142284.062886141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28588193.1077912</v>
      </c>
      <c r="E13" s="53">
        <f t="shared" si="0"/>
        <v>20011735.175453838</v>
      </c>
      <c r="F13" s="1" t="str">
        <f t="shared" si="1"/>
        <v>ok</v>
      </c>
      <c r="G13" s="53">
        <f t="shared" si="2"/>
        <v>25729373.79701208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29366639.156554502</v>
      </c>
      <c r="E14" s="53">
        <f t="shared" si="0"/>
        <v>20556647.409588151</v>
      </c>
      <c r="F14" s="1" t="str">
        <f t="shared" si="1"/>
        <v>ok</v>
      </c>
      <c r="G14" s="53">
        <f t="shared" si="2"/>
        <v>26429975.240899052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30792546.831689999</v>
      </c>
      <c r="E15" s="53">
        <f t="shared" si="0"/>
        <v>21554782.782182999</v>
      </c>
      <c r="F15" s="1" t="str">
        <f t="shared" si="1"/>
        <v>ok</v>
      </c>
      <c r="G15" s="53">
        <f t="shared" si="2"/>
        <v>27713292.148520999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36854032.955741897</v>
      </c>
      <c r="E16" s="53">
        <f t="shared" si="0"/>
        <v>25797823.069019325</v>
      </c>
      <c r="F16" s="1" t="str">
        <f t="shared" si="1"/>
        <v>ok</v>
      </c>
      <c r="G16" s="53">
        <f t="shared" si="2"/>
        <v>33168629.660167709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1303860.29068073</v>
      </c>
      <c r="E23" s="53">
        <f>0.7*D23</f>
        <v>912702.20347651094</v>
      </c>
      <c r="F23" s="1" t="str">
        <f>+IF(D23&lt;E22,"piso suave","ok")</f>
        <v>ok</v>
      </c>
      <c r="G23" s="53">
        <f>0.9*D23</f>
        <v>1173474.261612657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15498961.6958325</v>
      </c>
      <c r="E24" s="53">
        <f>0.7*D24</f>
        <v>10849273.187082749</v>
      </c>
      <c r="F24" s="1" t="str">
        <f>+IF(D24&lt;E23,"piso suave","ok")</f>
        <v>ok</v>
      </c>
      <c r="G24" s="53">
        <f>0.9*D24</f>
        <v>13949065.52624925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21771165.2454593</v>
      </c>
      <c r="E25" s="53">
        <f>0.7*D25</f>
        <v>15239815.671821509</v>
      </c>
      <c r="F25" s="1" t="str">
        <f>+IF(D25&lt;E24,"piso suave","ok")</f>
        <v>ok</v>
      </c>
      <c r="G25" s="53">
        <f>0.9*D25</f>
        <v>19594048.720913369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24495421.0699457</v>
      </c>
      <c r="E26" s="53">
        <f>0.7*D26</f>
        <v>17146794.748961989</v>
      </c>
      <c r="F26" s="1" t="str">
        <f>+IF(D26&lt;E25,"piso suave","ok")</f>
        <v>ok</v>
      </c>
      <c r="G26" s="53">
        <f>0.9*D26</f>
        <v>22045878.962951131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26038253.0119901</v>
      </c>
      <c r="E27" s="53">
        <f>0.7*D27</f>
        <v>18226777.108393069</v>
      </c>
      <c r="F27" s="1" t="str">
        <f>+IF(D27&lt;E26,"piso suave","ok")</f>
        <v>ok</v>
      </c>
      <c r="G27" s="53">
        <f>0.9*D27</f>
        <v>23434427.710791092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27134782.0406304</v>
      </c>
      <c r="E28" s="53">
        <f t="shared" ref="E28:E33" si="4">0.7*D28</f>
        <v>18994347.428441279</v>
      </c>
      <c r="F28" s="1" t="str">
        <f t="shared" ref="F28:F33" si="5">+IF(D28&lt;E27,"piso suave","ok")</f>
        <v>ok</v>
      </c>
      <c r="G28" s="53">
        <f t="shared" ref="G28:G33" si="6">0.9*D28</f>
        <v>24421303.836567361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27890641.923243102</v>
      </c>
      <c r="E29" s="53">
        <f t="shared" si="4"/>
        <v>19523449.34627017</v>
      </c>
      <c r="F29" s="1" t="str">
        <f t="shared" si="5"/>
        <v>ok</v>
      </c>
      <c r="G29" s="53">
        <f t="shared" si="6"/>
        <v>25101577.730918791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28537756.052584901</v>
      </c>
      <c r="E30" s="53">
        <f t="shared" si="4"/>
        <v>19976429.236809429</v>
      </c>
      <c r="F30" s="1" t="str">
        <f t="shared" si="5"/>
        <v>ok</v>
      </c>
      <c r="G30" s="53">
        <f t="shared" si="6"/>
        <v>25683980.447326411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29310338.935355801</v>
      </c>
      <c r="E31" s="53">
        <f t="shared" si="4"/>
        <v>20517237.25474906</v>
      </c>
      <c r="F31" s="1" t="str">
        <f t="shared" si="5"/>
        <v>ok</v>
      </c>
      <c r="G31" s="53">
        <f t="shared" si="6"/>
        <v>26379305.041820221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30775147.903384499</v>
      </c>
      <c r="E32" s="53">
        <f t="shared" si="4"/>
        <v>21542603.532369148</v>
      </c>
      <c r="F32" s="1" t="str">
        <f t="shared" si="5"/>
        <v>ok</v>
      </c>
      <c r="G32" s="53">
        <f t="shared" si="6"/>
        <v>27697633.11304605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36773560.948050201</v>
      </c>
      <c r="E33" s="53">
        <f t="shared" si="4"/>
        <v>25741492.663635138</v>
      </c>
      <c r="F33" s="1" t="str">
        <f t="shared" si="5"/>
        <v>ok</v>
      </c>
      <c r="G33" s="53">
        <f t="shared" si="6"/>
        <v>33096204.85324518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1408843.0542810301</v>
      </c>
      <c r="E40" s="53">
        <f>0.7*D40</f>
        <v>986190.13799672097</v>
      </c>
      <c r="F40" s="1" t="str">
        <f>+IF(D40&lt;E39,"piso suave","ok")</f>
        <v>ok</v>
      </c>
      <c r="G40" s="53">
        <f>0.9*D40</f>
        <v>1267958.748852927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15085451.752963601</v>
      </c>
      <c r="E41" s="53">
        <f>0.7*D41</f>
        <v>10559816.227074521</v>
      </c>
      <c r="F41" s="1" t="str">
        <f>+IF(D41&lt;E40,"piso suave","ok")</f>
        <v>ok</v>
      </c>
      <c r="G41" s="53">
        <f>0.9*D41</f>
        <v>13576906.57766724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20656890.063590001</v>
      </c>
      <c r="E42" s="53">
        <f>0.7*D42</f>
        <v>14459823.044513</v>
      </c>
      <c r="F42" s="1" t="str">
        <f>+IF(D42&lt;E41,"piso suave","ok")</f>
        <v>ok</v>
      </c>
      <c r="G42" s="53">
        <f>0.9*D42</f>
        <v>18591201.057231002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22677872.488401301</v>
      </c>
      <c r="E43" s="53">
        <f>0.7*D43</f>
        <v>15874510.74188091</v>
      </c>
      <c r="F43" s="1" t="str">
        <f>+IF(D43&lt;E42,"piso suave","ok")</f>
        <v>ok</v>
      </c>
      <c r="G43" s="53">
        <f>0.9*D43</f>
        <v>20410085.23956117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23732733.2798305</v>
      </c>
      <c r="E44" s="53">
        <f>0.7*D44</f>
        <v>16612913.29588135</v>
      </c>
      <c r="F44" s="1" t="str">
        <f>+IF(D44&lt;E43,"piso suave","ok")</f>
        <v>ok</v>
      </c>
      <c r="G44" s="53">
        <f>0.9*D44</f>
        <v>21359459.951847453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24445276.579983301</v>
      </c>
      <c r="E45" s="53">
        <f t="shared" ref="E45:E50" si="8">0.7*D45</f>
        <v>17111693.605988309</v>
      </c>
      <c r="F45" s="1" t="str">
        <f t="shared" ref="F45:F50" si="9">+IF(D45&lt;E44,"piso suave","ok")</f>
        <v>ok</v>
      </c>
      <c r="G45" s="53">
        <f t="shared" ref="G45:G50" si="10">0.9*D45</f>
        <v>22000748.921984971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25038735.082911301</v>
      </c>
      <c r="E46" s="53">
        <f t="shared" si="8"/>
        <v>17527114.558037911</v>
      </c>
      <c r="F46" s="1" t="str">
        <f t="shared" si="9"/>
        <v>ok</v>
      </c>
      <c r="G46" s="53">
        <f t="shared" si="10"/>
        <v>22534861.574620172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25659533.609664999</v>
      </c>
      <c r="E47" s="53">
        <f t="shared" si="8"/>
        <v>17961673.526765499</v>
      </c>
      <c r="F47" s="1" t="str">
        <f t="shared" si="9"/>
        <v>ok</v>
      </c>
      <c r="G47" s="53">
        <f t="shared" si="10"/>
        <v>23093580.248698499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26496589.196207099</v>
      </c>
      <c r="E48" s="53">
        <f t="shared" si="8"/>
        <v>18547612.437344968</v>
      </c>
      <c r="F48" s="1" t="str">
        <f t="shared" si="9"/>
        <v>ok</v>
      </c>
      <c r="G48" s="53">
        <f t="shared" si="10"/>
        <v>23846930.276586391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29801570.247407898</v>
      </c>
      <c r="E49" s="53">
        <f t="shared" si="8"/>
        <v>20861099.173185527</v>
      </c>
      <c r="F49" s="1" t="str">
        <f t="shared" si="9"/>
        <v>ok</v>
      </c>
      <c r="G49" s="53">
        <f t="shared" si="10"/>
        <v>26821413.222667109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34819454.117473401</v>
      </c>
      <c r="E50" s="53">
        <f t="shared" si="8"/>
        <v>24373617.882231381</v>
      </c>
      <c r="F50" s="1" t="str">
        <f t="shared" si="9"/>
        <v>ok</v>
      </c>
      <c r="G50" s="53">
        <f t="shared" si="10"/>
        <v>31337508.705726061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1485237.3223831099</v>
      </c>
      <c r="E57" s="53">
        <f>0.7*D57</f>
        <v>1039666.1256681769</v>
      </c>
      <c r="F57" s="1" t="str">
        <f>+IF(D57&lt;E56,"piso suave","ok")</f>
        <v>ok</v>
      </c>
      <c r="G57" s="53">
        <f>0.9*D57</f>
        <v>1336713.5901447991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16091666.6451388</v>
      </c>
      <c r="E58" s="53">
        <f>0.7*D58</f>
        <v>11264166.651597159</v>
      </c>
      <c r="F58" s="1" t="str">
        <f>+IF(D58&lt;E57,"piso suave","ok")</f>
        <v>ok</v>
      </c>
      <c r="G58" s="53">
        <f>0.9*D58</f>
        <v>14482499.98062492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22295885.027471099</v>
      </c>
      <c r="E59" s="53">
        <f>0.7*D59</f>
        <v>15607119.519229768</v>
      </c>
      <c r="F59" s="1" t="str">
        <f>+IF(D59&lt;E58,"piso suave","ok")</f>
        <v>ok</v>
      </c>
      <c r="G59" s="53">
        <f>0.9*D59</f>
        <v>20066296.524723988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23628702.5765137</v>
      </c>
      <c r="E60" s="53">
        <f>0.7*D60</f>
        <v>16540091.803559588</v>
      </c>
      <c r="F60" s="1" t="str">
        <f>+IF(D60&lt;E59,"piso suave","ok")</f>
        <v>ok</v>
      </c>
      <c r="G60" s="53">
        <f>0.9*D60</f>
        <v>21265832.31886233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24217428.610337298</v>
      </c>
      <c r="E61" s="53">
        <f>0.7*D61</f>
        <v>16952200.027236108</v>
      </c>
      <c r="F61" s="1" t="str">
        <f>+IF(D61&lt;E60,"piso suave","ok")</f>
        <v>ok</v>
      </c>
      <c r="G61" s="53">
        <f>0.9*D61</f>
        <v>21795685.749303568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24625850.4616559</v>
      </c>
      <c r="E62" s="53">
        <f t="shared" ref="E62:E67" si="12">0.7*D62</f>
        <v>17238095.323159128</v>
      </c>
      <c r="F62" s="1" t="str">
        <f t="shared" ref="F62:F67" si="13">+IF(D62&lt;E61,"piso suave","ok")</f>
        <v>ok</v>
      </c>
      <c r="G62" s="53">
        <f t="shared" ref="G62:G67" si="14">0.9*D62</f>
        <v>22163265.415490311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24993443.5380993</v>
      </c>
      <c r="E63" s="53">
        <f t="shared" si="12"/>
        <v>17495410.476669509</v>
      </c>
      <c r="F63" s="1" t="str">
        <f t="shared" si="13"/>
        <v>ok</v>
      </c>
      <c r="G63" s="53">
        <f t="shared" si="14"/>
        <v>22494099.18428937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25392025.820094701</v>
      </c>
      <c r="E64" s="53">
        <f t="shared" si="12"/>
        <v>17774418.074066289</v>
      </c>
      <c r="F64" s="1" t="str">
        <f t="shared" si="13"/>
        <v>ok</v>
      </c>
      <c r="G64" s="53">
        <f t="shared" si="14"/>
        <v>22852823.238085233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25951808.050019599</v>
      </c>
      <c r="E65" s="53">
        <f t="shared" si="12"/>
        <v>18166265.635013718</v>
      </c>
      <c r="F65" s="1" t="str">
        <f t="shared" si="13"/>
        <v>ok</v>
      </c>
      <c r="G65" s="53">
        <f t="shared" si="14"/>
        <v>23356627.24501764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28942411.1538442</v>
      </c>
      <c r="E66" s="53">
        <f t="shared" si="12"/>
        <v>20259687.807690937</v>
      </c>
      <c r="F66" s="1" t="str">
        <f t="shared" si="13"/>
        <v>ok</v>
      </c>
      <c r="G66" s="53">
        <f t="shared" si="14"/>
        <v>26048170.038459782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33948630.663676299</v>
      </c>
      <c r="E67" s="53">
        <f t="shared" si="12"/>
        <v>23764041.464573409</v>
      </c>
      <c r="F67" s="1" t="str">
        <f t="shared" si="13"/>
        <v>ok</v>
      </c>
      <c r="G67" s="53">
        <f t="shared" si="14"/>
        <v>30553767.597308669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848.73018227297905</v>
      </c>
      <c r="E7" s="171">
        <f>+'Centers of Mass and Rigidity'!E5</f>
        <v>848.73018227297905</v>
      </c>
      <c r="F7" s="68">
        <f>+E7*9.807</f>
        <v>8323.4968975511056</v>
      </c>
      <c r="G7">
        <f>1.5*F7</f>
        <v>12485.245346326657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10171.102685334199</v>
      </c>
      <c r="E8" s="171">
        <f>+'Centers of Mass and Rigidity'!E6</f>
        <v>10171.102685334199</v>
      </c>
      <c r="F8" s="68">
        <f t="shared" ref="F8:F17" si="0">+E8*9.807</f>
        <v>99748.004035072488</v>
      </c>
      <c r="G8" s="68">
        <f t="shared" ref="G8:G17" si="1">1.5*F8</f>
        <v>149622.00605260872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12666.7062571971</v>
      </c>
      <c r="E9" s="171">
        <f>+'Centers of Mass and Rigidity'!E7</f>
        <v>12666.7062571971</v>
      </c>
      <c r="F9" s="68">
        <f t="shared" si="0"/>
        <v>124222.38826433197</v>
      </c>
      <c r="G9" s="68">
        <f t="shared" si="1"/>
        <v>186333.58239649795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12666.7062571971</v>
      </c>
      <c r="E10" s="171">
        <f>+'Centers of Mass and Rigidity'!E8</f>
        <v>12666.7062571971</v>
      </c>
      <c r="F10" s="68">
        <f t="shared" si="0"/>
        <v>124222.38826433197</v>
      </c>
      <c r="G10" s="68">
        <f t="shared" si="1"/>
        <v>186333.58239649795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12666.7062571971</v>
      </c>
      <c r="E11" s="171">
        <f>+'Centers of Mass and Rigidity'!E9</f>
        <v>12666.7062571971</v>
      </c>
      <c r="F11" s="68">
        <f t="shared" si="0"/>
        <v>124222.38826433197</v>
      </c>
      <c r="G11" s="68">
        <f t="shared" si="1"/>
        <v>186333.58239649795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12666.7062571971</v>
      </c>
      <c r="E12" s="171">
        <f>+'Centers of Mass and Rigidity'!E10</f>
        <v>12666.7062571971</v>
      </c>
      <c r="F12" s="158">
        <f t="shared" si="0"/>
        <v>124222.38826433197</v>
      </c>
      <c r="G12" s="158">
        <f t="shared" si="1"/>
        <v>186333.58239649795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12666.7062571971</v>
      </c>
      <c r="E13" s="171">
        <f>+'Centers of Mass and Rigidity'!E11</f>
        <v>12666.7062571971</v>
      </c>
      <c r="F13" s="158">
        <f t="shared" si="0"/>
        <v>124222.38826433197</v>
      </c>
      <c r="G13" s="158">
        <f t="shared" si="1"/>
        <v>186333.58239649795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12666.7062571971</v>
      </c>
      <c r="E14" s="171">
        <f>+'Centers of Mass and Rigidity'!E12</f>
        <v>12666.7062571971</v>
      </c>
      <c r="F14" s="158">
        <f t="shared" si="0"/>
        <v>124222.38826433197</v>
      </c>
      <c r="G14" s="158">
        <f t="shared" si="1"/>
        <v>186333.58239649795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12666.7062571971</v>
      </c>
      <c r="E15" s="171">
        <f>+'Centers of Mass and Rigidity'!E13</f>
        <v>12666.7062571971</v>
      </c>
      <c r="F15" s="158">
        <f t="shared" si="0"/>
        <v>124222.38826433197</v>
      </c>
      <c r="G15" s="158">
        <f t="shared" si="1"/>
        <v>186333.58239649795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12666.7062571971</v>
      </c>
      <c r="E16" s="171">
        <f>+'Centers of Mass and Rigidity'!E14</f>
        <v>12666.7062571971</v>
      </c>
      <c r="F16" s="158">
        <f t="shared" si="0"/>
        <v>124222.38826433197</v>
      </c>
      <c r="G16" s="158">
        <f t="shared" si="1"/>
        <v>186333.58239649795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13099.180927748301</v>
      </c>
      <c r="E17" s="171">
        <f>+'Centers of Mass and Rigidity'!E15</f>
        <v>13099.180927748301</v>
      </c>
      <c r="F17" s="158">
        <f t="shared" si="0"/>
        <v>128463.66735842758</v>
      </c>
      <c r="G17" s="158">
        <f t="shared" si="1"/>
        <v>192695.50103764137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1230314.2744057069</v>
      </c>
      <c r="G18">
        <f>1.5*F18</f>
        <v>1845471.4116085605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18781.199999996301</v>
      </c>
      <c r="F5" s="172">
        <v>1.1725319382094299E-8</v>
      </c>
      <c r="G5" s="172">
        <v>-3.3650735531409699E-9</v>
      </c>
      <c r="H5" s="172">
        <v>-1.4127613212622199E-7</v>
      </c>
      <c r="I5" s="172">
        <v>154004.75999998499</v>
      </c>
      <c r="J5" s="172">
        <v>-317756.24999989901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434361.978750346</v>
      </c>
      <c r="F6" s="172">
        <v>-7.5385349873613399E-6</v>
      </c>
      <c r="G6" s="172">
        <v>-5.0795449624274598E-8</v>
      </c>
      <c r="H6" s="172">
        <v>7.1093400947575005E-5</v>
      </c>
      <c r="I6" s="172">
        <v>4102730.92289491</v>
      </c>
      <c r="J6" s="172">
        <v>-4274274.04783973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843606.75750041101</v>
      </c>
      <c r="F7" s="172">
        <v>-2.0218223141910099E-5</v>
      </c>
      <c r="G7" s="172">
        <v>3.5477057735988598E-8</v>
      </c>
      <c r="H7" s="172">
        <v>1.9276354305475301E-4</v>
      </c>
      <c r="I7" s="172">
        <v>7990773.6857868703</v>
      </c>
      <c r="J7" s="172">
        <v>-8178480.4707168099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1252851.5362504199</v>
      </c>
      <c r="F8" s="172">
        <v>-3.1497245856826298E-5</v>
      </c>
      <c r="G8" s="172">
        <v>9.7065310455946006E-8</v>
      </c>
      <c r="H8" s="172">
        <v>3.0340306420839597E-4</v>
      </c>
      <c r="I8" s="172">
        <v>11878816.448677899</v>
      </c>
      <c r="J8" s="172">
        <v>-12082686.8936341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1662096.3150003101</v>
      </c>
      <c r="F9" s="172">
        <v>-3.5936876372488802E-5</v>
      </c>
      <c r="G9" s="172">
        <v>9.2243283233983701E-8</v>
      </c>
      <c r="H9" s="172">
        <v>3.46750908647664E-4</v>
      </c>
      <c r="I9" s="172">
        <v>15766859.211567</v>
      </c>
      <c r="J9" s="172">
        <v>-15986893.3165644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2071341.0937497399</v>
      </c>
      <c r="F10" s="172">
        <v>-4.2126916241613799E-5</v>
      </c>
      <c r="G10" s="172">
        <v>9.4597737643198303E-8</v>
      </c>
      <c r="H10" s="172">
        <v>4.06408856179041E-4</v>
      </c>
      <c r="I10" s="172">
        <v>19654901.974454001</v>
      </c>
      <c r="J10" s="172">
        <v>-19891099.739508498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2480585.8724995898</v>
      </c>
      <c r="F11" s="172">
        <v>-4.5274726630850603E-5</v>
      </c>
      <c r="G11" s="172">
        <v>3.1721839377496501E-8</v>
      </c>
      <c r="H11" s="172">
        <v>4.3580333476711498E-4</v>
      </c>
      <c r="I11" s="172">
        <v>23542944.737344701</v>
      </c>
      <c r="J11" s="172">
        <v>-23795306.162471499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2889830.6512491601</v>
      </c>
      <c r="F12" s="172">
        <v>-4.7472802350512197E-5</v>
      </c>
      <c r="G12" s="172">
        <v>-4.5440629037329902E-9</v>
      </c>
      <c r="H12" s="172">
        <v>4.5625528355230899E-4</v>
      </c>
      <c r="I12" s="172">
        <v>27430987.500233501</v>
      </c>
      <c r="J12" s="172">
        <v>-27699512.5854376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3299075.4299990698</v>
      </c>
      <c r="F13" s="172">
        <v>-4.8792251448048801E-5</v>
      </c>
      <c r="G13" s="172">
        <v>-3.6161367233944501E-8</v>
      </c>
      <c r="H13" s="172">
        <v>4.6835299417580202E-4</v>
      </c>
      <c r="I13" s="172">
        <v>31319030.263124701</v>
      </c>
      <c r="J13" s="172">
        <v>-31603719.008414298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3708320.2087494498</v>
      </c>
      <c r="F14" s="172">
        <v>-4.9134537249528903E-5</v>
      </c>
      <c r="G14" s="172">
        <v>-3.8132014879011E-8</v>
      </c>
      <c r="H14" s="172">
        <v>4.7168071841951998E-4</v>
      </c>
      <c r="I14" s="172">
        <v>35207073.026018299</v>
      </c>
      <c r="J14" s="172">
        <v>-35507925.431400999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4232956.9874995798</v>
      </c>
      <c r="F15" s="172">
        <v>-4.9284600009968899E-5</v>
      </c>
      <c r="G15" s="172">
        <v>-6.4736276783605704E-8</v>
      </c>
      <c r="H15" s="172">
        <v>4.7263121109608597E-4</v>
      </c>
      <c r="I15" s="172">
        <v>40198307.5889102</v>
      </c>
      <c r="J15" s="172">
        <v>-40468122.479408599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2.6350096637613299E-2</v>
      </c>
      <c r="F22" s="83">
        <f t="shared" ref="F22:F32" si="0">+E5</f>
        <v>18781.199999996301</v>
      </c>
      <c r="G22" s="83">
        <v>0</v>
      </c>
      <c r="H22" s="83">
        <f t="shared" ref="H22:H32" si="1">+E22</f>
        <v>2.6350096637613299E-2</v>
      </c>
      <c r="I22" s="83">
        <f t="shared" ref="I22:I31" si="2">+H22-H23</f>
        <v>-7.0713822163730178E-4</v>
      </c>
      <c r="J22" s="83">
        <f>IF(+'Sismo UBC-94 y Dinamico'!O15=0,'Sismo UBC-94 y Dinamico'!M15,'Sismo UBC-94 y Dinamico'!O15)</f>
        <v>1098.2493015829334</v>
      </c>
      <c r="K22" s="83">
        <f t="shared" ref="K22:K32" si="3">+C22</f>
        <v>38.5</v>
      </c>
      <c r="L22" s="83">
        <f>+G22*I22</f>
        <v>0</v>
      </c>
      <c r="M22" s="83">
        <f>+J22*K22</f>
        <v>42282.598110942934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2.7057234859250601E-2</v>
      </c>
      <c r="F23" s="165">
        <f t="shared" si="0"/>
        <v>434361.978750346</v>
      </c>
      <c r="G23" s="83">
        <f>+F23</f>
        <v>434361.978750346</v>
      </c>
      <c r="H23" s="83">
        <f t="shared" si="1"/>
        <v>2.7057234859250601E-2</v>
      </c>
      <c r="I23" s="83">
        <f t="shared" si="2"/>
        <v>1.0223885070352011E-3</v>
      </c>
      <c r="J23" s="172">
        <f>IF(+'Sismo UBC-94 y Dinamico'!O16=0,'Sismo UBC-94 y Dinamico'!M16,'Sismo UBC-94 y Dinamico'!O16)</f>
        <v>15974.306463273961</v>
      </c>
      <c r="K23" s="172">
        <f t="shared" si="3"/>
        <v>35.5</v>
      </c>
      <c r="L23" s="83">
        <f t="shared" ref="L23:L32" si="4">+G23*I23</f>
        <v>444.08669496742198</v>
      </c>
      <c r="M23" s="83">
        <f t="shared" ref="M23:M32" si="5">+J23*K23</f>
        <v>567087.87944622559</v>
      </c>
      <c r="N23" s="83">
        <f t="shared" ref="N23:N32" si="6">+L23/M23</f>
        <v>7.8310031136811262E-4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2.60348463522154E-2</v>
      </c>
      <c r="F24" s="165">
        <f t="shared" si="0"/>
        <v>843606.75750041101</v>
      </c>
      <c r="G24" s="83">
        <f>+F24-F23</f>
        <v>409244.77875006502</v>
      </c>
      <c r="H24" s="83">
        <f t="shared" si="1"/>
        <v>2.60348463522154E-2</v>
      </c>
      <c r="I24" s="83">
        <f t="shared" si="2"/>
        <v>1.5732416495819988E-3</v>
      </c>
      <c r="J24" s="172">
        <f>IF(+'Sismo UBC-94 y Dinamico'!O17=0,'Sismo UBC-94 y Dinamico'!M17,'Sismo UBC-94 y Dinamico'!O17)</f>
        <v>17634.933672002993</v>
      </c>
      <c r="K24" s="172">
        <f t="shared" si="3"/>
        <v>32</v>
      </c>
      <c r="L24" s="83">
        <f t="shared" si="4"/>
        <v>643.84093080357241</v>
      </c>
      <c r="M24" s="83">
        <f t="shared" si="5"/>
        <v>564317.87750409578</v>
      </c>
      <c r="N24" s="83">
        <f t="shared" si="6"/>
        <v>1.1409188977871776E-3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2.4461604702633401E-2</v>
      </c>
      <c r="F25" s="165">
        <f t="shared" si="0"/>
        <v>1252851.5362504199</v>
      </c>
      <c r="G25" s="83">
        <f>+F25-F24</f>
        <v>409244.7787500089</v>
      </c>
      <c r="H25" s="83">
        <f t="shared" si="1"/>
        <v>2.4461604702633401E-2</v>
      </c>
      <c r="I25" s="83">
        <f t="shared" si="2"/>
        <v>2.0844938799803002E-3</v>
      </c>
      <c r="J25" s="172">
        <f>IF(+'Sismo UBC-94 y Dinamico'!O18=0,'Sismo UBC-94 y Dinamico'!M18,'Sismo UBC-94 y Dinamico'!O18)</f>
        <v>14908.639895175855</v>
      </c>
      <c r="K25" s="172">
        <f t="shared" si="3"/>
        <v>28.5</v>
      </c>
      <c r="L25" s="83">
        <f t="shared" si="4"/>
        <v>853.06823671828556</v>
      </c>
      <c r="M25" s="83">
        <f t="shared" si="5"/>
        <v>424896.23701251188</v>
      </c>
      <c r="N25" s="83">
        <f t="shared" si="6"/>
        <v>2.0077095592003686E-3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2.2377110822653101E-2</v>
      </c>
      <c r="F26" s="165">
        <f t="shared" si="0"/>
        <v>1662096.3150003101</v>
      </c>
      <c r="G26" s="83">
        <f>+F26-F25</f>
        <v>409244.77874989016</v>
      </c>
      <c r="H26" s="83">
        <f t="shared" si="1"/>
        <v>2.2377110822653101E-2</v>
      </c>
      <c r="I26" s="83">
        <f t="shared" si="2"/>
        <v>2.5190879314919007E-3</v>
      </c>
      <c r="J26" s="172">
        <f>IF(+'Sismo UBC-94 y Dinamico'!O19=0,'Sismo UBC-94 y Dinamico'!M19,'Sismo UBC-94 y Dinamico'!O19)</f>
        <v>12660.287269590821</v>
      </c>
      <c r="K26" s="172">
        <f t="shared" si="3"/>
        <v>25</v>
      </c>
      <c r="L26" s="83">
        <f t="shared" si="4"/>
        <v>1030.9235831749213</v>
      </c>
      <c r="M26" s="83">
        <f t="shared" si="5"/>
        <v>316507.18173977052</v>
      </c>
      <c r="N26" s="83">
        <f t="shared" si="6"/>
        <v>3.2571885968215968E-3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1.98580228911612E-2</v>
      </c>
      <c r="F27" s="165">
        <f t="shared" si="0"/>
        <v>2071341.0937497399</v>
      </c>
      <c r="G27" s="165">
        <f t="shared" ref="G27:G32" si="8">+F27-F26</f>
        <v>409244.77874942985</v>
      </c>
      <c r="H27" s="165">
        <f t="shared" si="1"/>
        <v>1.98580228911612E-2</v>
      </c>
      <c r="I27" s="165">
        <f t="shared" si="2"/>
        <v>2.8838260308190998E-3</v>
      </c>
      <c r="J27" s="172">
        <f>IF(+'Sismo UBC-94 y Dinamico'!O20=0,'Sismo UBC-94 y Dinamico'!M20,'Sismo UBC-94 y Dinamico'!O20)</f>
        <v>10912.155064816337</v>
      </c>
      <c r="K27" s="172">
        <f t="shared" si="3"/>
        <v>21.5</v>
      </c>
      <c r="L27" s="165">
        <f t="shared" si="4"/>
        <v>1180.1907459344091</v>
      </c>
      <c r="M27" s="165">
        <f t="shared" si="5"/>
        <v>234611.33389355126</v>
      </c>
      <c r="N27" s="165">
        <f t="shared" si="6"/>
        <v>5.0304080640447219E-3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1.69741968603421E-2</v>
      </c>
      <c r="F28" s="165">
        <f t="shared" si="0"/>
        <v>2480585.8724995898</v>
      </c>
      <c r="G28" s="165">
        <f t="shared" si="8"/>
        <v>409244.77874984988</v>
      </c>
      <c r="H28" s="165">
        <f t="shared" si="1"/>
        <v>1.69741968603421E-2</v>
      </c>
      <c r="I28" s="165">
        <f t="shared" si="2"/>
        <v>3.1864464769904999E-3</v>
      </c>
      <c r="J28" s="172">
        <f>IF(+'Sismo UBC-94 y Dinamico'!O21=0,'Sismo UBC-94 y Dinamico'!M21,'Sismo UBC-94 y Dinamico'!O21)</f>
        <v>9506.0135242065026</v>
      </c>
      <c r="K28" s="172">
        <f t="shared" si="3"/>
        <v>18</v>
      </c>
      <c r="L28" s="165">
        <f t="shared" si="4"/>
        <v>1304.0365834742158</v>
      </c>
      <c r="M28" s="165">
        <f t="shared" si="5"/>
        <v>171108.24343571704</v>
      </c>
      <c r="N28" s="165">
        <f t="shared" si="6"/>
        <v>7.621120743747942E-3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1.37877503833516E-2</v>
      </c>
      <c r="F29" s="165">
        <f t="shared" si="0"/>
        <v>2889830.6512491601</v>
      </c>
      <c r="G29" s="165">
        <f t="shared" si="8"/>
        <v>409244.77874957025</v>
      </c>
      <c r="H29" s="165">
        <f t="shared" si="1"/>
        <v>1.37877503833516E-2</v>
      </c>
      <c r="I29" s="165">
        <f t="shared" si="2"/>
        <v>3.4286105249808994E-3</v>
      </c>
      <c r="J29" s="172">
        <f>IF(+'Sismo UBC-94 y Dinamico'!O22=0,'Sismo UBC-94 y Dinamico'!M22,'Sismo UBC-94 y Dinamico'!O22)</f>
        <v>8259.665600381908</v>
      </c>
      <c r="K29" s="172">
        <f t="shared" si="3"/>
        <v>14.5</v>
      </c>
      <c r="L29" s="165">
        <f t="shared" si="4"/>
        <v>1403.1409557142561</v>
      </c>
      <c r="M29" s="165">
        <f t="shared" si="5"/>
        <v>119765.15120553767</v>
      </c>
      <c r="N29" s="165">
        <f t="shared" si="6"/>
        <v>1.1715769917964067E-2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1.0359139858370701E-2</v>
      </c>
      <c r="F30" s="165">
        <f t="shared" si="0"/>
        <v>3299075.4299990698</v>
      </c>
      <c r="G30" s="165">
        <f t="shared" si="8"/>
        <v>409244.77874990972</v>
      </c>
      <c r="H30" s="165">
        <f t="shared" si="1"/>
        <v>1.0359139858370701E-2</v>
      </c>
      <c r="I30" s="165">
        <f t="shared" si="2"/>
        <v>3.5973680808448309E-3</v>
      </c>
      <c r="J30" s="172">
        <f>IF(+'Sismo UBC-94 y Dinamico'!O23=0,'Sismo UBC-94 y Dinamico'!M23,'Sismo UBC-94 y Dinamico'!O23)</f>
        <v>6969.4775371005198</v>
      </c>
      <c r="K30" s="172">
        <f t="shared" si="3"/>
        <v>11</v>
      </c>
      <c r="L30" s="165">
        <f t="shared" si="4"/>
        <v>1472.2041043273302</v>
      </c>
      <c r="M30" s="165">
        <f t="shared" si="5"/>
        <v>76664.252908105715</v>
      </c>
      <c r="N30" s="165">
        <f t="shared" si="6"/>
        <v>1.9203266822308968E-2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6.7617717775258698E-3</v>
      </c>
      <c r="F31" s="165">
        <f t="shared" si="0"/>
        <v>3708320.2087494498</v>
      </c>
      <c r="G31" s="165">
        <f t="shared" si="8"/>
        <v>409244.77875038004</v>
      </c>
      <c r="H31" s="165">
        <f t="shared" si="1"/>
        <v>6.7617717775258698E-3</v>
      </c>
      <c r="I31" s="165">
        <f t="shared" si="2"/>
        <v>3.6289387675587799E-3</v>
      </c>
      <c r="J31" s="172">
        <f>IF(+'Sismo UBC-94 y Dinamico'!O24=0,'Sismo UBC-94 y Dinamico'!M24,'Sismo UBC-94 y Dinamico'!O24)</f>
        <v>5335.6319134320847</v>
      </c>
      <c r="K31" s="172">
        <f t="shared" si="3"/>
        <v>7.5</v>
      </c>
      <c r="L31" s="165">
        <f t="shared" si="4"/>
        <v>1485.1242430282698</v>
      </c>
      <c r="M31" s="165">
        <f t="shared" si="5"/>
        <v>40017.239350740638</v>
      </c>
      <c r="N31" s="165">
        <f t="shared" si="6"/>
        <v>3.7112111358096049E-2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3.1328330099670899E-3</v>
      </c>
      <c r="F32" s="165">
        <f t="shared" si="0"/>
        <v>4232956.9874995798</v>
      </c>
      <c r="G32" s="165">
        <f t="shared" si="8"/>
        <v>524636.77875012998</v>
      </c>
      <c r="H32" s="165">
        <f t="shared" si="1"/>
        <v>3.1328330099670899E-3</v>
      </c>
      <c r="I32" s="165">
        <f>+H32-I33</f>
        <v>3.1328330099670899E-3</v>
      </c>
      <c r="J32" s="172">
        <f>IF(+'Sismo UBC-94 y Dinamico'!O25=0,'Sismo UBC-94 y Dinamico'!M25,'Sismo UBC-94 y Dinamico'!O25)</f>
        <v>2990.5775309576302</v>
      </c>
      <c r="K32" s="172">
        <f t="shared" si="3"/>
        <v>4</v>
      </c>
      <c r="L32" s="165">
        <f t="shared" si="4"/>
        <v>1643.5994187112078</v>
      </c>
      <c r="M32" s="165">
        <f t="shared" si="5"/>
        <v>11962.310123830521</v>
      </c>
      <c r="N32" s="165">
        <f t="shared" si="6"/>
        <v>0.13739816153377751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2.6883042231218901E-2</v>
      </c>
      <c r="F40" s="165">
        <f t="shared" ref="F40:F50" si="9">+E5</f>
        <v>18781.199999996301</v>
      </c>
      <c r="G40" s="165">
        <v>0</v>
      </c>
      <c r="H40" s="165">
        <f t="shared" ref="H40:H50" si="10">+E40</f>
        <v>2.6883042231218901E-2</v>
      </c>
      <c r="I40" s="165">
        <f t="shared" ref="I40:I49" si="11">+H40-H41</f>
        <v>-7.0092495590669962E-4</v>
      </c>
      <c r="J40" s="165">
        <f>+J22</f>
        <v>1098.2493015829334</v>
      </c>
      <c r="K40" s="165">
        <f t="shared" ref="K40:K50" si="12">+C40</f>
        <v>38.5</v>
      </c>
      <c r="L40" s="165">
        <f>+G40*I40</f>
        <v>0</v>
      </c>
      <c r="M40" s="165">
        <f>+J40*K40</f>
        <v>42282.598110942934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2.7583967187125601E-2</v>
      </c>
      <c r="F41" s="165">
        <f t="shared" si="9"/>
        <v>434361.978750346</v>
      </c>
      <c r="G41" s="165">
        <f>+F41</f>
        <v>434361.978750346</v>
      </c>
      <c r="H41" s="165">
        <f t="shared" si="10"/>
        <v>2.7583967187125601E-2</v>
      </c>
      <c r="I41" s="165">
        <f t="shared" si="11"/>
        <v>1.0394242960685002E-3</v>
      </c>
      <c r="J41" s="172">
        <f t="shared" ref="J41:J50" si="13">+J23</f>
        <v>15974.306463273961</v>
      </c>
      <c r="K41" s="172">
        <f t="shared" si="12"/>
        <v>35.5</v>
      </c>
      <c r="L41" s="165">
        <f t="shared" ref="L41:L50" si="14">+G41*I41</f>
        <v>451.48639400149921</v>
      </c>
      <c r="M41" s="165">
        <f t="shared" ref="M41:M50" si="15">+J41*K41</f>
        <v>567087.87944622559</v>
      </c>
      <c r="N41" s="165">
        <f t="shared" ref="N41:N50" si="16">+L41/M41</f>
        <v>7.9614890454436464E-4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2.65445428910571E-2</v>
      </c>
      <c r="F42" s="165">
        <f t="shared" si="9"/>
        <v>843606.75750041101</v>
      </c>
      <c r="G42" s="165">
        <f>+F42-F41</f>
        <v>409244.77875006502</v>
      </c>
      <c r="H42" s="165">
        <f t="shared" si="10"/>
        <v>2.65445428910571E-2</v>
      </c>
      <c r="I42" s="165">
        <f t="shared" si="11"/>
        <v>1.5979810259482002E-3</v>
      </c>
      <c r="J42" s="172">
        <f t="shared" si="13"/>
        <v>17634.933672002993</v>
      </c>
      <c r="K42" s="172">
        <f t="shared" si="12"/>
        <v>32</v>
      </c>
      <c r="L42" s="165">
        <f t="shared" si="14"/>
        <v>653.9653914109731</v>
      </c>
      <c r="M42" s="165">
        <f t="shared" si="15"/>
        <v>564317.87750409578</v>
      </c>
      <c r="N42" s="165">
        <f t="shared" si="16"/>
        <v>1.1588599572697866E-3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2.49465618651089E-2</v>
      </c>
      <c r="F43" s="165">
        <f t="shared" si="9"/>
        <v>1252851.5362504199</v>
      </c>
      <c r="G43" s="165">
        <f t="shared" ref="G43:G50" si="18">+F43-F42</f>
        <v>409244.7787500089</v>
      </c>
      <c r="H43" s="165">
        <f t="shared" si="10"/>
        <v>2.49465618651089E-2</v>
      </c>
      <c r="I43" s="165">
        <f t="shared" si="11"/>
        <v>2.119067100651701E-3</v>
      </c>
      <c r="J43" s="172">
        <f t="shared" si="13"/>
        <v>14908.639895175855</v>
      </c>
      <c r="K43" s="172">
        <f t="shared" si="12"/>
        <v>28.5</v>
      </c>
      <c r="L43" s="165">
        <f t="shared" si="14"/>
        <v>867.2171467626282</v>
      </c>
      <c r="M43" s="165">
        <f t="shared" si="15"/>
        <v>424896.23701251188</v>
      </c>
      <c r="N43" s="165">
        <f t="shared" si="16"/>
        <v>2.0410092423037659E-3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2.2827494764457199E-2</v>
      </c>
      <c r="F44" s="165">
        <f t="shared" si="9"/>
        <v>1662096.3150003101</v>
      </c>
      <c r="G44" s="165">
        <f t="shared" si="18"/>
        <v>409244.77874989016</v>
      </c>
      <c r="H44" s="165">
        <f t="shared" si="10"/>
        <v>2.2827494764457199E-2</v>
      </c>
      <c r="I44" s="165">
        <f t="shared" si="11"/>
        <v>2.5624406638752005E-3</v>
      </c>
      <c r="J44" s="172">
        <f t="shared" si="13"/>
        <v>12660.287269590821</v>
      </c>
      <c r="K44" s="172">
        <f t="shared" si="12"/>
        <v>25</v>
      </c>
      <c r="L44" s="165">
        <f t="shared" si="14"/>
        <v>1048.6654625473282</v>
      </c>
      <c r="M44" s="165">
        <f t="shared" si="15"/>
        <v>316507.18173977052</v>
      </c>
      <c r="N44" s="165">
        <f t="shared" si="16"/>
        <v>3.3132438157739241E-3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2.0265054100581999E-2</v>
      </c>
      <c r="F45" s="165">
        <f t="shared" si="9"/>
        <v>2071341.0937497399</v>
      </c>
      <c r="G45" s="165">
        <f t="shared" si="18"/>
        <v>409244.77874942985</v>
      </c>
      <c r="H45" s="165">
        <f t="shared" si="10"/>
        <v>2.0265054100581999E-2</v>
      </c>
      <c r="I45" s="165">
        <f t="shared" si="11"/>
        <v>2.9352275685968973E-3</v>
      </c>
      <c r="J45" s="172">
        <f t="shared" si="13"/>
        <v>10912.155064816337</v>
      </c>
      <c r="K45" s="172">
        <f t="shared" si="12"/>
        <v>21.5</v>
      </c>
      <c r="L45" s="165">
        <f t="shared" si="14"/>
        <v>1201.2265568896642</v>
      </c>
      <c r="M45" s="165">
        <f t="shared" si="15"/>
        <v>234611.33389355126</v>
      </c>
      <c r="N45" s="165">
        <f t="shared" si="16"/>
        <v>5.1200704456788489E-3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1.7329826531985101E-2</v>
      </c>
      <c r="F46" s="165">
        <f t="shared" si="9"/>
        <v>2480585.8724995898</v>
      </c>
      <c r="G46" s="165">
        <f t="shared" si="18"/>
        <v>409244.77874984988</v>
      </c>
      <c r="H46" s="165">
        <f t="shared" si="10"/>
        <v>1.7329826531985101E-2</v>
      </c>
      <c r="I46" s="165">
        <f t="shared" si="11"/>
        <v>3.2455326935096011E-3</v>
      </c>
      <c r="J46" s="172">
        <f t="shared" si="13"/>
        <v>9506.0135242065026</v>
      </c>
      <c r="K46" s="172">
        <f t="shared" si="12"/>
        <v>18</v>
      </c>
      <c r="L46" s="165">
        <f t="shared" si="14"/>
        <v>1328.217309080741</v>
      </c>
      <c r="M46" s="165">
        <f t="shared" si="15"/>
        <v>171108.24343571704</v>
      </c>
      <c r="N46" s="165">
        <f t="shared" si="16"/>
        <v>7.7624390409906435E-3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1.40842938384755E-2</v>
      </c>
      <c r="F47" s="165">
        <f t="shared" si="9"/>
        <v>2889830.6512491601</v>
      </c>
      <c r="G47" s="165">
        <f t="shared" si="18"/>
        <v>409244.77874957025</v>
      </c>
      <c r="H47" s="165">
        <f t="shared" si="10"/>
        <v>1.40842938384755E-2</v>
      </c>
      <c r="I47" s="165">
        <f t="shared" si="11"/>
        <v>3.4952939909302996E-3</v>
      </c>
      <c r="J47" s="172">
        <f t="shared" si="13"/>
        <v>8259.665600381908</v>
      </c>
      <c r="K47" s="172">
        <f t="shared" si="12"/>
        <v>14.5</v>
      </c>
      <c r="L47" s="165">
        <f t="shared" si="14"/>
        <v>1430.4308159829729</v>
      </c>
      <c r="M47" s="165">
        <f t="shared" si="15"/>
        <v>119765.15120553767</v>
      </c>
      <c r="N47" s="165">
        <f t="shared" si="16"/>
        <v>1.1943631361748183E-2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1.0588999847545201E-2</v>
      </c>
      <c r="F48" s="165">
        <f t="shared" si="9"/>
        <v>3299075.4299990698</v>
      </c>
      <c r="G48" s="165">
        <f t="shared" si="18"/>
        <v>409244.77874990972</v>
      </c>
      <c r="H48" s="165">
        <f t="shared" si="10"/>
        <v>1.0588999847545201E-2</v>
      </c>
      <c r="I48" s="165">
        <f t="shared" si="11"/>
        <v>3.6714527061993503E-3</v>
      </c>
      <c r="J48" s="172">
        <f t="shared" si="13"/>
        <v>6969.4775371005198</v>
      </c>
      <c r="K48" s="172">
        <f t="shared" si="12"/>
        <v>11</v>
      </c>
      <c r="L48" s="165">
        <f t="shared" si="14"/>
        <v>1502.5228504393103</v>
      </c>
      <c r="M48" s="165">
        <f t="shared" si="15"/>
        <v>76664.252908105715</v>
      </c>
      <c r="N48" s="165">
        <f t="shared" si="16"/>
        <v>1.9598741179155853E-2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6.9175471413458504E-3</v>
      </c>
      <c r="F49" s="165">
        <f t="shared" si="9"/>
        <v>3708320.2087494498</v>
      </c>
      <c r="G49" s="165">
        <f t="shared" si="18"/>
        <v>409244.77875038004</v>
      </c>
      <c r="H49" s="165">
        <f t="shared" si="10"/>
        <v>6.9175471413458504E-3</v>
      </c>
      <c r="I49" s="165">
        <f t="shared" si="11"/>
        <v>3.7087936975220806E-3</v>
      </c>
      <c r="J49" s="172">
        <f t="shared" si="13"/>
        <v>5335.6319134320847</v>
      </c>
      <c r="K49" s="172">
        <f t="shared" si="12"/>
        <v>7.5</v>
      </c>
      <c r="L49" s="165">
        <f t="shared" si="14"/>
        <v>1517.8044561732279</v>
      </c>
      <c r="M49" s="165">
        <f t="shared" si="15"/>
        <v>40017.239350740638</v>
      </c>
      <c r="N49" s="165">
        <f t="shared" si="16"/>
        <v>3.7928764722375496E-2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3.2087534438237698E-3</v>
      </c>
      <c r="F50" s="165">
        <f t="shared" si="9"/>
        <v>4232956.9874995798</v>
      </c>
      <c r="G50" s="165">
        <f t="shared" si="18"/>
        <v>524636.77875012998</v>
      </c>
      <c r="H50" s="165">
        <f t="shared" si="10"/>
        <v>3.2087534438237698E-3</v>
      </c>
      <c r="I50" s="165">
        <f>+H50-I51</f>
        <v>3.2087534438237698E-3</v>
      </c>
      <c r="J50" s="172">
        <f t="shared" si="13"/>
        <v>2990.5775309576302</v>
      </c>
      <c r="K50" s="172">
        <f t="shared" si="12"/>
        <v>4</v>
      </c>
      <c r="L50" s="165">
        <f t="shared" si="14"/>
        <v>1683.4300705710887</v>
      </c>
      <c r="M50" s="165">
        <f t="shared" si="15"/>
        <v>11962.310123830521</v>
      </c>
      <c r="N50" s="165">
        <f t="shared" si="16"/>
        <v>0.14072784045428408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2.7808384560021399E-2</v>
      </c>
      <c r="F58" s="83">
        <f t="shared" ref="F58:F68" si="19">+E5</f>
        <v>18781.199999996301</v>
      </c>
      <c r="G58" s="83">
        <v>0</v>
      </c>
      <c r="H58" s="83">
        <f>+E58</f>
        <v>2.7808384560021399E-2</v>
      </c>
      <c r="I58" s="83">
        <f>+H58-H59</f>
        <v>5.065338846288979E-4</v>
      </c>
      <c r="J58" s="83">
        <f>IF(+'Sismo UBC-94 y Dinamico'!P34=0,'Sismo UBC-94 y Dinamico'!N34,'Sismo UBC-94 y Dinamico'!P34)</f>
        <v>892.30141488073741</v>
      </c>
      <c r="K58" s="83">
        <f t="shared" ref="K58:K68" si="20">+C58</f>
        <v>38.5</v>
      </c>
      <c r="L58" s="83">
        <f>+G58*I58</f>
        <v>0</v>
      </c>
      <c r="M58" s="83">
        <f>+J58*K58</f>
        <v>34353.604472908388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2.7301850675392501E-2</v>
      </c>
      <c r="F59" s="165">
        <f t="shared" si="19"/>
        <v>434361.978750346</v>
      </c>
      <c r="G59" s="83">
        <f>+F59</f>
        <v>434361.978750346</v>
      </c>
      <c r="H59" s="83">
        <f t="shared" ref="H59:H68" si="21">+E59</f>
        <v>2.7301850675392501E-2</v>
      </c>
      <c r="I59" s="83">
        <f>+H59-H60</f>
        <v>9.7414285620560023E-4</v>
      </c>
      <c r="J59" s="172">
        <f>IF(+'Sismo UBC-94 y Dinamico'!P35=0,'Sismo UBC-94 y Dinamico'!N35,'Sismo UBC-94 y Dinamico'!P35)</f>
        <v>16129.780398237826</v>
      </c>
      <c r="K59" s="172">
        <f t="shared" si="20"/>
        <v>35.5</v>
      </c>
      <c r="L59" s="83">
        <f>+G59*I59</f>
        <v>423.13061860697826</v>
      </c>
      <c r="M59" s="83">
        <f>+J59*K59</f>
        <v>572607.20413744287</v>
      </c>
      <c r="N59" s="83">
        <f>+L59/M59</f>
        <v>7.3895440984604566E-4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2.6327707819186901E-2</v>
      </c>
      <c r="F60" s="165">
        <f t="shared" si="19"/>
        <v>843606.75750041101</v>
      </c>
      <c r="G60" s="83">
        <f>+F60-F59</f>
        <v>409244.77875006502</v>
      </c>
      <c r="H60" s="83">
        <f t="shared" si="21"/>
        <v>2.6327707819186901E-2</v>
      </c>
      <c r="I60" s="83">
        <f>+H60-H61</f>
        <v>1.5414426258672995E-3</v>
      </c>
      <c r="J60" s="172">
        <f>IF(+'Sismo UBC-94 y Dinamico'!P36=0,'Sismo UBC-94 y Dinamico'!N36,'Sismo UBC-94 y Dinamico'!P36)</f>
        <v>17717.06497023251</v>
      </c>
      <c r="K60" s="172">
        <f t="shared" si="20"/>
        <v>32</v>
      </c>
      <c r="L60" s="83">
        <f>+G60*I60</f>
        <v>630.82734637898227</v>
      </c>
      <c r="M60" s="83">
        <f>+J60*K60</f>
        <v>566946.07904744032</v>
      </c>
      <c r="N60" s="83">
        <f>+L60/M60</f>
        <v>1.1126760898300463E-3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2.4786265193319602E-2</v>
      </c>
      <c r="F61" s="165">
        <f t="shared" si="19"/>
        <v>1252851.5362504199</v>
      </c>
      <c r="G61" s="83">
        <f t="shared" ref="G61:G68" si="22">+F61-F60</f>
        <v>409244.7787500089</v>
      </c>
      <c r="H61" s="83">
        <f t="shared" si="21"/>
        <v>2.4786265193319602E-2</v>
      </c>
      <c r="I61" s="83">
        <f>+H61-H62</f>
        <v>2.0703202360305012E-3</v>
      </c>
      <c r="J61" s="172">
        <f>IF(+'Sismo UBC-94 y Dinamico'!P37=0,'Sismo UBC-94 y Dinamico'!N37,'Sismo UBC-94 y Dinamico'!P37)</f>
        <v>14892.672516909943</v>
      </c>
      <c r="K61" s="172">
        <f t="shared" si="20"/>
        <v>28.5</v>
      </c>
      <c r="L61" s="83">
        <f>+G61*I61</f>
        <v>847.26774693596872</v>
      </c>
      <c r="M61" s="83">
        <f>+J61*K61</f>
        <v>424441.16673193336</v>
      </c>
      <c r="N61" s="83">
        <f>+L61/M61</f>
        <v>1.9961959709508628E-3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2.27159449572891E-2</v>
      </c>
      <c r="F62" s="165">
        <f t="shared" si="19"/>
        <v>1662096.3150003101</v>
      </c>
      <c r="G62" s="83">
        <f t="shared" si="22"/>
        <v>409244.77874989016</v>
      </c>
      <c r="H62" s="83">
        <f t="shared" si="21"/>
        <v>2.27159449572891E-2</v>
      </c>
      <c r="I62" s="83">
        <f>+H62-H63</f>
        <v>2.5228704121761994E-3</v>
      </c>
      <c r="J62" s="172">
        <f>IF(+'Sismo UBC-94 y Dinamico'!P38=0,'Sismo UBC-94 y Dinamico'!N38,'Sismo UBC-94 y Dinamico'!P38)</f>
        <v>12590.988446356278</v>
      </c>
      <c r="K62" s="172">
        <f t="shared" si="20"/>
        <v>25</v>
      </c>
      <c r="L62" s="83">
        <f>+G62*I62</f>
        <v>1032.4715436456929</v>
      </c>
      <c r="M62" s="83">
        <f>+J62*K62</f>
        <v>314774.71115890692</v>
      </c>
      <c r="N62" s="83">
        <f>+L62/M62</f>
        <v>3.2800333287399093E-3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2.0193074545112901E-2</v>
      </c>
      <c r="F63" s="165">
        <f t="shared" si="19"/>
        <v>2071341.0937497399</v>
      </c>
      <c r="G63" s="165">
        <f t="shared" si="22"/>
        <v>409244.77874942985</v>
      </c>
      <c r="H63" s="165">
        <f t="shared" si="21"/>
        <v>2.0193074545112901E-2</v>
      </c>
      <c r="I63" s="165">
        <f t="shared" ref="I63:I68" si="23">+H63-H64</f>
        <v>2.9054954433312026E-3</v>
      </c>
      <c r="J63" s="172">
        <f>IF(+'Sismo UBC-94 y Dinamico'!P39=0,'Sismo UBC-94 y Dinamico'!N39,'Sismo UBC-94 y Dinamico'!P39)</f>
        <v>10824.938768170019</v>
      </c>
      <c r="K63" s="172">
        <f t="shared" si="20"/>
        <v>21.5</v>
      </c>
      <c r="L63" s="165">
        <f t="shared" ref="L63:L68" si="24">+G63*I63</f>
        <v>1189.0588398635546</v>
      </c>
      <c r="M63" s="165">
        <f t="shared" ref="M63:M68" si="25">+J63*K63</f>
        <v>232736.1835156554</v>
      </c>
      <c r="N63" s="165">
        <f t="shared" ref="N63:N68" si="26">+L63/M63</f>
        <v>5.1090415847760539E-3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1.7287579101781698E-2</v>
      </c>
      <c r="F64" s="165">
        <f t="shared" si="19"/>
        <v>2480585.8724995898</v>
      </c>
      <c r="G64" s="165">
        <f t="shared" si="22"/>
        <v>409244.77874984988</v>
      </c>
      <c r="H64" s="165">
        <f t="shared" si="21"/>
        <v>1.7287579101781698E-2</v>
      </c>
      <c r="I64" s="165">
        <f t="shared" si="23"/>
        <v>3.2268403195950986E-3</v>
      </c>
      <c r="J64" s="172">
        <f>IF(+'Sismo UBC-94 y Dinamico'!P40=0,'Sismo UBC-94 y Dinamico'!N40,'Sismo UBC-94 y Dinamico'!P40)</f>
        <v>9448.6112844123836</v>
      </c>
      <c r="K64" s="172">
        <f t="shared" si="20"/>
        <v>18</v>
      </c>
      <c r="L64" s="165">
        <f t="shared" si="24"/>
        <v>1320.5675526537909</v>
      </c>
      <c r="M64" s="165">
        <f t="shared" si="25"/>
        <v>170075.00311942291</v>
      </c>
      <c r="N64" s="165">
        <f t="shared" si="26"/>
        <v>7.7646187178166187E-3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1.40607387821866E-2</v>
      </c>
      <c r="F65" s="165">
        <f t="shared" si="19"/>
        <v>2889830.6512491601</v>
      </c>
      <c r="G65" s="165">
        <f t="shared" si="22"/>
        <v>409244.77874957025</v>
      </c>
      <c r="H65" s="165">
        <f t="shared" si="21"/>
        <v>1.40607387821866E-2</v>
      </c>
      <c r="I65" s="165">
        <f t="shared" si="23"/>
        <v>3.4884209360661004E-3</v>
      </c>
      <c r="J65" s="172">
        <f>IF(+'Sismo UBC-94 y Dinamico'!P41=0,'Sismo UBC-94 y Dinamico'!N41,'Sismo UBC-94 y Dinamico'!P41)</f>
        <v>8265.4548512879574</v>
      </c>
      <c r="K65" s="172">
        <f t="shared" si="20"/>
        <v>14.5</v>
      </c>
      <c r="L65" s="165">
        <f t="shared" si="24"/>
        <v>1427.61805416574</v>
      </c>
      <c r="M65" s="165">
        <f t="shared" si="25"/>
        <v>119849.09534367538</v>
      </c>
      <c r="N65" s="165">
        <f t="shared" si="26"/>
        <v>1.1911796664563455E-2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1.05723178461205E-2</v>
      </c>
      <c r="F66" s="165">
        <f t="shared" si="19"/>
        <v>3299075.4299990698</v>
      </c>
      <c r="G66" s="165">
        <f t="shared" si="22"/>
        <v>409244.77874990972</v>
      </c>
      <c r="H66" s="165">
        <f t="shared" si="21"/>
        <v>1.05723178461205E-2</v>
      </c>
      <c r="I66" s="165">
        <f t="shared" si="23"/>
        <v>3.6738731250697595E-3</v>
      </c>
      <c r="J66" s="172">
        <f>IF(+'Sismo UBC-94 y Dinamico'!P42=0,'Sismo UBC-94 y Dinamico'!N42,'Sismo UBC-94 y Dinamico'!P42)</f>
        <v>7029.9052726606251</v>
      </c>
      <c r="K66" s="172">
        <f t="shared" si="20"/>
        <v>11</v>
      </c>
      <c r="L66" s="165">
        <f t="shared" si="24"/>
        <v>1503.5133942244131</v>
      </c>
      <c r="M66" s="165">
        <f t="shared" si="25"/>
        <v>77328.957999266873</v>
      </c>
      <c r="N66" s="165">
        <f t="shared" si="26"/>
        <v>1.9443083588927546E-2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6.8984447210507401E-3</v>
      </c>
      <c r="F67" s="165">
        <f t="shared" si="19"/>
        <v>3708320.2087494498</v>
      </c>
      <c r="G67" s="165">
        <f t="shared" si="22"/>
        <v>409244.77875038004</v>
      </c>
      <c r="H67" s="165">
        <f t="shared" si="21"/>
        <v>6.8984447210507401E-3</v>
      </c>
      <c r="I67" s="165">
        <f t="shared" si="23"/>
        <v>3.7130336002969499E-3</v>
      </c>
      <c r="J67" s="172">
        <f>IF(+'Sismo UBC-94 y Dinamico'!P43=0,'Sismo UBC-94 y Dinamico'!N43,'Sismo UBC-94 y Dinamico'!P43)</f>
        <v>5420.5678501271459</v>
      </c>
      <c r="K67" s="172">
        <f t="shared" si="20"/>
        <v>7.5</v>
      </c>
      <c r="L67" s="165">
        <f t="shared" si="24"/>
        <v>1519.5396142462523</v>
      </c>
      <c r="M67" s="165">
        <f t="shared" si="25"/>
        <v>40654.258875953594</v>
      </c>
      <c r="N67" s="165">
        <f t="shared" si="26"/>
        <v>3.7377132341355708E-2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3.1854111207537902E-3</v>
      </c>
      <c r="F68" s="165">
        <f t="shared" si="19"/>
        <v>4232956.9874995798</v>
      </c>
      <c r="G68" s="165">
        <f t="shared" si="22"/>
        <v>524636.77875012998</v>
      </c>
      <c r="H68" s="165">
        <f t="shared" si="21"/>
        <v>3.1854111207537902E-3</v>
      </c>
      <c r="I68" s="165">
        <f t="shared" si="23"/>
        <v>3.1854111207537902E-3</v>
      </c>
      <c r="J68" s="172">
        <f>IF(+'Sismo UBC-94 y Dinamico'!P44=0,'Sismo UBC-94 y Dinamico'!N44,'Sismo UBC-94 y Dinamico'!P44)</f>
        <v>3037.6519992461217</v>
      </c>
      <c r="K68" s="172">
        <f t="shared" si="20"/>
        <v>4</v>
      </c>
      <c r="L68" s="165">
        <f t="shared" si="24"/>
        <v>1671.1838293871099</v>
      </c>
      <c r="M68" s="165">
        <f t="shared" si="25"/>
        <v>12150.607996984487</v>
      </c>
      <c r="N68" s="165">
        <f t="shared" si="26"/>
        <v>0.13753911160674931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2.5920393580248301E-2</v>
      </c>
      <c r="F76" s="83">
        <f t="shared" ref="F76:F86" si="28">+E5</f>
        <v>18781.199999996301</v>
      </c>
      <c r="G76" s="83">
        <v>0</v>
      </c>
      <c r="H76" s="83">
        <f>+E76</f>
        <v>2.5920393580248301E-2</v>
      </c>
      <c r="I76" s="83">
        <f>+H76-H77</f>
        <v>-5.8519223232964962E-3</v>
      </c>
      <c r="J76" s="83">
        <f>+J58</f>
        <v>892.30141488073741</v>
      </c>
      <c r="K76" s="83">
        <f t="shared" ref="K76:K86" si="29">+C76</f>
        <v>38.5</v>
      </c>
      <c r="L76" s="83">
        <f>+G76*I76</f>
        <v>0</v>
      </c>
      <c r="M76" s="83">
        <f>+J76*K76</f>
        <v>34353.604472908388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3.1772315903544797E-2</v>
      </c>
      <c r="F77" s="165">
        <f t="shared" si="28"/>
        <v>434361.978750346</v>
      </c>
      <c r="G77" s="83">
        <f>+F77</f>
        <v>434361.978750346</v>
      </c>
      <c r="H77" s="83">
        <f>+E77</f>
        <v>3.1772315903544797E-2</v>
      </c>
      <c r="I77" s="83">
        <f>+H77-H78</f>
        <v>1.0751650097936966E-3</v>
      </c>
      <c r="J77" s="172">
        <f t="shared" ref="J77:J86" si="30">+J59</f>
        <v>16129.780398237826</v>
      </c>
      <c r="K77" s="172">
        <f t="shared" si="29"/>
        <v>35.5</v>
      </c>
      <c r="L77" s="83">
        <f>+G77*I77</f>
        <v>467.01080113712516</v>
      </c>
      <c r="M77" s="83">
        <f>+J77*K77</f>
        <v>572607.20413744287</v>
      </c>
      <c r="N77" s="83">
        <f>+L77/M77</f>
        <v>8.1558666702528698E-4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3.06971508937511E-2</v>
      </c>
      <c r="F78" s="165">
        <f t="shared" si="28"/>
        <v>843606.75750041101</v>
      </c>
      <c r="G78" s="83">
        <f>+F78-F77</f>
        <v>409244.77875006502</v>
      </c>
      <c r="H78" s="83">
        <f>+E78</f>
        <v>3.06971508937511E-2</v>
      </c>
      <c r="I78" s="83">
        <f>+H78-H79</f>
        <v>1.7475658428139987E-3</v>
      </c>
      <c r="J78" s="172">
        <f t="shared" si="30"/>
        <v>17717.06497023251</v>
      </c>
      <c r="K78" s="172">
        <f t="shared" si="29"/>
        <v>32</v>
      </c>
      <c r="L78" s="83">
        <f>+G78*I78</f>
        <v>715.18219669358575</v>
      </c>
      <c r="M78" s="83">
        <f>+J78*K78</f>
        <v>566946.07904744032</v>
      </c>
      <c r="N78" s="83">
        <f>+L78/M78</f>
        <v>1.2614642258311508E-3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2.8949585050937102E-2</v>
      </c>
      <c r="F79" s="165">
        <f t="shared" si="28"/>
        <v>1252851.5362504199</v>
      </c>
      <c r="G79" s="83">
        <f t="shared" ref="G79:G86" si="31">+F79-F78</f>
        <v>409244.7787500089</v>
      </c>
      <c r="H79" s="83">
        <f>+E79</f>
        <v>2.8949585050937102E-2</v>
      </c>
      <c r="I79" s="83">
        <f>+H79-H80</f>
        <v>2.3870555369809032E-3</v>
      </c>
      <c r="J79" s="172">
        <f t="shared" si="30"/>
        <v>14892.672516909943</v>
      </c>
      <c r="K79" s="172">
        <f t="shared" si="29"/>
        <v>28.5</v>
      </c>
      <c r="L79" s="83">
        <f>+G79*I79</f>
        <v>976.89001509573347</v>
      </c>
      <c r="M79" s="83">
        <f>+J79*K79</f>
        <v>424441.16673193336</v>
      </c>
      <c r="N79" s="83">
        <f>+L79/M79</f>
        <v>2.3015911077087234E-3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2.6562529513956198E-2</v>
      </c>
      <c r="F80" s="165">
        <f t="shared" si="28"/>
        <v>1662096.3150003101</v>
      </c>
      <c r="G80" s="83">
        <f t="shared" si="31"/>
        <v>409244.77874989016</v>
      </c>
      <c r="H80" s="83">
        <f>+E80</f>
        <v>2.6562529513956198E-2</v>
      </c>
      <c r="I80" s="83">
        <f>+H80-H81</f>
        <v>2.9359195671678981E-3</v>
      </c>
      <c r="J80" s="172">
        <f t="shared" si="30"/>
        <v>12590.988446356278</v>
      </c>
      <c r="K80" s="172">
        <f t="shared" si="29"/>
        <v>25</v>
      </c>
      <c r="L80" s="83">
        <f>+G80*I80</f>
        <v>1201.5097536930998</v>
      </c>
      <c r="M80" s="83">
        <f>+J80*K80</f>
        <v>314774.71115890692</v>
      </c>
      <c r="N80" s="83">
        <f>+L80/M80</f>
        <v>3.8170466403400008E-3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2.36266099467883E-2</v>
      </c>
      <c r="F81" s="165">
        <f t="shared" si="28"/>
        <v>2071341.0937497399</v>
      </c>
      <c r="G81" s="165">
        <f t="shared" si="31"/>
        <v>409244.77874942985</v>
      </c>
      <c r="H81" s="165">
        <f t="shared" ref="H81:H86" si="32">+E81</f>
        <v>2.36266099467883E-2</v>
      </c>
      <c r="I81" s="165">
        <f t="shared" ref="I81:I86" si="33">+H81-H82</f>
        <v>3.4016793021618003E-3</v>
      </c>
      <c r="J81" s="172">
        <f t="shared" si="30"/>
        <v>10824.938768170019</v>
      </c>
      <c r="K81" s="172">
        <f t="shared" si="29"/>
        <v>21.5</v>
      </c>
      <c r="L81" s="165">
        <f t="shared" ref="L81:L86" si="34">+G81*I81</f>
        <v>1392.1194933897209</v>
      </c>
      <c r="M81" s="165">
        <f t="shared" ref="M81:M86" si="35">+J81*K81</f>
        <v>232736.1835156554</v>
      </c>
      <c r="N81" s="165">
        <f t="shared" ref="N81:N86" si="36">+L81/M81</f>
        <v>5.9815344239159858E-3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2.02249306446265E-2</v>
      </c>
      <c r="F82" s="165">
        <f t="shared" si="28"/>
        <v>2480585.8724995898</v>
      </c>
      <c r="G82" s="165">
        <f t="shared" si="31"/>
        <v>409244.77874984988</v>
      </c>
      <c r="H82" s="165">
        <f t="shared" si="32"/>
        <v>2.02249306446265E-2</v>
      </c>
      <c r="I82" s="165">
        <f t="shared" si="33"/>
        <v>3.7959440617826995E-3</v>
      </c>
      <c r="J82" s="172">
        <f t="shared" si="30"/>
        <v>9448.6112844123836</v>
      </c>
      <c r="K82" s="172">
        <f t="shared" si="29"/>
        <v>18</v>
      </c>
      <c r="L82" s="165">
        <f t="shared" si="34"/>
        <v>1553.4702877110674</v>
      </c>
      <c r="M82" s="165">
        <f t="shared" si="35"/>
        <v>170075.00311942291</v>
      </c>
      <c r="N82" s="165">
        <f t="shared" si="36"/>
        <v>9.1340306289470121E-3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1.6428986582843801E-2</v>
      </c>
      <c r="F83" s="165">
        <f t="shared" si="28"/>
        <v>2889830.6512491601</v>
      </c>
      <c r="G83" s="165">
        <f t="shared" si="31"/>
        <v>409244.77874957025</v>
      </c>
      <c r="H83" s="165">
        <f t="shared" si="32"/>
        <v>1.6428986582843801E-2</v>
      </c>
      <c r="I83" s="165">
        <f t="shared" si="33"/>
        <v>4.1215368311748012E-3</v>
      </c>
      <c r="J83" s="172">
        <f t="shared" si="30"/>
        <v>8265.4548512879574</v>
      </c>
      <c r="K83" s="172">
        <f t="shared" si="29"/>
        <v>14.5</v>
      </c>
      <c r="L83" s="165">
        <f t="shared" si="34"/>
        <v>1686.7174285823364</v>
      </c>
      <c r="M83" s="165">
        <f t="shared" si="35"/>
        <v>119849.09534367538</v>
      </c>
      <c r="N83" s="165">
        <f t="shared" si="36"/>
        <v>1.4073676766149634E-2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1.2307449751668999E-2</v>
      </c>
      <c r="F84" s="165">
        <f t="shared" si="28"/>
        <v>3299075.4299990698</v>
      </c>
      <c r="G84" s="165">
        <f t="shared" si="31"/>
        <v>409244.77874990972</v>
      </c>
      <c r="H84" s="165">
        <f t="shared" si="32"/>
        <v>1.2307449751668999E-2</v>
      </c>
      <c r="I84" s="165">
        <f t="shared" si="33"/>
        <v>4.35549184503768E-3</v>
      </c>
      <c r="J84" s="172">
        <f t="shared" si="30"/>
        <v>7029.9052726606251</v>
      </c>
      <c r="K84" s="172">
        <f t="shared" si="29"/>
        <v>11</v>
      </c>
      <c r="L84" s="165">
        <f t="shared" si="34"/>
        <v>1782.4622964694813</v>
      </c>
      <c r="M84" s="165">
        <f t="shared" si="35"/>
        <v>77328.957999266873</v>
      </c>
      <c r="N84" s="165">
        <f t="shared" si="36"/>
        <v>2.3050385555258356E-2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7.9519579066313194E-3</v>
      </c>
      <c r="F85" s="165">
        <f t="shared" si="28"/>
        <v>3708320.2087494498</v>
      </c>
      <c r="G85" s="165">
        <f t="shared" si="31"/>
        <v>409244.77875038004</v>
      </c>
      <c r="H85" s="165">
        <f t="shared" si="32"/>
        <v>7.9519579066313194E-3</v>
      </c>
      <c r="I85" s="165">
        <f t="shared" si="33"/>
        <v>4.3799171767071694E-3</v>
      </c>
      <c r="J85" s="172">
        <f t="shared" si="30"/>
        <v>5420.5678501271459</v>
      </c>
      <c r="K85" s="172">
        <f t="shared" si="29"/>
        <v>7.5</v>
      </c>
      <c r="L85" s="165">
        <f t="shared" si="34"/>
        <v>1792.4582359265148</v>
      </c>
      <c r="M85" s="165">
        <f t="shared" si="35"/>
        <v>40654.258875953594</v>
      </c>
      <c r="N85" s="165">
        <f t="shared" si="36"/>
        <v>4.4090294239424149E-2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3.5720407299241501E-3</v>
      </c>
      <c r="F86" s="165">
        <f t="shared" si="28"/>
        <v>4232956.9874995798</v>
      </c>
      <c r="G86" s="165">
        <f t="shared" si="31"/>
        <v>524636.77875012998</v>
      </c>
      <c r="H86" s="165">
        <f t="shared" si="32"/>
        <v>3.5720407299241501E-3</v>
      </c>
      <c r="I86" s="165">
        <f t="shared" si="33"/>
        <v>3.5720407299241501E-3</v>
      </c>
      <c r="J86" s="172">
        <f t="shared" si="30"/>
        <v>3037.6519992461217</v>
      </c>
      <c r="K86" s="172">
        <f t="shared" si="29"/>
        <v>4</v>
      </c>
      <c r="L86" s="165">
        <f t="shared" si="34"/>
        <v>1874.0239421116692</v>
      </c>
      <c r="M86" s="165">
        <f t="shared" si="35"/>
        <v>12150.607996984487</v>
      </c>
      <c r="N86" s="165">
        <f t="shared" si="36"/>
        <v>0.15423293571620125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2021-05-24T20:54:39Z</dcterms:modified>
</cp:coreProperties>
</file>