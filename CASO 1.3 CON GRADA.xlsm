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1\"/>
    </mc:Choice>
  </mc:AlternateContent>
  <bookViews>
    <workbookView xWindow="0" yWindow="0" windowWidth="23040" windowHeight="9972" tabRatio="830" firstSheet="6" activeTab="10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<sst xmlns="http://schemas.openxmlformats.org/spreadsheetml/2006/main" count="4772" uniqueCount="262">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</sst>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755.85443148536103</v>
      </c>
      <c r="E5" s="172">
        <f t="shared" si="0"/>
        <v>755.85443148536103</v>
      </c>
      <c r="F5" s="172">
        <f t="shared" si="0"/>
        <v>25.395580382377599</v>
      </c>
      <c r="G5" s="172">
        <f t="shared" si="0"/>
        <v>1.91646430318821</v>
      </c>
      <c r="H5" s="172">
        <f t="shared" si="0"/>
        <v>755.85443148536103</v>
      </c>
      <c r="I5" s="172">
        <f t="shared" si="0"/>
        <v>755.85443148536103</v>
      </c>
      <c r="J5" s="172">
        <f t="shared" si="0"/>
        <v>25.395580382377599</v>
      </c>
      <c r="K5" s="172">
        <f t="shared" si="0"/>
        <v>1.91646430318821</v>
      </c>
      <c r="L5" s="172">
        <f t="shared" si="0"/>
        <v>24.296911127885298</v>
      </c>
      <c r="M5" s="172">
        <f t="shared" si="0"/>
        <v>2.4798743318515002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16946.712707268802</v>
      </c>
      <c r="E6" s="172">
        <f t="shared" si="1"/>
        <v>16946.712707268802</v>
      </c>
      <c r="F6" s="172">
        <f t="shared" si="1"/>
        <v>12.5669931801767</v>
      </c>
      <c r="G6" s="172">
        <f t="shared" si="1"/>
        <v>14.4971146767446</v>
      </c>
      <c r="H6" s="172">
        <f t="shared" si="1"/>
        <v>16946.712707268802</v>
      </c>
      <c r="I6" s="172">
        <f t="shared" si="1"/>
        <v>16946.712707268802</v>
      </c>
      <c r="J6" s="172">
        <f t="shared" si="1"/>
        <v>12.5669931801767</v>
      </c>
      <c r="K6" s="172">
        <f t="shared" si="1"/>
        <v>14.4971146767446</v>
      </c>
      <c r="L6" s="172">
        <f t="shared" si="1"/>
        <v>12.8755219853537</v>
      </c>
      <c r="M6" s="172">
        <f t="shared" si="1"/>
        <v>13.9329999214293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21789.759708260899</v>
      </c>
      <c r="E7" s="172">
        <f t="shared" si="2"/>
        <v>21789.759708260899</v>
      </c>
      <c r="F7" s="172">
        <f t="shared" si="2"/>
        <v>12.4228675951348</v>
      </c>
      <c r="G7" s="172">
        <f t="shared" si="2"/>
        <v>14.6600709647358</v>
      </c>
      <c r="H7" s="172">
        <f t="shared" si="2"/>
        <v>21789.759708260899</v>
      </c>
      <c r="I7" s="172">
        <f t="shared" si="2"/>
        <v>21789.759708260899</v>
      </c>
      <c r="J7" s="172">
        <f t="shared" si="2"/>
        <v>12.4228675951348</v>
      </c>
      <c r="K7" s="172">
        <f t="shared" si="2"/>
        <v>14.6600709647358</v>
      </c>
      <c r="L7" s="172">
        <f t="shared" si="2"/>
        <v>13.032053158067299</v>
      </c>
      <c r="M7" s="172">
        <f t="shared" si="2"/>
        <v>13.8286024408907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21789.759708260899</v>
      </c>
      <c r="E8" s="172">
        <f t="shared" si="3"/>
        <v>21789.759708260899</v>
      </c>
      <c r="F8" s="172">
        <f t="shared" si="3"/>
        <v>12.4228675951348</v>
      </c>
      <c r="G8" s="172">
        <f t="shared" si="3"/>
        <v>14.6600709647358</v>
      </c>
      <c r="H8" s="172">
        <f t="shared" si="3"/>
        <v>21789.759708260899</v>
      </c>
      <c r="I8" s="172">
        <f t="shared" si="3"/>
        <v>21789.759708260899</v>
      </c>
      <c r="J8" s="172">
        <f t="shared" si="3"/>
        <v>12.4228675951348</v>
      </c>
      <c r="K8" s="172">
        <f t="shared" si="3"/>
        <v>14.6600709647358</v>
      </c>
      <c r="L8" s="172">
        <f t="shared" si="3"/>
        <v>13.2008886180493</v>
      </c>
      <c r="M8" s="172">
        <f t="shared" si="3"/>
        <v>13.7094796422397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21789.759708260899</v>
      </c>
      <c r="E9" s="172">
        <f t="shared" si="4"/>
        <v>21789.759708260899</v>
      </c>
      <c r="F9" s="172">
        <f t="shared" si="4"/>
        <v>12.4228675951348</v>
      </c>
      <c r="G9" s="172">
        <f t="shared" si="4"/>
        <v>14.6600709647358</v>
      </c>
      <c r="H9" s="172">
        <f t="shared" si="4"/>
        <v>21789.759708260899</v>
      </c>
      <c r="I9" s="172">
        <f t="shared" si="4"/>
        <v>21789.759708260899</v>
      </c>
      <c r="J9" s="172">
        <f t="shared" si="4"/>
        <v>12.4228675951348</v>
      </c>
      <c r="K9" s="172">
        <f t="shared" si="4"/>
        <v>14.6600709647358</v>
      </c>
      <c r="L9" s="172">
        <f t="shared" si="4"/>
        <v>13.3470785333653</v>
      </c>
      <c r="M9" s="172">
        <f t="shared" si="4"/>
        <v>13.6046210084334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21789.759708260899</v>
      </c>
      <c r="E10" s="172">
        <f t="shared" si="5"/>
        <v>21789.759708260899</v>
      </c>
      <c r="F10" s="172">
        <f t="shared" si="5"/>
        <v>12.4228675951348</v>
      </c>
      <c r="G10" s="172">
        <f t="shared" si="5"/>
        <v>14.6600709647358</v>
      </c>
      <c r="H10" s="172">
        <f t="shared" si="5"/>
        <v>21789.759708260899</v>
      </c>
      <c r="I10" s="172">
        <f t="shared" si="5"/>
        <v>21789.759708260899</v>
      </c>
      <c r="J10" s="172">
        <f t="shared" si="5"/>
        <v>12.4228675951348</v>
      </c>
      <c r="K10" s="172">
        <f t="shared" si="5"/>
        <v>14.6600709647358</v>
      </c>
      <c r="L10" s="172">
        <f t="shared" si="5"/>
        <v>13.467875639801299</v>
      </c>
      <c r="M10" s="172">
        <f t="shared" si="5"/>
        <v>13.515898364818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21789.759708260899</v>
      </c>
      <c r="E11" s="172">
        <f t="shared" si="6"/>
        <v>21789.759708260899</v>
      </c>
      <c r="F11" s="172">
        <f t="shared" si="6"/>
        <v>12.4228675951348</v>
      </c>
      <c r="G11" s="172">
        <f t="shared" si="6"/>
        <v>14.6600709647358</v>
      </c>
      <c r="H11" s="172">
        <f t="shared" si="6"/>
        <v>21789.759708260899</v>
      </c>
      <c r="I11" s="172">
        <f t="shared" si="6"/>
        <v>21789.759708260899</v>
      </c>
      <c r="J11" s="172">
        <f t="shared" si="6"/>
        <v>12.4228675951348</v>
      </c>
      <c r="K11" s="172">
        <f t="shared" si="6"/>
        <v>14.6600709647358</v>
      </c>
      <c r="L11" s="172">
        <f t="shared" si="6"/>
        <v>13.569492128121301</v>
      </c>
      <c r="M11" s="172">
        <f t="shared" si="6"/>
        <v>13.440312579331099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23261.8220033531</v>
      </c>
      <c r="E12" s="172">
        <f t="shared" si="7"/>
        <v>23261.8220033531</v>
      </c>
      <c r="F12" s="172">
        <f t="shared" si="7"/>
        <v>12.395315730276501</v>
      </c>
      <c r="G12" s="172">
        <f t="shared" si="7"/>
        <v>14.6381843595332</v>
      </c>
      <c r="H12" s="172">
        <f t="shared" si="7"/>
        <v>23261.8220033531</v>
      </c>
      <c r="I12" s="172">
        <f t="shared" si="7"/>
        <v>23261.8220033531</v>
      </c>
      <c r="J12" s="172">
        <f t="shared" si="7"/>
        <v>12.395315730276501</v>
      </c>
      <c r="K12" s="172">
        <f t="shared" si="7"/>
        <v>14.6381843595332</v>
      </c>
      <c r="L12" s="172">
        <f t="shared" si="7"/>
        <v>13.6648697078942</v>
      </c>
      <c r="M12" s="172">
        <f t="shared" si="7"/>
        <v>13.390539061102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23261.8220033531</v>
      </c>
      <c r="E13" s="172">
        <f t="shared" si="8"/>
        <v>23261.8220033531</v>
      </c>
      <c r="F13" s="172">
        <f t="shared" si="8"/>
        <v>12.395315730276501</v>
      </c>
      <c r="G13" s="172">
        <f t="shared" si="8"/>
        <v>14.6381843595332</v>
      </c>
      <c r="H13" s="172">
        <f t="shared" si="8"/>
        <v>23261.8220033531</v>
      </c>
      <c r="I13" s="172">
        <f t="shared" si="8"/>
        <v>23261.8220033531</v>
      </c>
      <c r="J13" s="172">
        <f t="shared" si="8"/>
        <v>12.395315730276501</v>
      </c>
      <c r="K13" s="172">
        <f t="shared" si="8"/>
        <v>14.6381843595332</v>
      </c>
      <c r="L13" s="172">
        <f t="shared" si="8"/>
        <v>13.7101443133713</v>
      </c>
      <c r="M13" s="172">
        <f t="shared" si="8"/>
        <v>13.3986334003833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23261.8220033531</v>
      </c>
      <c r="E14" s="172">
        <f t="shared" si="9"/>
        <v>23261.8220033531</v>
      </c>
      <c r="F14" s="172">
        <f t="shared" si="9"/>
        <v>12.395315730276501</v>
      </c>
      <c r="G14" s="172">
        <f t="shared" si="9"/>
        <v>14.6381843595332</v>
      </c>
      <c r="H14" s="172">
        <f t="shared" si="9"/>
        <v>23261.8220033531</v>
      </c>
      <c r="I14" s="172">
        <f t="shared" si="9"/>
        <v>23261.8220033531</v>
      </c>
      <c r="J14" s="172">
        <f t="shared" si="9"/>
        <v>12.395315730276501</v>
      </c>
      <c r="K14" s="172">
        <f t="shared" si="9"/>
        <v>14.6381843595332</v>
      </c>
      <c r="L14" s="172">
        <f t="shared" si="9"/>
        <v>13.6209919592863</v>
      </c>
      <c r="M14" s="172">
        <f t="shared" si="9"/>
        <v>13.540404146864301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24031.277106730198</v>
      </c>
      <c r="E15" s="172">
        <f t="shared" si="10"/>
        <v>24031.277106730198</v>
      </c>
      <c r="F15" s="172">
        <f t="shared" si="10"/>
        <v>12.4356022957025</v>
      </c>
      <c r="G15" s="172">
        <f t="shared" si="10"/>
        <v>14.606715427241999</v>
      </c>
      <c r="H15" s="172">
        <f t="shared" si="10"/>
        <v>24031.277106730198</v>
      </c>
      <c r="I15" s="172">
        <f t="shared" si="10"/>
        <v>24031.277106730198</v>
      </c>
      <c r="J15" s="172">
        <f t="shared" si="10"/>
        <v>12.4356022957025</v>
      </c>
      <c r="K15" s="172">
        <f t="shared" si="10"/>
        <v>14.606715427241999</v>
      </c>
      <c r="L15" s="172">
        <f t="shared" si="10"/>
        <v>13.229030560523</v>
      </c>
      <c r="M15" s="172">
        <f t="shared" si="10"/>
        <v>13.9967767906719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24031.277106730198</v>
      </c>
      <c r="E23" s="172">
        <v>24031.277106730198</v>
      </c>
      <c r="F23" s="172">
        <v>12.4356022957025</v>
      </c>
      <c r="G23" s="172">
        <v>14.606715427241999</v>
      </c>
      <c r="H23" s="172">
        <v>24031.277106730198</v>
      </c>
      <c r="I23" s="172">
        <v>24031.277106730198</v>
      </c>
      <c r="J23" s="172">
        <v>12.4356022957025</v>
      </c>
      <c r="K23" s="172">
        <v>14.606715427241999</v>
      </c>
      <c r="L23" s="172">
        <v>13.229030560523</v>
      </c>
      <c r="M23" s="172">
        <v>13.9967767906719</v>
      </c>
    </row>
    <row r="24" spans="2:15" x14ac:dyDescent="0.3">
      <c r="B24" s="172" t="s">
        <v>24</v>
      </c>
      <c r="C24" s="172" t="s">
        <v>175</v>
      </c>
      <c r="D24" s="172">
        <v>23261.8220033531</v>
      </c>
      <c r="E24" s="172">
        <v>23261.8220033531</v>
      </c>
      <c r="F24" s="172">
        <v>12.395315730276501</v>
      </c>
      <c r="G24" s="172">
        <v>14.6381843595332</v>
      </c>
      <c r="H24" s="172">
        <v>23261.8220033531</v>
      </c>
      <c r="I24" s="172">
        <v>23261.8220033531</v>
      </c>
      <c r="J24" s="172">
        <v>12.395315730276501</v>
      </c>
      <c r="K24" s="172">
        <v>14.6381843595332</v>
      </c>
      <c r="L24" s="172">
        <v>13.6209919592863</v>
      </c>
      <c r="M24" s="172">
        <v>13.540404146864301</v>
      </c>
    </row>
    <row r="25" spans="2:15" x14ac:dyDescent="0.3">
      <c r="B25" s="172" t="s">
        <v>25</v>
      </c>
      <c r="C25" s="172" t="s">
        <v>176</v>
      </c>
      <c r="D25" s="172">
        <v>23261.8220033531</v>
      </c>
      <c r="E25" s="172">
        <v>23261.8220033531</v>
      </c>
      <c r="F25" s="172">
        <v>12.395315730276501</v>
      </c>
      <c r="G25" s="172">
        <v>14.6381843595332</v>
      </c>
      <c r="H25" s="172">
        <v>23261.8220033531</v>
      </c>
      <c r="I25" s="172">
        <v>23261.8220033531</v>
      </c>
      <c r="J25" s="172">
        <v>12.395315730276501</v>
      </c>
      <c r="K25" s="172">
        <v>14.6381843595332</v>
      </c>
      <c r="L25" s="172">
        <v>13.7101443133713</v>
      </c>
      <c r="M25" s="172">
        <v>13.3986334003833</v>
      </c>
    </row>
    <row r="26" spans="2:15" x14ac:dyDescent="0.3">
      <c r="B26" s="172" t="s">
        <v>26</v>
      </c>
      <c r="C26" s="172" t="s">
        <v>177</v>
      </c>
      <c r="D26" s="172">
        <v>23261.8220033531</v>
      </c>
      <c r="E26" s="172">
        <v>23261.8220033531</v>
      </c>
      <c r="F26" s="172">
        <v>12.395315730276501</v>
      </c>
      <c r="G26" s="172">
        <v>14.6381843595332</v>
      </c>
      <c r="H26" s="172">
        <v>23261.8220033531</v>
      </c>
      <c r="I26" s="172">
        <v>23261.8220033531</v>
      </c>
      <c r="J26" s="172">
        <v>12.395315730276501</v>
      </c>
      <c r="K26" s="172">
        <v>14.6381843595332</v>
      </c>
      <c r="L26" s="172">
        <v>13.6648697078942</v>
      </c>
      <c r="M26" s="172">
        <v>13.390539061102</v>
      </c>
    </row>
    <row r="27" spans="2:15" x14ac:dyDescent="0.3">
      <c r="B27" s="172" t="s">
        <v>39</v>
      </c>
      <c r="C27" s="172" t="s">
        <v>178</v>
      </c>
      <c r="D27" s="172">
        <v>21789.759708260899</v>
      </c>
      <c r="E27" s="172">
        <v>21789.759708260899</v>
      </c>
      <c r="F27" s="172">
        <v>12.4228675951348</v>
      </c>
      <c r="G27" s="172">
        <v>14.6600709647358</v>
      </c>
      <c r="H27" s="172">
        <v>21789.759708260899</v>
      </c>
      <c r="I27" s="172">
        <v>21789.759708260899</v>
      </c>
      <c r="J27" s="172">
        <v>12.4228675951348</v>
      </c>
      <c r="K27" s="172">
        <v>14.6600709647358</v>
      </c>
      <c r="L27" s="172">
        <v>13.569492128121301</v>
      </c>
      <c r="M27" s="172">
        <v>13.440312579331099</v>
      </c>
    </row>
    <row r="28" spans="2:15" x14ac:dyDescent="0.3">
      <c r="B28" s="172" t="s">
        <v>179</v>
      </c>
      <c r="C28" s="172" t="s">
        <v>180</v>
      </c>
      <c r="D28" s="172">
        <v>21789.759708260899</v>
      </c>
      <c r="E28" s="172">
        <v>21789.759708260899</v>
      </c>
      <c r="F28" s="172">
        <v>12.4228675951348</v>
      </c>
      <c r="G28" s="172">
        <v>14.6600709647358</v>
      </c>
      <c r="H28" s="172">
        <v>21789.759708260899</v>
      </c>
      <c r="I28" s="172">
        <v>21789.759708260899</v>
      </c>
      <c r="J28" s="172">
        <v>12.4228675951348</v>
      </c>
      <c r="K28" s="172">
        <v>14.6600709647358</v>
      </c>
      <c r="L28" s="172">
        <v>13.467875639801299</v>
      </c>
      <c r="M28" s="172">
        <v>13.515898364818</v>
      </c>
    </row>
    <row r="29" spans="2:15" x14ac:dyDescent="0.3">
      <c r="B29" s="172" t="s">
        <v>181</v>
      </c>
      <c r="C29" s="172" t="s">
        <v>182</v>
      </c>
      <c r="D29" s="172">
        <v>21789.759708260899</v>
      </c>
      <c r="E29" s="172">
        <v>21789.759708260899</v>
      </c>
      <c r="F29" s="172">
        <v>12.4228675951348</v>
      </c>
      <c r="G29" s="172">
        <v>14.6600709647358</v>
      </c>
      <c r="H29" s="172">
        <v>21789.759708260899</v>
      </c>
      <c r="I29" s="172">
        <v>21789.759708260899</v>
      </c>
      <c r="J29" s="172">
        <v>12.4228675951348</v>
      </c>
      <c r="K29" s="172">
        <v>14.6600709647358</v>
      </c>
      <c r="L29" s="172">
        <v>13.3470785333653</v>
      </c>
      <c r="M29" s="172">
        <v>13.6046210084334</v>
      </c>
    </row>
    <row r="30" spans="2:15" x14ac:dyDescent="0.3">
      <c r="B30" s="172" t="s">
        <v>183</v>
      </c>
      <c r="C30" s="172" t="s">
        <v>184</v>
      </c>
      <c r="D30" s="172">
        <v>21789.759708260899</v>
      </c>
      <c r="E30" s="172">
        <v>21789.759708260899</v>
      </c>
      <c r="F30" s="172">
        <v>12.4228675951348</v>
      </c>
      <c r="G30" s="172">
        <v>14.6600709647358</v>
      </c>
      <c r="H30" s="172">
        <v>21789.759708260899</v>
      </c>
      <c r="I30" s="172">
        <v>21789.759708260899</v>
      </c>
      <c r="J30" s="172">
        <v>12.4228675951348</v>
      </c>
      <c r="K30" s="172">
        <v>14.6600709647358</v>
      </c>
      <c r="L30" s="172">
        <v>13.2008886180493</v>
      </c>
      <c r="M30" s="172">
        <v>13.7094796422397</v>
      </c>
    </row>
    <row r="31" spans="2:15" x14ac:dyDescent="0.3">
      <c r="B31" s="172" t="s">
        <v>185</v>
      </c>
      <c r="C31" s="172" t="s">
        <v>186</v>
      </c>
      <c r="D31" s="172">
        <v>21789.759708260899</v>
      </c>
      <c r="E31" s="172">
        <v>21789.759708260899</v>
      </c>
      <c r="F31" s="172">
        <v>12.4228675951348</v>
      </c>
      <c r="G31" s="172">
        <v>14.6600709647358</v>
      </c>
      <c r="H31" s="172">
        <v>21789.759708260899</v>
      </c>
      <c r="I31" s="172">
        <v>21789.759708260899</v>
      </c>
      <c r="J31" s="172">
        <v>12.4228675951348</v>
      </c>
      <c r="K31" s="172">
        <v>14.6600709647358</v>
      </c>
      <c r="L31" s="172">
        <v>13.032053158067299</v>
      </c>
      <c r="M31" s="172">
        <v>13.8286024408907</v>
      </c>
    </row>
    <row r="32" spans="2:15" x14ac:dyDescent="0.3">
      <c r="B32" s="172" t="s">
        <v>187</v>
      </c>
      <c r="C32" s="172" t="s">
        <v>188</v>
      </c>
      <c r="D32" s="172">
        <v>16946.712707268802</v>
      </c>
      <c r="E32" s="172">
        <v>16946.712707268802</v>
      </c>
      <c r="F32" s="172">
        <v>12.5669931801767</v>
      </c>
      <c r="G32" s="172">
        <v>14.4971146767446</v>
      </c>
      <c r="H32" s="172">
        <v>16946.712707268802</v>
      </c>
      <c r="I32" s="172">
        <v>16946.712707268802</v>
      </c>
      <c r="J32" s="172">
        <v>12.5669931801767</v>
      </c>
      <c r="K32" s="172">
        <v>14.4971146767446</v>
      </c>
      <c r="L32" s="172">
        <v>12.8755219853537</v>
      </c>
      <c r="M32" s="172">
        <v>13.9329999214293</v>
      </c>
    </row>
    <row r="33" spans="2:13" x14ac:dyDescent="0.3">
      <c r="B33" s="172" t="s">
        <v>189</v>
      </c>
      <c r="C33" s="172" t="s">
        <v>190</v>
      </c>
      <c r="D33" s="172">
        <v>755.85443148536103</v>
      </c>
      <c r="E33" s="172">
        <v>755.85443148536103</v>
      </c>
      <c r="F33" s="172">
        <v>25.395580382377599</v>
      </c>
      <c r="G33" s="172">
        <v>1.91646430318821</v>
      </c>
      <c r="H33" s="172">
        <v>755.85443148536103</v>
      </c>
      <c r="I33" s="172">
        <v>755.85443148536103</v>
      </c>
      <c r="J33" s="172">
        <v>25.395580382377599</v>
      </c>
      <c r="K33" s="172">
        <v>1.91646430318821</v>
      </c>
      <c r="L33" s="172">
        <v>24.296911127885298</v>
      </c>
      <c r="M33" s="172">
        <v>2.4798743318515002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9.0971154432500099E-10</v>
      </c>
      <c r="G6" s="172">
        <v>925.22177526738199</v>
      </c>
      <c r="H6" s="172">
        <v>582.30009534392798</v>
      </c>
      <c r="I6" s="172">
        <v>15587.1405739732</v>
      </c>
      <c r="J6" s="172">
        <v>1.484317456196E-9</v>
      </c>
      <c r="K6" s="172">
        <v>2.5076299367413301E-8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4.0167655695410998E-10</v>
      </c>
      <c r="G7" s="172">
        <v>925.22177526661903</v>
      </c>
      <c r="H7" s="172">
        <v>582.30009534450903</v>
      </c>
      <c r="I7" s="172">
        <v>15587.140573988599</v>
      </c>
      <c r="J7" s="172">
        <v>1746.90028603309</v>
      </c>
      <c r="K7" s="172">
        <v>2775.6653257953799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4.0606303930146799E-10</v>
      </c>
      <c r="G8" s="172">
        <v>383.70625910135902</v>
      </c>
      <c r="H8" s="172">
        <v>843.17689441097798</v>
      </c>
      <c r="I8" s="172">
        <v>21741.9819972349</v>
      </c>
      <c r="J8" s="172">
        <v>3.5987900451188198E-10</v>
      </c>
      <c r="K8" s="172">
        <v>1.03933307577827E-8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5.7148489315431796E-10</v>
      </c>
      <c r="G9" s="172">
        <v>383.70625910129399</v>
      </c>
      <c r="H9" s="172">
        <v>843.17689441232596</v>
      </c>
      <c r="I9" s="172">
        <v>21741.981997272102</v>
      </c>
      <c r="J9" s="172">
        <v>2529.5306832352298</v>
      </c>
      <c r="K9" s="172">
        <v>1151.1187773013601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7.8350706452335595E-8</v>
      </c>
      <c r="G10" s="172">
        <v>29312.134100660998</v>
      </c>
      <c r="H10" s="172">
        <v>5470.6900282118204</v>
      </c>
      <c r="I10" s="172">
        <v>542706.27346722397</v>
      </c>
      <c r="J10" s="172">
        <v>1746.9002860405001</v>
      </c>
      <c r="K10" s="172">
        <v>2775.6653244322201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7.6402939566416295E-8</v>
      </c>
      <c r="G11" s="172">
        <v>29759.456872903</v>
      </c>
      <c r="H11" s="172">
        <v>5677.4640389946999</v>
      </c>
      <c r="I11" s="172">
        <v>548911.55291455204</v>
      </c>
      <c r="J11" s="172">
        <v>20637.959811992801</v>
      </c>
      <c r="K11" s="172">
        <v>105794.277065011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4.0917761739107903E-8</v>
      </c>
      <c r="G12" s="172">
        <v>5331.8249828502903</v>
      </c>
      <c r="H12" s="172">
        <v>28715.124315207599</v>
      </c>
      <c r="I12" s="172">
        <v>313584.383843221</v>
      </c>
      <c r="J12" s="172">
        <v>2529.5306832770798</v>
      </c>
      <c r="K12" s="172">
        <v>1151.1187770306501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4.2757712287917297E-8</v>
      </c>
      <c r="G13" s="172">
        <v>5388.2609772387104</v>
      </c>
      <c r="H13" s="172">
        <v>29141.641568958701</v>
      </c>
      <c r="I13" s="172">
        <v>325134.97463316598</v>
      </c>
      <c r="J13" s="172">
        <v>103609.962992919</v>
      </c>
      <c r="K13" s="172">
        <v>19088.302724016299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2.8015009056245898E-7</v>
      </c>
      <c r="G14" s="172">
        <v>61442.043037547199</v>
      </c>
      <c r="H14" s="172">
        <v>10955.906441516099</v>
      </c>
      <c r="I14" s="172">
        <v>1135525.98576293</v>
      </c>
      <c r="J14" s="172">
        <v>20637.959812223598</v>
      </c>
      <c r="K14" s="172">
        <v>105794.27706098399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2.7660402945985099E-7</v>
      </c>
      <c r="G15" s="172">
        <v>61821.957732210802</v>
      </c>
      <c r="H15" s="172">
        <v>11117.777849619</v>
      </c>
      <c r="I15" s="172">
        <v>1140621.84942669</v>
      </c>
      <c r="J15" s="172">
        <v>58990.704330833199</v>
      </c>
      <c r="K15" s="172">
        <v>320647.025991195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9.3401478641873697E-8</v>
      </c>
      <c r="G16" s="172">
        <v>10865.155773967001</v>
      </c>
      <c r="H16" s="172">
        <v>59516.434983605301</v>
      </c>
      <c r="I16" s="172">
        <v>644690.88475646195</v>
      </c>
      <c r="J16" s="172">
        <v>103609.962992979</v>
      </c>
      <c r="K16" s="172">
        <v>19088.302723623801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9.3904069012565896E-8</v>
      </c>
      <c r="G17" s="172">
        <v>10906.7702466054</v>
      </c>
      <c r="H17" s="172">
        <v>59877.670466013296</v>
      </c>
      <c r="I17" s="172">
        <v>654456.79493526998</v>
      </c>
      <c r="J17" s="172">
        <v>311518.07175003103</v>
      </c>
      <c r="K17" s="172">
        <v>56954.833654310598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2.01648078978843E-7</v>
      </c>
      <c r="G18" s="172">
        <v>88414.832436899305</v>
      </c>
      <c r="H18" s="172">
        <v>15228.3475805875</v>
      </c>
      <c r="I18" s="172">
        <v>1629215.3485553199</v>
      </c>
      <c r="J18" s="172">
        <v>58990.704330848203</v>
      </c>
      <c r="K18" s="172">
        <v>320647.02599267202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1.9005907440844299E-7</v>
      </c>
      <c r="G19" s="172">
        <v>88732.917631680102</v>
      </c>
      <c r="H19" s="172">
        <v>15356.3194844521</v>
      </c>
      <c r="I19" s="172">
        <v>1633389.86184249</v>
      </c>
      <c r="J19" s="172">
        <v>111681.176446743</v>
      </c>
      <c r="K19" s="172">
        <v>627686.67018446105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9.94759186555325E-8</v>
      </c>
      <c r="G20" s="172">
        <v>15165.2470180582</v>
      </c>
      <c r="H20" s="172">
        <v>84959.622613027197</v>
      </c>
      <c r="I20" s="172">
        <v>919257.20003112499</v>
      </c>
      <c r="J20" s="172">
        <v>311518.07175005099</v>
      </c>
      <c r="K20" s="172">
        <v>56954.8336545399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9.7949936725145296E-8</v>
      </c>
      <c r="G21" s="172">
        <v>15197.046472853201</v>
      </c>
      <c r="H21" s="172">
        <v>85260.219855036994</v>
      </c>
      <c r="I21" s="172">
        <v>927388.58644324995</v>
      </c>
      <c r="J21" s="172">
        <v>605900.35046937398</v>
      </c>
      <c r="K21" s="172">
        <v>109287.224047089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3.2768467245135002E-7</v>
      </c>
      <c r="G22" s="172">
        <v>111063.022978201</v>
      </c>
      <c r="H22" s="172">
        <v>18639.896687706601</v>
      </c>
      <c r="I22" s="172">
        <v>2042150.01900469</v>
      </c>
      <c r="J22" s="172">
        <v>111681.176446741</v>
      </c>
      <c r="K22" s="172">
        <v>627686.67018159095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3.3347239548032601E-7</v>
      </c>
      <c r="G23" s="172">
        <v>111331.41719252399</v>
      </c>
      <c r="H23" s="172">
        <v>18745.395533486801</v>
      </c>
      <c r="I23" s="172">
        <v>2045640.3804561601</v>
      </c>
      <c r="J23" s="172">
        <v>175232.69677018799</v>
      </c>
      <c r="K23" s="172">
        <v>1010268.1760265901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1.4869353424052101E-7</v>
      </c>
      <c r="G24" s="172">
        <v>18584.980726834001</v>
      </c>
      <c r="H24" s="172">
        <v>106064.59792114</v>
      </c>
      <c r="I24" s="172">
        <v>1147564.5857845</v>
      </c>
      <c r="J24" s="172">
        <v>605900.35046942695</v>
      </c>
      <c r="K24" s="172">
        <v>109287.224046926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1.4682947229437599E-7</v>
      </c>
      <c r="G25" s="172">
        <v>18610.769793495299</v>
      </c>
      <c r="H25" s="172">
        <v>106316.881223579</v>
      </c>
      <c r="I25" s="172">
        <v>1154399.6390499501</v>
      </c>
      <c r="J25" s="172">
        <v>970003.93009522394</v>
      </c>
      <c r="K25" s="172">
        <v>172518.008393734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4.3455266643357501E-7</v>
      </c>
      <c r="G26" s="172">
        <v>130305.819020393</v>
      </c>
      <c r="H26" s="172">
        <v>21505.0497862298</v>
      </c>
      <c r="I26" s="172">
        <v>2392664.3791266098</v>
      </c>
      <c r="J26" s="172">
        <v>175232.69677036899</v>
      </c>
      <c r="K26" s="172">
        <v>1010268.1760244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4.2805615252781E-7</v>
      </c>
      <c r="G27" s="172">
        <v>130535.406124626</v>
      </c>
      <c r="H27" s="172">
        <v>21595.7046335921</v>
      </c>
      <c r="I27" s="172">
        <v>2395643.1526363702</v>
      </c>
      <c r="J27" s="172">
        <v>247425.53116026899</v>
      </c>
      <c r="K27" s="172">
        <v>1455177.87805982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1.88339793978436E-7</v>
      </c>
      <c r="G28" s="172">
        <v>21441.638609598202</v>
      </c>
      <c r="H28" s="172">
        <v>123871.120424437</v>
      </c>
      <c r="I28" s="172">
        <v>1340821.2613951</v>
      </c>
      <c r="J28" s="172">
        <v>970003.93009528297</v>
      </c>
      <c r="K28" s="172">
        <v>172518.00839361601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1.8293800317552799E-7</v>
      </c>
      <c r="G29" s="172">
        <v>21463.8236618667</v>
      </c>
      <c r="H29" s="172">
        <v>124086.93170147001</v>
      </c>
      <c r="I29" s="172">
        <v>1346675.7370426501</v>
      </c>
      <c r="J29" s="172">
        <v>1390935.51417584</v>
      </c>
      <c r="K29" s="172">
        <v>244359.81749371201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4.1464914032303902E-7</v>
      </c>
      <c r="G30" s="172">
        <v>146863.744861343</v>
      </c>
      <c r="H30" s="172">
        <v>24005.284835471699</v>
      </c>
      <c r="I30" s="172">
        <v>2694390.00185034</v>
      </c>
      <c r="J30" s="172">
        <v>247425.53116035101</v>
      </c>
      <c r="K30" s="172">
        <v>1455177.8780600999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4.0930656088172998E-7</v>
      </c>
      <c r="G31" s="172">
        <v>147062.12502206501</v>
      </c>
      <c r="H31" s="172">
        <v>24085.311250942599</v>
      </c>
      <c r="I31" s="172">
        <v>2696977.6735000801</v>
      </c>
      <c r="J31" s="172">
        <v>326886.711515031</v>
      </c>
      <c r="K31" s="172">
        <v>1952112.58945708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1.9315880206489401E-7</v>
      </c>
      <c r="G32" s="172">
        <v>23923.480308521201</v>
      </c>
      <c r="H32" s="172">
        <v>139243.63155542401</v>
      </c>
      <c r="I32" s="172">
        <v>1507907.0343154499</v>
      </c>
      <c r="J32" s="172">
        <v>1390935.51417585</v>
      </c>
      <c r="K32" s="172">
        <v>244359.81749380101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1.89088775900218E-7</v>
      </c>
      <c r="G33" s="172">
        <v>23943.153862632698</v>
      </c>
      <c r="H33" s="172">
        <v>139431.72744222899</v>
      </c>
      <c r="I33" s="172">
        <v>1513009.0672478899</v>
      </c>
      <c r="J33" s="172">
        <v>1859136.7213451299</v>
      </c>
      <c r="K33" s="172">
        <v>323393.80161423702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2.7857428537925701E-7</v>
      </c>
      <c r="G34" s="172">
        <v>161607.522697949</v>
      </c>
      <c r="H34" s="172">
        <v>26317.739377457299</v>
      </c>
      <c r="I34" s="172">
        <v>2964409.1723996601</v>
      </c>
      <c r="J34" s="172">
        <v>326886.71151487302</v>
      </c>
      <c r="K34" s="172">
        <v>1952112.58946002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2.7322238343865102E-7</v>
      </c>
      <c r="G35" s="172">
        <v>161779.54120977101</v>
      </c>
      <c r="H35" s="172">
        <v>26390.1297002844</v>
      </c>
      <c r="I35" s="172">
        <v>2966696.4913708102</v>
      </c>
      <c r="J35" s="172">
        <v>412885.71144735301</v>
      </c>
      <c r="K35" s="172">
        <v>2494067.7346539199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1.70951768566406E-7</v>
      </c>
      <c r="G36" s="172">
        <v>26226.101627567601</v>
      </c>
      <c r="H36" s="172">
        <v>153123.58994549801</v>
      </c>
      <c r="I36" s="172">
        <v>1657929.34913077</v>
      </c>
      <c r="J36" s="172">
        <v>1859136.72134505</v>
      </c>
      <c r="K36" s="172">
        <v>323393.80161456403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1.6498164364518001E-7</v>
      </c>
      <c r="G37" s="172">
        <v>26244.098205715702</v>
      </c>
      <c r="H37" s="172">
        <v>153288.23668779101</v>
      </c>
      <c r="I37" s="172">
        <v>1662392.00315711</v>
      </c>
      <c r="J37" s="172">
        <v>2368634.8348954301</v>
      </c>
      <c r="K37" s="172">
        <v>408897.81978121802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3.9239195489706001E-7</v>
      </c>
      <c r="G38" s="172">
        <v>174193.531708956</v>
      </c>
      <c r="H38" s="172">
        <v>28406.299326677999</v>
      </c>
      <c r="I38" s="172">
        <v>3196410.8660940598</v>
      </c>
      <c r="J38" s="172">
        <v>412885.71144747699</v>
      </c>
      <c r="K38" s="172">
        <v>2494067.73465118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3.8811635542104798E-7</v>
      </c>
      <c r="G39" s="172">
        <v>174333.583812975</v>
      </c>
      <c r="H39" s="172">
        <v>28468.964232890499</v>
      </c>
      <c r="I39" s="172">
        <v>3198320.4445486302</v>
      </c>
      <c r="J39" s="172">
        <v>504877.54537193698</v>
      </c>
      <c r="K39" s="172">
        <v>3074417.05704808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1.9425164401557399E-7</v>
      </c>
      <c r="G40" s="172">
        <v>28330.4995170416</v>
      </c>
      <c r="H40" s="172">
        <v>165158.070654101</v>
      </c>
      <c r="I40" s="172">
        <v>1787321.8045520301</v>
      </c>
      <c r="J40" s="172">
        <v>2368634.8348954599</v>
      </c>
      <c r="K40" s="172">
        <v>408897.81978098297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1.9219184418011501E-7</v>
      </c>
      <c r="G41" s="172">
        <v>28346.5977647947</v>
      </c>
      <c r="H41" s="172">
        <v>165293.11428396299</v>
      </c>
      <c r="I41" s="172">
        <v>1790980.93514043</v>
      </c>
      <c r="J41" s="172">
        <v>2914108.9807725698</v>
      </c>
      <c r="K41" s="172">
        <v>500399.14184932498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3.6588289742200501E-7</v>
      </c>
      <c r="G42" s="172">
        <v>183873.80023035299</v>
      </c>
      <c r="H42" s="172">
        <v>30132.669484316099</v>
      </c>
      <c r="I42" s="172">
        <v>3375790.6563860499</v>
      </c>
      <c r="J42" s="172">
        <v>504877.54537196801</v>
      </c>
      <c r="K42" s="172">
        <v>3074417.0570486002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3.6343815918674199E-7</v>
      </c>
      <c r="G43" s="172">
        <v>183968.281503537</v>
      </c>
      <c r="H43" s="172">
        <v>30177.739333785499</v>
      </c>
      <c r="I43" s="172">
        <v>3377104.5908458</v>
      </c>
      <c r="J43" s="172">
        <v>602178.12176279502</v>
      </c>
      <c r="K43" s="172">
        <v>3685565.8955681999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1.7607602549085999E-7</v>
      </c>
      <c r="G44" s="172">
        <v>30095.513877866499</v>
      </c>
      <c r="H44" s="172">
        <v>174509.73048019901</v>
      </c>
      <c r="I44" s="172">
        <v>1887859.2678863499</v>
      </c>
      <c r="J44" s="172">
        <v>2914108.9807725102</v>
      </c>
      <c r="K44" s="172">
        <v>500399.14184931602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1.7391592340112999E-7</v>
      </c>
      <c r="G45" s="172">
        <v>30107.9033932206</v>
      </c>
      <c r="H45" s="172">
        <v>174601.37413311901</v>
      </c>
      <c r="I45" s="172">
        <v>1890340.6724407501</v>
      </c>
      <c r="J45" s="172">
        <v>3489154.32441568</v>
      </c>
      <c r="K45" s="172">
        <v>597297.40280215396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3.9032404709935102E-7</v>
      </c>
      <c r="G46" s="172">
        <v>189298.879753274</v>
      </c>
      <c r="H46" s="172">
        <v>31127.644965800198</v>
      </c>
      <c r="I46" s="172">
        <v>3475551.16469122</v>
      </c>
      <c r="J46" s="172">
        <v>602178.12176277395</v>
      </c>
      <c r="K46" s="172">
        <v>3685565.8955675801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3.9067824490902198E-7</v>
      </c>
      <c r="G47" s="172">
        <v>189334.46346012701</v>
      </c>
      <c r="H47" s="172">
        <v>31143.741047949301</v>
      </c>
      <c r="I47" s="172">
        <v>3476010.5525000198</v>
      </c>
      <c r="J47" s="172">
        <v>718165.68487671495</v>
      </c>
      <c r="K47" s="172">
        <v>4408438.6296248101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1.80511395639229E-7</v>
      </c>
      <c r="G48" s="172">
        <v>31137.9821100429</v>
      </c>
      <c r="H48" s="172">
        <v>179705.20370679401</v>
      </c>
      <c r="I48" s="172">
        <v>1944560.6295205799</v>
      </c>
      <c r="J48" s="172">
        <v>3489154.32441562</v>
      </c>
      <c r="K48" s="172">
        <v>597297.40280211205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1.8028682485745601E-7</v>
      </c>
      <c r="G49" s="172">
        <v>31143.741503738202</v>
      </c>
      <c r="H49" s="172">
        <v>179737.56141919101</v>
      </c>
      <c r="I49" s="172">
        <v>1945427.1997427901</v>
      </c>
      <c r="J49" s="172">
        <v>4170483.53243169</v>
      </c>
      <c r="K49" s="172">
        <v>713000.83813810197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13"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1.4142923542705099</v>
      </c>
      <c r="N5" s="172">
        <v>1.4881332132148199</v>
      </c>
      <c r="O5" s="172">
        <v>6452429.0682717301</v>
      </c>
      <c r="P5" s="172">
        <v>224048.39338951901</v>
      </c>
      <c r="Q5" s="172">
        <v>22180.8950830172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1.53814480421207</v>
      </c>
      <c r="N6" s="172">
        <v>1.4071372401267099</v>
      </c>
      <c r="O6" s="172">
        <v>6452429.0682717301</v>
      </c>
      <c r="P6" s="172">
        <v>211853.908728963</v>
      </c>
      <c r="Q6" s="172">
        <v>22810.339227443099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208150.03757677629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208150.03757677629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9.0971154432500099E-10</v>
      </c>
      <c r="F15" s="172">
        <v>925.22177526738199</v>
      </c>
      <c r="G15" s="172">
        <v>582.30009534392798</v>
      </c>
      <c r="H15" s="172">
        <v>15587.1405739732</v>
      </c>
      <c r="I15" s="172">
        <v>1.484317456196E-9</v>
      </c>
      <c r="J15" s="172">
        <v>2.5076299367413301E-8</v>
      </c>
      <c r="K15" s="166"/>
      <c r="L15" s="166" t="s">
        <v>189</v>
      </c>
      <c r="M15">
        <f>+F15</f>
        <v>925.22177526738199</v>
      </c>
      <c r="N15">
        <f>+G15</f>
        <v>582.30009534392798</v>
      </c>
      <c r="O15" s="18">
        <f t="shared" ref="O15:P19" si="0">+M15*$O$55</f>
        <v>1017.3591494031352</v>
      </c>
      <c r="P15" s="19">
        <f t="shared" si="0"/>
        <v>640.28792396856602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7.8350706452335595E-8</v>
      </c>
      <c r="F16" s="172">
        <v>29312.134100660998</v>
      </c>
      <c r="G16" s="172">
        <v>5470.6900282118204</v>
      </c>
      <c r="H16" s="172">
        <v>542706.27346722397</v>
      </c>
      <c r="I16" s="172">
        <v>1746.9002860405001</v>
      </c>
      <c r="J16" s="172">
        <v>2775.6653244322201</v>
      </c>
      <c r="K16" s="166"/>
      <c r="L16" s="166" t="s">
        <v>187</v>
      </c>
      <c r="M16" s="13">
        <f>+F16-F15</f>
        <v>28386.912325393616</v>
      </c>
      <c r="N16">
        <f>+G16-G15</f>
        <v>4888.3899328678926</v>
      </c>
      <c r="O16" s="18">
        <f t="shared" si="0"/>
        <v>31213.797328967768</v>
      </c>
      <c r="P16" s="19">
        <f t="shared" si="0"/>
        <v>5375.1958254723286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2.8015009056245898E-7</v>
      </c>
      <c r="F17" s="172">
        <v>61442.043037547199</v>
      </c>
      <c r="G17" s="172">
        <v>10955.906441516099</v>
      </c>
      <c r="H17" s="172">
        <v>1135525.98576293</v>
      </c>
      <c r="I17" s="172">
        <v>20637.959812223598</v>
      </c>
      <c r="J17" s="172">
        <v>105794.27706098399</v>
      </c>
      <c r="K17" s="166"/>
      <c r="L17" s="166" t="s">
        <v>185</v>
      </c>
      <c r="M17" s="13">
        <f t="shared" ref="M17:M25" si="1">+F17-F16</f>
        <v>32129.908936886201</v>
      </c>
      <c r="N17" s="13">
        <f t="shared" ref="N17:N25" si="2">+G17-G16</f>
        <v>5485.2164133042788</v>
      </c>
      <c r="O17" s="18">
        <f t="shared" si="0"/>
        <v>35329.536874533951</v>
      </c>
      <c r="P17" s="19">
        <f t="shared" si="0"/>
        <v>6031.4567314616588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2.01648078978843E-7</v>
      </c>
      <c r="F18" s="172">
        <v>88414.832436899305</v>
      </c>
      <c r="G18" s="172">
        <v>15228.3475805875</v>
      </c>
      <c r="H18" s="172">
        <v>1629215.3485553199</v>
      </c>
      <c r="I18" s="172">
        <v>58990.704330848203</v>
      </c>
      <c r="J18" s="172">
        <v>320647.02599267202</v>
      </c>
      <c r="K18" s="166"/>
      <c r="L18" s="166" t="s">
        <v>183</v>
      </c>
      <c r="M18" s="13">
        <f t="shared" si="1"/>
        <v>26972.789399352107</v>
      </c>
      <c r="N18" s="13">
        <f t="shared" si="2"/>
        <v>4272.4411390714013</v>
      </c>
      <c r="O18" s="18">
        <f t="shared" si="0"/>
        <v>29658.850249632873</v>
      </c>
      <c r="P18" s="19">
        <f t="shared" si="0"/>
        <v>4697.9083278325425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3.2768467245135002E-7</v>
      </c>
      <c r="F19" s="172">
        <v>111063.022978201</v>
      </c>
      <c r="G19" s="172">
        <v>18639.896687706601</v>
      </c>
      <c r="H19" s="172">
        <v>2042150.01900469</v>
      </c>
      <c r="I19" s="172">
        <v>111681.176446741</v>
      </c>
      <c r="J19" s="172">
        <v>627686.67018159095</v>
      </c>
      <c r="K19" s="166"/>
      <c r="L19" s="166" t="s">
        <v>181</v>
      </c>
      <c r="M19" s="13">
        <f t="shared" si="1"/>
        <v>22648.190541301694</v>
      </c>
      <c r="N19" s="13">
        <f t="shared" si="2"/>
        <v>3411.5491071191009</v>
      </c>
      <c r="O19" s="18">
        <f t="shared" si="0"/>
        <v>24903.590123524766</v>
      </c>
      <c r="P19" s="19">
        <f t="shared" si="0"/>
        <v>3751.2851410816484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4.3455266643357501E-7</v>
      </c>
      <c r="F20" s="172">
        <v>130305.819020393</v>
      </c>
      <c r="G20" s="172">
        <v>21505.0497862298</v>
      </c>
      <c r="H20" s="172">
        <v>2392664.3791266098</v>
      </c>
      <c r="I20" s="172">
        <v>175232.69677036899</v>
      </c>
      <c r="J20" s="172">
        <v>1010268.1760244</v>
      </c>
      <c r="K20" s="166"/>
      <c r="L20" s="166" t="s">
        <v>179</v>
      </c>
      <c r="M20" s="113">
        <f t="shared" si="1"/>
        <v>19242.796042192</v>
      </c>
      <c r="N20" s="113">
        <f t="shared" si="2"/>
        <v>2865.1530985231984</v>
      </c>
      <c r="O20" s="18">
        <f t="shared" ref="O20:O25" si="3">+M20*$O$55</f>
        <v>21159.072491527684</v>
      </c>
      <c r="P20" s="19">
        <f t="shared" ref="P20:P25" si="4">+N20*$O$55</f>
        <v>3150.4767798844096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4.1464914032303902E-7</v>
      </c>
      <c r="F21" s="172">
        <v>146863.744861343</v>
      </c>
      <c r="G21" s="172">
        <v>24005.284835471699</v>
      </c>
      <c r="H21" s="172">
        <v>2694390.00185034</v>
      </c>
      <c r="I21" s="172">
        <v>247425.53116035101</v>
      </c>
      <c r="J21" s="172">
        <v>1455177.8780600999</v>
      </c>
      <c r="K21" s="166"/>
      <c r="L21" s="166" t="s">
        <v>39</v>
      </c>
      <c r="M21" s="113">
        <f t="shared" si="1"/>
        <v>16557.925840950003</v>
      </c>
      <c r="N21" s="113">
        <f t="shared" si="2"/>
        <v>2500.2350492418991</v>
      </c>
      <c r="O21" s="18">
        <f t="shared" si="3"/>
        <v>18206.831918283493</v>
      </c>
      <c r="P21" s="19">
        <f t="shared" si="4"/>
        <v>2749.218696533113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2.7857428537925701E-7</v>
      </c>
      <c r="F22" s="172">
        <v>161607.522697949</v>
      </c>
      <c r="G22" s="172">
        <v>26317.739377457299</v>
      </c>
      <c r="H22" s="172">
        <v>2964409.1723996601</v>
      </c>
      <c r="I22" s="172">
        <v>326886.71151487302</v>
      </c>
      <c r="J22" s="172">
        <v>1952112.58946002</v>
      </c>
      <c r="K22" s="166"/>
      <c r="L22" s="166" t="s">
        <v>26</v>
      </c>
      <c r="M22" s="113">
        <f t="shared" si="1"/>
        <v>14743.777836605994</v>
      </c>
      <c r="N22" s="113">
        <f t="shared" si="2"/>
        <v>2312.4545419856004</v>
      </c>
      <c r="O22" s="18">
        <f t="shared" si="3"/>
        <v>16212.023624826024</v>
      </c>
      <c r="P22" s="19">
        <f t="shared" si="4"/>
        <v>2542.7382372058901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3.9239195489706001E-7</v>
      </c>
      <c r="F23" s="172">
        <v>174193.531708956</v>
      </c>
      <c r="G23" s="172">
        <v>28406.299326677999</v>
      </c>
      <c r="H23" s="172">
        <v>3196410.8660940598</v>
      </c>
      <c r="I23" s="172">
        <v>412885.71144747699</v>
      </c>
      <c r="J23" s="172">
        <v>2494067.73465118</v>
      </c>
      <c r="K23" s="166"/>
      <c r="L23" s="166" t="s">
        <v>25</v>
      </c>
      <c r="M23" s="113">
        <f t="shared" si="1"/>
        <v>12586.009011007001</v>
      </c>
      <c r="N23" s="113">
        <f t="shared" si="2"/>
        <v>2088.5599492207002</v>
      </c>
      <c r="O23" s="18">
        <f t="shared" si="3"/>
        <v>13839.375341244946</v>
      </c>
      <c r="P23" s="19">
        <f t="shared" si="4"/>
        <v>2296.5473038100208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3.6588289742200501E-7</v>
      </c>
      <c r="F24" s="172">
        <v>183873.80023035299</v>
      </c>
      <c r="G24" s="172">
        <v>30132.669484316099</v>
      </c>
      <c r="H24" s="172">
        <v>3375790.6563860499</v>
      </c>
      <c r="I24" s="172">
        <v>504877.54537196801</v>
      </c>
      <c r="J24" s="172">
        <v>3074417.0570486002</v>
      </c>
      <c r="K24" s="166"/>
      <c r="L24" s="166" t="s">
        <v>24</v>
      </c>
      <c r="M24" s="113">
        <f t="shared" si="1"/>
        <v>9680.2685213969962</v>
      </c>
      <c r="N24" s="113">
        <f t="shared" si="2"/>
        <v>1726.370157638099</v>
      </c>
      <c r="O24" s="18">
        <f t="shared" si="3"/>
        <v>10644.269311621323</v>
      </c>
      <c r="P24" s="19">
        <f t="shared" si="4"/>
        <v>1898.2891692341382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3.9032404709935102E-7</v>
      </c>
      <c r="F25" s="172">
        <v>189298.879753274</v>
      </c>
      <c r="G25" s="172">
        <v>31127.644965800198</v>
      </c>
      <c r="H25" s="172">
        <v>3475551.16469122</v>
      </c>
      <c r="I25" s="172">
        <v>602178.12176277395</v>
      </c>
      <c r="J25" s="172">
        <v>3685565.8955675801</v>
      </c>
      <c r="K25" s="166"/>
      <c r="L25" s="166" t="s">
        <v>22</v>
      </c>
      <c r="M25" s="113">
        <f t="shared" si="1"/>
        <v>5425.0795229210053</v>
      </c>
      <c r="N25" s="113">
        <f t="shared" si="2"/>
        <v>994.97548148409987</v>
      </c>
      <c r="O25" s="30">
        <f t="shared" si="3"/>
        <v>5965.3311632103114</v>
      </c>
      <c r="P25" s="24">
        <f t="shared" si="4"/>
        <v>1094.0592153995804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4.0606303930146799E-10</v>
      </c>
      <c r="F34" s="172">
        <v>383.70625910135902</v>
      </c>
      <c r="G34" s="172">
        <v>843.17689441097798</v>
      </c>
      <c r="H34" s="172">
        <v>21741.9819972349</v>
      </c>
      <c r="I34" s="172">
        <v>3.5987900451188198E-10</v>
      </c>
      <c r="J34" s="172">
        <v>1.03933307577827E-8</v>
      </c>
      <c r="L34" s="113" t="s">
        <v>189</v>
      </c>
      <c r="M34" s="13">
        <f>+F34</f>
        <v>383.70625910135902</v>
      </c>
      <c r="N34" s="13">
        <f>+G34</f>
        <v>843.17689441097798</v>
      </c>
      <c r="O34" s="18">
        <f>+M34*$O$56</f>
        <v>444.44162218421388</v>
      </c>
      <c r="P34" s="19">
        <f>+N34*$O$56</f>
        <v>976.64006737318141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4.0917761739107903E-8</v>
      </c>
      <c r="F35" s="172">
        <v>5331.8249828502903</v>
      </c>
      <c r="G35" s="172">
        <v>28715.124315207599</v>
      </c>
      <c r="H35" s="172">
        <v>313584.383843221</v>
      </c>
      <c r="I35" s="172">
        <v>2529.5306832770798</v>
      </c>
      <c r="J35" s="172">
        <v>1151.1187770306501</v>
      </c>
      <c r="L35" s="113" t="s">
        <v>187</v>
      </c>
      <c r="M35" s="13">
        <f>+F35-F34</f>
        <v>4948.1187237489312</v>
      </c>
      <c r="N35" s="13">
        <f>+G35-G34</f>
        <v>27871.94742079662</v>
      </c>
      <c r="O35" s="18">
        <f t="shared" ref="O35:P44" si="5">+M35*$O$56</f>
        <v>5731.3370845017525</v>
      </c>
      <c r="P35" s="19">
        <f t="shared" si="5"/>
        <v>32283.688971202635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9.3401478641873697E-8</v>
      </c>
      <c r="F36" s="172">
        <v>10865.155773967001</v>
      </c>
      <c r="G36" s="172">
        <v>59516.434983605301</v>
      </c>
      <c r="H36" s="172">
        <v>644690.88475646195</v>
      </c>
      <c r="I36" s="172">
        <v>103609.962992979</v>
      </c>
      <c r="J36" s="172">
        <v>19088.302723623801</v>
      </c>
      <c r="L36" s="113" t="s">
        <v>185</v>
      </c>
      <c r="M36" s="13">
        <f t="shared" ref="M36:M44" si="6">+F36-F35</f>
        <v>5533.3307911167103</v>
      </c>
      <c r="N36" s="13">
        <f t="shared" ref="N36:N44" si="7">+G36-G35</f>
        <v>30801.310668397702</v>
      </c>
      <c r="O36" s="18">
        <f t="shared" si="5"/>
        <v>6409.1800812562242</v>
      </c>
      <c r="P36" s="19">
        <f t="shared" si="5"/>
        <v>35676.729670564091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9.94759186555325E-8</v>
      </c>
      <c r="F37" s="172">
        <v>15165.2470180582</v>
      </c>
      <c r="G37" s="172">
        <v>84959.622613027197</v>
      </c>
      <c r="H37" s="172">
        <v>919257.20003112499</v>
      </c>
      <c r="I37" s="172">
        <v>311518.07175005099</v>
      </c>
      <c r="J37" s="172">
        <v>56954.8336545399</v>
      </c>
      <c r="L37" s="113" t="s">
        <v>183</v>
      </c>
      <c r="M37" s="13">
        <f t="shared" si="6"/>
        <v>4300.0912440911998</v>
      </c>
      <c r="N37" s="13">
        <f t="shared" si="7"/>
        <v>25443.187629421896</v>
      </c>
      <c r="O37" s="18">
        <f t="shared" si="5"/>
        <v>4980.7358695162293</v>
      </c>
      <c r="P37" s="19">
        <f t="shared" si="5"/>
        <v>29470.490291299862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1.4869353424052101E-7</v>
      </c>
      <c r="F38" s="172">
        <v>18584.980726834001</v>
      </c>
      <c r="G38" s="172">
        <v>106064.59792114</v>
      </c>
      <c r="H38" s="172">
        <v>1147564.5857845</v>
      </c>
      <c r="I38" s="172">
        <v>605900.35046942695</v>
      </c>
      <c r="J38" s="172">
        <v>109287.224046926</v>
      </c>
      <c r="L38" s="113" t="s">
        <v>181</v>
      </c>
      <c r="M38" s="13">
        <f t="shared" si="6"/>
        <v>3419.7337087758006</v>
      </c>
      <c r="N38" s="13">
        <f t="shared" si="7"/>
        <v>21104.9753081128</v>
      </c>
      <c r="O38" s="18">
        <f t="shared" si="5"/>
        <v>3961.0299830028798</v>
      </c>
      <c r="P38" s="19">
        <f t="shared" si="5"/>
        <v>24445.599308343964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1.88339793978436E-7</v>
      </c>
      <c r="F39" s="172">
        <v>21441.638609598202</v>
      </c>
      <c r="G39" s="172">
        <v>123871.120424437</v>
      </c>
      <c r="H39" s="172">
        <v>1340821.2613951</v>
      </c>
      <c r="I39" s="172">
        <v>970003.93009528297</v>
      </c>
      <c r="J39" s="172">
        <v>172518.00839361601</v>
      </c>
      <c r="L39" s="113" t="s">
        <v>179</v>
      </c>
      <c r="M39" s="113">
        <f t="shared" si="6"/>
        <v>2856.6578827642006</v>
      </c>
      <c r="N39" s="113">
        <f t="shared" si="7"/>
        <v>17806.522503297005</v>
      </c>
      <c r="O39" s="18">
        <f t="shared" si="5"/>
        <v>3308.8270866742982</v>
      </c>
      <c r="P39" s="19">
        <f t="shared" si="5"/>
        <v>20625.047309260844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1.9315880206489401E-7</v>
      </c>
      <c r="F40" s="172">
        <v>23923.480308521201</v>
      </c>
      <c r="G40" s="172">
        <v>139243.63155542401</v>
      </c>
      <c r="H40" s="172">
        <v>1507907.0343154499</v>
      </c>
      <c r="I40" s="172">
        <v>1390935.51417585</v>
      </c>
      <c r="J40" s="172">
        <v>244359.81749380101</v>
      </c>
      <c r="L40" s="13" t="s">
        <v>39</v>
      </c>
      <c r="M40" s="113">
        <f t="shared" si="6"/>
        <v>2481.8416989229991</v>
      </c>
      <c r="N40" s="113">
        <f t="shared" si="7"/>
        <v>15372.511130987012</v>
      </c>
      <c r="O40" s="18">
        <f t="shared" si="5"/>
        <v>2874.6827149942005</v>
      </c>
      <c r="P40" s="19">
        <f t="shared" si="5"/>
        <v>17805.765796215423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1.70951768566406E-7</v>
      </c>
      <c r="F41" s="172">
        <v>26226.101627567601</v>
      </c>
      <c r="G41" s="172">
        <v>153123.58994549801</v>
      </c>
      <c r="H41" s="172">
        <v>1657929.34913077</v>
      </c>
      <c r="I41" s="172">
        <v>1859136.72134505</v>
      </c>
      <c r="J41" s="172">
        <v>323393.80161456403</v>
      </c>
      <c r="L41" s="13" t="s">
        <v>26</v>
      </c>
      <c r="M41" s="113">
        <f t="shared" si="6"/>
        <v>2302.6213190464005</v>
      </c>
      <c r="N41" s="113">
        <f t="shared" si="7"/>
        <v>13879.958390073996</v>
      </c>
      <c r="O41" s="18">
        <f t="shared" si="5"/>
        <v>2667.0942421155619</v>
      </c>
      <c r="P41" s="19">
        <f t="shared" si="5"/>
        <v>16076.962719298073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1.9425164401557399E-7</v>
      </c>
      <c r="F42" s="172">
        <v>28330.4995170416</v>
      </c>
      <c r="G42" s="172">
        <v>165158.070654101</v>
      </c>
      <c r="H42" s="172">
        <v>1787321.8045520301</v>
      </c>
      <c r="I42" s="172">
        <v>2368634.8348954599</v>
      </c>
      <c r="J42" s="172">
        <v>408897.81978098297</v>
      </c>
      <c r="L42" s="13" t="s">
        <v>25</v>
      </c>
      <c r="M42" s="113">
        <f t="shared" si="6"/>
        <v>2104.3978894739994</v>
      </c>
      <c r="N42" s="113">
        <f t="shared" si="7"/>
        <v>12034.48070860299</v>
      </c>
      <c r="O42" s="18">
        <f t="shared" si="5"/>
        <v>2437.4948011254573</v>
      </c>
      <c r="P42" s="19">
        <f t="shared" si="5"/>
        <v>13939.371593266764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1.7607602549085999E-7</v>
      </c>
      <c r="F43" s="172">
        <v>30095.513877866499</v>
      </c>
      <c r="G43" s="172">
        <v>174509.73048019901</v>
      </c>
      <c r="H43" s="172">
        <v>1887859.2678863499</v>
      </c>
      <c r="I43" s="172">
        <v>2914108.9807725102</v>
      </c>
      <c r="J43" s="172">
        <v>500399.14184931602</v>
      </c>
      <c r="L43" s="13" t="s">
        <v>24</v>
      </c>
      <c r="M43" s="113">
        <f t="shared" si="6"/>
        <v>1765.0143608248982</v>
      </c>
      <c r="N43" s="113">
        <f t="shared" si="7"/>
        <v>9351.6598260980099</v>
      </c>
      <c r="O43" s="18">
        <f t="shared" si="5"/>
        <v>2044.3915810511539</v>
      </c>
      <c r="P43" s="19">
        <f t="shared" si="5"/>
        <v>10831.897485748421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1.80511395639229E-7</v>
      </c>
      <c r="F44" s="172">
        <v>31137.9821100429</v>
      </c>
      <c r="G44" s="172">
        <v>179705.20370679401</v>
      </c>
      <c r="H44" s="172">
        <v>1944560.6295205799</v>
      </c>
      <c r="I44" s="172">
        <v>3489154.32441562</v>
      </c>
      <c r="J44" s="172">
        <v>597297.40280211205</v>
      </c>
      <c r="L44" s="13" t="s">
        <v>22</v>
      </c>
      <c r="M44" s="113">
        <f t="shared" si="6"/>
        <v>1042.4682321764012</v>
      </c>
      <c r="N44" s="113">
        <f t="shared" si="7"/>
        <v>5195.4732265950006</v>
      </c>
      <c r="O44" s="30">
        <f t="shared" si="5"/>
        <v>1207.4764515676061</v>
      </c>
      <c r="P44" s="24">
        <f t="shared" si="5"/>
        <v>6017.8443642030115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201643.55405056712</v>
      </c>
      <c r="O51" s="14" t="str">
        <f>+K10</f>
        <v>USAR TA</v>
      </c>
      <c r="P51" s="107">
        <f>+IF(O51="USAR TA",(I10),N51)</f>
        <v>208150.03757677629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190668.5178560667</v>
      </c>
      <c r="O52" s="14" t="str">
        <f>+K11</f>
        <v>USAR TA</v>
      </c>
      <c r="P52" s="107">
        <f>+IF(O52="USAR TB",(N52),I11)</f>
        <v>208150.03757677629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189298.879753274</v>
      </c>
      <c r="N55" s="16" t="str">
        <f>+IF(M55&lt;P51,"ESCALAR",N51)</f>
        <v>ESCALAR</v>
      </c>
      <c r="O55" s="14">
        <f>+IF(N55="ESCALAR",(P51/M55))</f>
        <v>1.0995840960499728</v>
      </c>
      <c r="P55" s="19">
        <f>+M55*O55</f>
        <v>208150.03757677629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179705.20370679401</v>
      </c>
      <c r="N56" s="112" t="str">
        <f>+IF(M56&lt;P52,"ESCALAR",M56)</f>
        <v>ESCALAR</v>
      </c>
      <c r="O56" s="23">
        <f>+IF(N56="ESCALAR",(P52/M56))</f>
        <v>1.1582860890127182</v>
      </c>
      <c r="P56" s="24">
        <f>+M56*O56</f>
        <v>208150.03757677626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1.53814480421207</v>
      </c>
      <c r="E62" s="172">
        <v>2.0612114996671101E-2</v>
      </c>
      <c r="F62" s="172">
        <v>0.76043335104784604</v>
      </c>
      <c r="G62" s="172">
        <v>0</v>
      </c>
      <c r="H62" s="172">
        <v>2.0612114996671101E-2</v>
      </c>
      <c r="I62" s="172">
        <v>0.76043335104784604</v>
      </c>
      <c r="J62" s="172">
        <v>0</v>
      </c>
      <c r="K62" s="172">
        <v>0.18982877620076799</v>
      </c>
      <c r="L62" s="172">
        <v>4.9172158340152596E-3</v>
      </c>
      <c r="M62" s="172">
        <v>2.65606380889962E-2</v>
      </c>
      <c r="N62" s="172">
        <v>0.18982877620076799</v>
      </c>
      <c r="O62" s="172">
        <v>4.9172158340152596E-3</v>
      </c>
      <c r="P62" s="172">
        <v>2.65606380889962E-2</v>
      </c>
    </row>
    <row r="63" spans="2:16" x14ac:dyDescent="0.3">
      <c r="B63" s="172" t="s">
        <v>238</v>
      </c>
      <c r="C63" s="172">
        <v>2</v>
      </c>
      <c r="D63" s="172">
        <v>1.4142923542705099</v>
      </c>
      <c r="E63" s="172">
        <v>0.72975015233165197</v>
      </c>
      <c r="F63" s="172">
        <v>3.22012702262712E-2</v>
      </c>
      <c r="G63" s="172">
        <v>0</v>
      </c>
      <c r="H63" s="172">
        <v>0.75036226732832301</v>
      </c>
      <c r="I63" s="172">
        <v>0.79263462127411699</v>
      </c>
      <c r="J63" s="172">
        <v>0</v>
      </c>
      <c r="K63" s="172">
        <v>8.5044993506527208E-3</v>
      </c>
      <c r="L63" s="172">
        <v>0.178833541964462</v>
      </c>
      <c r="M63" s="172">
        <v>4.7664684634030299E-2</v>
      </c>
      <c r="N63" s="172">
        <v>0.198333275551421</v>
      </c>
      <c r="O63" s="172">
        <v>0.18375075779847699</v>
      </c>
      <c r="P63" s="172">
        <v>7.4225322723026593E-2</v>
      </c>
    </row>
    <row r="64" spans="2:16" x14ac:dyDescent="0.3">
      <c r="B64" s="172" t="s">
        <v>238</v>
      </c>
      <c r="C64" s="172">
        <v>3</v>
      </c>
      <c r="D64" s="172">
        <v>1.2134174260766799</v>
      </c>
      <c r="E64" s="172">
        <v>5.8148049518599601E-2</v>
      </c>
      <c r="F64" s="172">
        <v>1.2631742956430899E-2</v>
      </c>
      <c r="G64" s="172">
        <v>0</v>
      </c>
      <c r="H64" s="172">
        <v>0.80851031684692298</v>
      </c>
      <c r="I64" s="172">
        <v>0.80526636423054798</v>
      </c>
      <c r="J64" s="172">
        <v>0</v>
      </c>
      <c r="K64" s="172">
        <v>5.5049829407151597E-3</v>
      </c>
      <c r="L64" s="172">
        <v>1.69635273289209E-2</v>
      </c>
      <c r="M64" s="172">
        <v>0.72496785538324404</v>
      </c>
      <c r="N64" s="172">
        <v>0.20383825849213599</v>
      </c>
      <c r="O64" s="172">
        <v>0.200714285127398</v>
      </c>
      <c r="P64" s="172">
        <v>0.799193178106271</v>
      </c>
    </row>
    <row r="65" spans="2:16" x14ac:dyDescent="0.3">
      <c r="B65" s="172" t="s">
        <v>238</v>
      </c>
      <c r="C65" s="172">
        <v>4</v>
      </c>
      <c r="D65" s="172">
        <v>0.51012256610291196</v>
      </c>
      <c r="E65" s="172">
        <v>4.0269520133903603E-3</v>
      </c>
      <c r="F65" s="172">
        <v>0.101292039052786</v>
      </c>
      <c r="G65" s="172">
        <v>0</v>
      </c>
      <c r="H65" s="172">
        <v>0.81253726886031297</v>
      </c>
      <c r="I65" s="172">
        <v>0.90655840328333404</v>
      </c>
      <c r="J65" s="172">
        <v>0</v>
      </c>
      <c r="K65" s="172">
        <v>0.51125266877213005</v>
      </c>
      <c r="L65" s="172">
        <v>1.9723638662636201E-2</v>
      </c>
      <c r="M65" s="172">
        <v>5.6772541207199797E-3</v>
      </c>
      <c r="N65" s="172">
        <v>0.71509092726426604</v>
      </c>
      <c r="O65" s="172">
        <v>0.22043792379003399</v>
      </c>
      <c r="P65" s="172">
        <v>0.80487043222699095</v>
      </c>
    </row>
    <row r="66" spans="2:16" x14ac:dyDescent="0.3">
      <c r="B66" s="172" t="s">
        <v>238</v>
      </c>
      <c r="C66" s="172">
        <v>5</v>
      </c>
      <c r="D66" s="172">
        <v>0.46970903279661902</v>
      </c>
      <c r="E66" s="172">
        <v>9.76962561229687E-2</v>
      </c>
      <c r="F66" s="172">
        <v>7.5442137993779902E-3</v>
      </c>
      <c r="G66" s="172">
        <v>0</v>
      </c>
      <c r="H66" s="172">
        <v>0.91023352498328203</v>
      </c>
      <c r="I66" s="172">
        <v>0.91410261708271201</v>
      </c>
      <c r="J66" s="172">
        <v>0</v>
      </c>
      <c r="K66" s="172">
        <v>3.6248471842258802E-2</v>
      </c>
      <c r="L66" s="172">
        <v>0.49896104868734498</v>
      </c>
      <c r="M66" s="172">
        <v>8.5346465897479292E-3</v>
      </c>
      <c r="N66" s="172">
        <v>0.75133939910652503</v>
      </c>
      <c r="O66" s="172">
        <v>0.71939897247737905</v>
      </c>
      <c r="P66" s="172">
        <v>0.81340507881673896</v>
      </c>
    </row>
    <row r="67" spans="2:16" x14ac:dyDescent="0.3">
      <c r="B67" s="172" t="s">
        <v>238</v>
      </c>
      <c r="C67" s="172">
        <v>6</v>
      </c>
      <c r="D67" s="172">
        <v>0.40523986943460799</v>
      </c>
      <c r="E67" s="172">
        <v>1.36651025675768E-2</v>
      </c>
      <c r="F67" s="172">
        <v>4.4341858451193098E-3</v>
      </c>
      <c r="G67" s="172">
        <v>0</v>
      </c>
      <c r="H67" s="172">
        <v>0.92389862755085905</v>
      </c>
      <c r="I67" s="172">
        <v>0.91853680292783202</v>
      </c>
      <c r="J67" s="172">
        <v>0</v>
      </c>
      <c r="K67" s="172">
        <v>1.7674785394301801E-2</v>
      </c>
      <c r="L67" s="172">
        <v>5.9355851457714603E-2</v>
      </c>
      <c r="M67" s="172">
        <v>0.111570795782358</v>
      </c>
      <c r="N67" s="172">
        <v>0.76901418450082704</v>
      </c>
      <c r="O67" s="172">
        <v>0.77875482393509399</v>
      </c>
      <c r="P67" s="172">
        <v>0.92497587459909703</v>
      </c>
    </row>
    <row r="68" spans="2:16" x14ac:dyDescent="0.3">
      <c r="B68" s="172" t="s">
        <v>238</v>
      </c>
      <c r="C68" s="172">
        <v>7</v>
      </c>
      <c r="D68" s="172">
        <v>0.28756029702102798</v>
      </c>
      <c r="E68" s="172">
        <v>1.5331029218600199E-3</v>
      </c>
      <c r="F68" s="172">
        <v>3.2137868022766899E-2</v>
      </c>
      <c r="G68" s="172">
        <v>0</v>
      </c>
      <c r="H68" s="172">
        <v>0.92543173047271898</v>
      </c>
      <c r="I68" s="172">
        <v>0.95067467095059799</v>
      </c>
      <c r="J68" s="172">
        <v>0</v>
      </c>
      <c r="K68" s="172">
        <v>6.2780258790739799E-2</v>
      </c>
      <c r="L68" s="172">
        <v>3.1193060510099598E-3</v>
      </c>
      <c r="M68" s="172">
        <v>2.46024178265159E-3</v>
      </c>
      <c r="N68" s="172">
        <v>0.83179444329156704</v>
      </c>
      <c r="O68" s="172">
        <v>0.78187412998610395</v>
      </c>
      <c r="P68" s="172">
        <v>0.92743611638174805</v>
      </c>
    </row>
    <row r="69" spans="2:16" x14ac:dyDescent="0.3">
      <c r="B69" s="172" t="s">
        <v>238</v>
      </c>
      <c r="C69" s="172">
        <v>8</v>
      </c>
      <c r="D69" s="172">
        <v>0.265150940236767</v>
      </c>
      <c r="E69" s="172">
        <v>2.9632497891216799E-2</v>
      </c>
      <c r="F69" s="172">
        <v>2.94730966700869E-3</v>
      </c>
      <c r="G69" s="172">
        <v>0</v>
      </c>
      <c r="H69" s="172">
        <v>0.95506422836393501</v>
      </c>
      <c r="I69" s="172">
        <v>0.95362198061760695</v>
      </c>
      <c r="J69" s="172">
        <v>0</v>
      </c>
      <c r="K69" s="172">
        <v>6.0074408307635102E-3</v>
      </c>
      <c r="L69" s="172">
        <v>5.9724055690587599E-2</v>
      </c>
      <c r="M69" s="172">
        <v>2.8031671703512102E-3</v>
      </c>
      <c r="N69" s="172">
        <v>0.83780188412233003</v>
      </c>
      <c r="O69" s="172">
        <v>0.84159818567669098</v>
      </c>
      <c r="P69" s="172">
        <v>0.93023928355209995</v>
      </c>
    </row>
    <row r="70" spans="2:16" x14ac:dyDescent="0.3">
      <c r="B70" s="172" t="s">
        <v>238</v>
      </c>
      <c r="C70" s="172">
        <v>9</v>
      </c>
      <c r="D70" s="172">
        <v>0.226164579840791</v>
      </c>
      <c r="E70" s="172">
        <v>4.2278365734915403E-3</v>
      </c>
      <c r="F70" s="172">
        <v>1.4945934536455001E-3</v>
      </c>
      <c r="G70" s="172">
        <v>0</v>
      </c>
      <c r="H70" s="172">
        <v>0.95929206493742702</v>
      </c>
      <c r="I70" s="172">
        <v>0.95511657407125305</v>
      </c>
      <c r="J70" s="172">
        <v>0</v>
      </c>
      <c r="K70" s="172">
        <v>3.2475753527179802E-3</v>
      </c>
      <c r="L70" s="172">
        <v>9.8396989150265797E-3</v>
      </c>
      <c r="M70" s="172">
        <v>2.9680879907042299E-2</v>
      </c>
      <c r="N70" s="172">
        <v>0.84104945947504794</v>
      </c>
      <c r="O70" s="172">
        <v>0.85143788459171799</v>
      </c>
      <c r="P70" s="172">
        <v>0.959920163459142</v>
      </c>
    </row>
    <row r="71" spans="2:16" x14ac:dyDescent="0.3">
      <c r="B71" s="172" t="s">
        <v>238</v>
      </c>
      <c r="C71" s="172">
        <v>10</v>
      </c>
      <c r="D71" s="172">
        <v>0.194267775558984</v>
      </c>
      <c r="E71" s="172">
        <v>8.2182215657030896E-4</v>
      </c>
      <c r="F71" s="172">
        <v>1.7407547147690799E-2</v>
      </c>
      <c r="G71" s="172">
        <v>0</v>
      </c>
      <c r="H71" s="172">
        <v>0.96011388709399703</v>
      </c>
      <c r="I71" s="172">
        <v>0.97252412121894305</v>
      </c>
      <c r="J71" s="172">
        <v>0</v>
      </c>
      <c r="K71" s="172">
        <v>7.2480464955951895E-2</v>
      </c>
      <c r="L71" s="172">
        <v>3.3800373032961501E-3</v>
      </c>
      <c r="M71" s="172">
        <v>1.4758028295395601E-3</v>
      </c>
      <c r="N71" s="172">
        <v>0.91352992443100001</v>
      </c>
      <c r="O71" s="172">
        <v>0.85481792189501404</v>
      </c>
      <c r="P71" s="172">
        <v>0.96139596628868096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1017.35914898342</v>
      </c>
      <c r="E6" s="172">
        <v>1.03573145965091E-3</v>
      </c>
      <c r="F6" s="172">
        <v>982261.51142142597</v>
      </c>
      <c r="G6" s="172">
        <v>640.28792401453904</v>
      </c>
      <c r="H6" s="172">
        <v>3.0364141126051702E-4</v>
      </c>
      <c r="I6" s="172">
        <v>2108697.6290766499</v>
      </c>
    </row>
    <row r="7" spans="2:9" hidden="1" x14ac:dyDescent="0.3">
      <c r="B7" s="172" t="s">
        <v>187</v>
      </c>
      <c r="C7" s="172" t="s">
        <v>79</v>
      </c>
      <c r="D7" s="172">
        <v>32231.156474027001</v>
      </c>
      <c r="E7" s="172">
        <v>1.22559108519389E-3</v>
      </c>
      <c r="F7" s="172">
        <v>26298458.648569498</v>
      </c>
      <c r="G7" s="172">
        <v>6015.4837508580104</v>
      </c>
      <c r="H7" s="172">
        <v>2.6700078722999298E-4</v>
      </c>
      <c r="I7" s="172">
        <v>22529835.261033501</v>
      </c>
    </row>
    <row r="8" spans="2:9" hidden="1" x14ac:dyDescent="0.3">
      <c r="B8" s="172" t="s">
        <v>185</v>
      </c>
      <c r="C8" s="172" t="s">
        <v>79</v>
      </c>
      <c r="D8" s="172">
        <v>67560.693343761901</v>
      </c>
      <c r="E8" s="172">
        <v>1.68728605975819E-3</v>
      </c>
      <c r="F8" s="172">
        <v>40041042.805417597</v>
      </c>
      <c r="G8" s="172">
        <v>12046.940484020801</v>
      </c>
      <c r="H8" s="172">
        <v>3.3329525795775601E-4</v>
      </c>
      <c r="I8" s="172">
        <v>36144950.149719</v>
      </c>
    </row>
    <row r="9" spans="2:9" hidden="1" x14ac:dyDescent="0.3">
      <c r="B9" s="172" t="s">
        <v>183</v>
      </c>
      <c r="C9" s="172" t="s">
        <v>79</v>
      </c>
      <c r="D9" s="172">
        <v>97219.543592674803</v>
      </c>
      <c r="E9" s="172">
        <v>2.1753871940155701E-3</v>
      </c>
      <c r="F9" s="172">
        <v>44690684.885947101</v>
      </c>
      <c r="G9" s="172">
        <v>16744.848814487901</v>
      </c>
      <c r="H9" s="172">
        <v>4.3506962524559201E-4</v>
      </c>
      <c r="I9" s="172">
        <v>38487745.047785401</v>
      </c>
    </row>
    <row r="10" spans="2:9" hidden="1" x14ac:dyDescent="0.3">
      <c r="B10" s="172" t="s">
        <v>181</v>
      </c>
      <c r="C10" s="172" t="s">
        <v>79</v>
      </c>
      <c r="D10" s="172">
        <v>122123.133714653</v>
      </c>
      <c r="E10" s="172">
        <v>2.6245244850684E-3</v>
      </c>
      <c r="F10" s="172">
        <v>46531527.676515497</v>
      </c>
      <c r="G10" s="172">
        <v>20496.133956694601</v>
      </c>
      <c r="H10" s="172">
        <v>5.1781150315593203E-4</v>
      </c>
      <c r="I10" s="172">
        <v>39582229.888242699</v>
      </c>
    </row>
    <row r="11" spans="2:9" hidden="1" x14ac:dyDescent="0.3">
      <c r="B11" s="172" t="s">
        <v>179</v>
      </c>
      <c r="C11" s="172" t="s">
        <v>79</v>
      </c>
      <c r="D11" s="172">
        <v>143282.20620286401</v>
      </c>
      <c r="E11" s="172">
        <v>2.97297639124685E-3</v>
      </c>
      <c r="F11" s="172">
        <v>48194868.4909577</v>
      </c>
      <c r="G11" s="172">
        <v>23646.6107379733</v>
      </c>
      <c r="H11" s="172">
        <v>5.8789884018759203E-4</v>
      </c>
      <c r="I11" s="172">
        <v>40222244.239209399</v>
      </c>
    </row>
    <row r="12" spans="2:9" hidden="1" x14ac:dyDescent="0.3">
      <c r="B12" s="172" t="s">
        <v>39</v>
      </c>
      <c r="C12" s="172" t="s">
        <v>79</v>
      </c>
      <c r="D12" s="172">
        <v>161489.036202797</v>
      </c>
      <c r="E12" s="172">
        <v>3.11270857742835E-3</v>
      </c>
      <c r="F12" s="172">
        <v>51880551.033214897</v>
      </c>
      <c r="G12" s="172">
        <v>26395.829436210101</v>
      </c>
      <c r="H12" s="172">
        <v>6.1373429349206702E-4</v>
      </c>
      <c r="I12" s="172">
        <v>43008562.037524998</v>
      </c>
    </row>
    <row r="13" spans="2:9" hidden="1" x14ac:dyDescent="0.3">
      <c r="B13" s="172" t="s">
        <v>26</v>
      </c>
      <c r="C13" s="172" t="s">
        <v>79</v>
      </c>
      <c r="D13" s="172">
        <v>177701.059822904</v>
      </c>
      <c r="E13" s="172">
        <v>3.20863986850833E-3</v>
      </c>
      <c r="F13" s="172">
        <v>55382051.930157997</v>
      </c>
      <c r="G13" s="172">
        <v>28938.5676747576</v>
      </c>
      <c r="H13" s="172">
        <v>6.1554047969091398E-4</v>
      </c>
      <c r="I13" s="172">
        <v>47013264.975341201</v>
      </c>
    </row>
    <row r="14" spans="2:9" hidden="1" x14ac:dyDescent="0.3">
      <c r="B14" s="172" t="s">
        <v>25</v>
      </c>
      <c r="C14" s="172" t="s">
        <v>79</v>
      </c>
      <c r="D14" s="172">
        <v>191540.439822682</v>
      </c>
      <c r="E14" s="172">
        <v>3.31879347874682E-3</v>
      </c>
      <c r="F14" s="172">
        <v>57713877.362145297</v>
      </c>
      <c r="G14" s="172">
        <v>31235.114979550399</v>
      </c>
      <c r="H14" s="172">
        <v>6.3132038162143995E-4</v>
      </c>
      <c r="I14" s="172">
        <v>49475853.922739297</v>
      </c>
    </row>
    <row r="15" spans="2:9" hidden="1" x14ac:dyDescent="0.3">
      <c r="B15" s="172" t="s">
        <v>24</v>
      </c>
      <c r="C15" s="172" t="s">
        <v>79</v>
      </c>
      <c r="D15" s="172">
        <v>202184.70913260401</v>
      </c>
      <c r="E15" s="172">
        <v>3.1780923601159401E-3</v>
      </c>
      <c r="F15" s="172">
        <v>63618260.963702299</v>
      </c>
      <c r="G15" s="172">
        <v>33133.404980466199</v>
      </c>
      <c r="H15" s="172">
        <v>6.3147149597351496E-4</v>
      </c>
      <c r="I15" s="172">
        <v>52470151.371418104</v>
      </c>
    </row>
    <row r="16" spans="2:9" hidden="1" x14ac:dyDescent="0.3">
      <c r="B16" s="172" t="s">
        <v>22</v>
      </c>
      <c r="C16" s="172" t="s">
        <v>79</v>
      </c>
      <c r="D16" s="172">
        <v>208150.040295207</v>
      </c>
      <c r="E16" s="172">
        <v>2.8241680711001702E-3</v>
      </c>
      <c r="F16" s="172">
        <v>73703134.889603198</v>
      </c>
      <c r="G16" s="172">
        <v>34227.464980865698</v>
      </c>
      <c r="H16" s="172">
        <v>4.9820814675399598E-4</v>
      </c>
      <c r="I16" s="172">
        <v>68701134.664035201</v>
      </c>
    </row>
    <row r="17" spans="2:9" hidden="1" x14ac:dyDescent="0.3">
      <c r="B17" s="172" t="s">
        <v>189</v>
      </c>
      <c r="C17" s="172" t="s">
        <v>80</v>
      </c>
      <c r="D17" s="172">
        <v>1017.35999998293</v>
      </c>
      <c r="E17" s="172">
        <v>1.19004848347141E-3</v>
      </c>
      <c r="F17" s="172">
        <v>854889.53947090497</v>
      </c>
      <c r="G17" s="172">
        <v>640.29000001410702</v>
      </c>
      <c r="H17" s="172">
        <v>5.2580299041380296E-4</v>
      </c>
      <c r="I17" s="172">
        <v>1217737.4638173999</v>
      </c>
    </row>
    <row r="18" spans="2:9" hidden="1" x14ac:dyDescent="0.3">
      <c r="B18" s="172" t="s">
        <v>187</v>
      </c>
      <c r="C18" s="172" t="s">
        <v>80</v>
      </c>
      <c r="D18" s="172">
        <v>32231.159995127098</v>
      </c>
      <c r="E18" s="172">
        <v>1.2129870796021801E-3</v>
      </c>
      <c r="F18" s="172">
        <v>26571725.731570002</v>
      </c>
      <c r="G18" s="172">
        <v>6015.4900017488499</v>
      </c>
      <c r="H18" s="172">
        <v>3.4598766822080803E-4</v>
      </c>
      <c r="I18" s="172">
        <v>17386428.922980499</v>
      </c>
    </row>
    <row r="19" spans="2:9" hidden="1" x14ac:dyDescent="0.3">
      <c r="B19" s="172" t="s">
        <v>185</v>
      </c>
      <c r="C19" s="172" t="s">
        <v>80</v>
      </c>
      <c r="D19" s="172">
        <v>67560.699995320596</v>
      </c>
      <c r="E19" s="172">
        <v>1.7552825043358701E-3</v>
      </c>
      <c r="F19" s="172">
        <v>38489929.585940301</v>
      </c>
      <c r="G19" s="172">
        <v>12046.9500038354</v>
      </c>
      <c r="H19" s="172">
        <v>4.4273276852833899E-4</v>
      </c>
      <c r="I19" s="172">
        <v>27210432.2521233</v>
      </c>
    </row>
    <row r="20" spans="2:9" hidden="1" x14ac:dyDescent="0.3">
      <c r="B20" s="172" t="s">
        <v>183</v>
      </c>
      <c r="C20" s="172" t="s">
        <v>80</v>
      </c>
      <c r="D20" s="172">
        <v>97219.549994271903</v>
      </c>
      <c r="E20" s="172">
        <v>2.24796308080955E-3</v>
      </c>
      <c r="F20" s="172">
        <v>43247841.045174502</v>
      </c>
      <c r="G20" s="172">
        <v>16744.860006083902</v>
      </c>
      <c r="H20" s="172">
        <v>5.3127662112419202E-4</v>
      </c>
      <c r="I20" s="172">
        <v>31518157.096112099</v>
      </c>
    </row>
    <row r="21" spans="2:9" hidden="1" x14ac:dyDescent="0.3">
      <c r="B21" s="172" t="s">
        <v>181</v>
      </c>
      <c r="C21" s="172" t="s">
        <v>80</v>
      </c>
      <c r="D21" s="172">
        <v>122123.13999650899</v>
      </c>
      <c r="E21" s="172">
        <v>2.6537862662917499E-3</v>
      </c>
      <c r="F21" s="172">
        <v>46018453.538519897</v>
      </c>
      <c r="G21" s="172">
        <v>20496.1500071999</v>
      </c>
      <c r="H21" s="172">
        <v>5.9986832841587504E-4</v>
      </c>
      <c r="I21" s="172">
        <v>34167748.214555398</v>
      </c>
    </row>
    <row r="22" spans="2:9" hidden="1" x14ac:dyDescent="0.3">
      <c r="B22" s="172" t="s">
        <v>179</v>
      </c>
      <c r="C22" s="172" t="s">
        <v>80</v>
      </c>
      <c r="D22" s="172">
        <v>143282.20999489501</v>
      </c>
      <c r="E22" s="172">
        <v>2.9533270814973201E-3</v>
      </c>
      <c r="F22" s="172">
        <v>48515523.692774303</v>
      </c>
      <c r="G22" s="172">
        <v>23646.630008376302</v>
      </c>
      <c r="H22" s="172">
        <v>6.4576932130386202E-4</v>
      </c>
      <c r="I22" s="172">
        <v>36617766.171721801</v>
      </c>
    </row>
    <row r="23" spans="2:9" hidden="1" x14ac:dyDescent="0.3">
      <c r="B23" s="172" t="s">
        <v>39</v>
      </c>
      <c r="C23" s="172" t="s">
        <v>80</v>
      </c>
      <c r="D23" s="172">
        <v>161489.03999510399</v>
      </c>
      <c r="E23" s="172">
        <v>3.05226279939119E-3</v>
      </c>
      <c r="F23" s="172">
        <v>52907973.726022303</v>
      </c>
      <c r="G23" s="172">
        <v>26395.850009473899</v>
      </c>
      <c r="H23" s="172">
        <v>6.6062651822471996E-4</v>
      </c>
      <c r="I23" s="172">
        <v>39955783.307649501</v>
      </c>
    </row>
    <row r="24" spans="2:9" hidden="1" x14ac:dyDescent="0.3">
      <c r="B24" s="172" t="s">
        <v>26</v>
      </c>
      <c r="C24" s="172" t="s">
        <v>80</v>
      </c>
      <c r="D24" s="172">
        <v>177701.05999510101</v>
      </c>
      <c r="E24" s="172">
        <v>3.1623785575701298E-3</v>
      </c>
      <c r="F24" s="172">
        <v>56192216.320755899</v>
      </c>
      <c r="G24" s="172">
        <v>28938.590010814802</v>
      </c>
      <c r="H24" s="172">
        <v>6.7390142870804397E-4</v>
      </c>
      <c r="I24" s="172">
        <v>42941873.6599117</v>
      </c>
    </row>
    <row r="25" spans="2:9" hidden="1" x14ac:dyDescent="0.3">
      <c r="B25" s="172" t="s">
        <v>25</v>
      </c>
      <c r="C25" s="172" t="s">
        <v>80</v>
      </c>
      <c r="D25" s="172">
        <v>191540.43999502601</v>
      </c>
      <c r="E25" s="172">
        <v>3.26429003717809E-3</v>
      </c>
      <c r="F25" s="172">
        <v>58677518.790765397</v>
      </c>
      <c r="G25" s="172">
        <v>31235.140011515901</v>
      </c>
      <c r="H25" s="172">
        <v>6.8383508632822E-4</v>
      </c>
      <c r="I25" s="172">
        <v>45676422.0438435</v>
      </c>
    </row>
    <row r="26" spans="2:9" hidden="1" x14ac:dyDescent="0.3">
      <c r="B26" s="172" t="s">
        <v>24</v>
      </c>
      <c r="C26" s="172" t="s">
        <v>80</v>
      </c>
      <c r="D26" s="172">
        <v>202184.709994979</v>
      </c>
      <c r="E26" s="172">
        <v>3.02170267924427E-3</v>
      </c>
      <c r="F26" s="172">
        <v>66910855.056575499</v>
      </c>
      <c r="G26" s="172">
        <v>33133.430012327502</v>
      </c>
      <c r="H26" s="172">
        <v>6.0211607328609798E-4</v>
      </c>
      <c r="I26" s="172">
        <v>55028310.125486501</v>
      </c>
    </row>
    <row r="27" spans="2:9" hidden="1" x14ac:dyDescent="0.3">
      <c r="B27" s="172" t="s">
        <v>22</v>
      </c>
      <c r="C27" s="172" t="s">
        <v>80</v>
      </c>
      <c r="D27" s="172">
        <v>208150.03999460599</v>
      </c>
      <c r="E27" s="172">
        <v>2.7560800238638299E-3</v>
      </c>
      <c r="F27" s="172">
        <v>75523946.399348304</v>
      </c>
      <c r="G27" s="172">
        <v>34227.490012682203</v>
      </c>
      <c r="H27" s="172">
        <v>5.1967527131188196E-4</v>
      </c>
      <c r="I27" s="172">
        <v>65863226.330314599</v>
      </c>
    </row>
    <row r="28" spans="2:9" hidden="1" x14ac:dyDescent="0.3">
      <c r="B28" s="172" t="s">
        <v>189</v>
      </c>
      <c r="C28" s="172" t="s">
        <v>81</v>
      </c>
      <c r="D28" s="172">
        <v>444.44162221563897</v>
      </c>
      <c r="E28" s="172">
        <v>4.0064508157754098E-4</v>
      </c>
      <c r="F28" s="172">
        <v>1109315.0587688501</v>
      </c>
      <c r="G28" s="172">
        <v>976.64006739014098</v>
      </c>
      <c r="H28" s="172">
        <v>1.5286441613266801E-3</v>
      </c>
      <c r="I28" s="172">
        <v>638893.00865319301</v>
      </c>
    </row>
    <row r="29" spans="2:9" hidden="1" x14ac:dyDescent="0.3">
      <c r="B29" s="172" t="s">
        <v>187</v>
      </c>
      <c r="C29" s="172" t="s">
        <v>81</v>
      </c>
      <c r="D29" s="172">
        <v>6175.7787059190896</v>
      </c>
      <c r="E29" s="172">
        <v>2.81420095917787E-4</v>
      </c>
      <c r="F29" s="172">
        <v>21945052.238640599</v>
      </c>
      <c r="G29" s="172">
        <v>33260.3290490941</v>
      </c>
      <c r="H29" s="172">
        <v>1.51509640941859E-3</v>
      </c>
      <c r="I29" s="172">
        <v>21952615.5842833</v>
      </c>
    </row>
    <row r="30" spans="2:9" hidden="1" x14ac:dyDescent="0.3">
      <c r="B30" s="172" t="s">
        <v>185</v>
      </c>
      <c r="C30" s="172" t="s">
        <v>81</v>
      </c>
      <c r="D30" s="172">
        <v>12584.958786626499</v>
      </c>
      <c r="E30" s="172">
        <v>3.2750758762299301E-4</v>
      </c>
      <c r="F30" s="172">
        <v>38426464.797247797</v>
      </c>
      <c r="G30" s="172">
        <v>68937.058732796402</v>
      </c>
      <c r="H30" s="172">
        <v>2.17528960109092E-3</v>
      </c>
      <c r="I30" s="172">
        <v>31690979.765739702</v>
      </c>
    </row>
    <row r="31" spans="2:9" hidden="1" x14ac:dyDescent="0.3">
      <c r="B31" s="172" t="s">
        <v>183</v>
      </c>
      <c r="C31" s="172" t="s">
        <v>81</v>
      </c>
      <c r="D31" s="172">
        <v>17565.694656048101</v>
      </c>
      <c r="E31" s="172">
        <v>4.1446807894094002E-4</v>
      </c>
      <c r="F31" s="172">
        <v>42381296.7718345</v>
      </c>
      <c r="G31" s="172">
        <v>98407.549037609002</v>
      </c>
      <c r="H31" s="172">
        <v>2.7628716606742298E-3</v>
      </c>
      <c r="I31" s="172">
        <v>35617850.238325797</v>
      </c>
    </row>
    <row r="32" spans="2:9" hidden="1" x14ac:dyDescent="0.3">
      <c r="B32" s="172" t="s">
        <v>181</v>
      </c>
      <c r="C32" s="172" t="s">
        <v>81</v>
      </c>
      <c r="D32" s="172">
        <v>21526.724639133201</v>
      </c>
      <c r="E32" s="172">
        <v>4.8625228731331198E-4</v>
      </c>
      <c r="F32" s="172">
        <v>44270690.7520677</v>
      </c>
      <c r="G32" s="172">
        <v>122853.148355796</v>
      </c>
      <c r="H32" s="172">
        <v>3.24499734288252E-3</v>
      </c>
      <c r="I32" s="172">
        <v>37859244.669416703</v>
      </c>
    </row>
    <row r="33" spans="2:9" hidden="1" x14ac:dyDescent="0.3">
      <c r="B33" s="172" t="s">
        <v>179</v>
      </c>
      <c r="C33" s="172" t="s">
        <v>81</v>
      </c>
      <c r="D33" s="172">
        <v>24835.5517255462</v>
      </c>
      <c r="E33" s="172">
        <v>5.4275491927036101E-4</v>
      </c>
      <c r="F33" s="172">
        <v>45758317.140512101</v>
      </c>
      <c r="G33" s="172">
        <v>143478.195674077</v>
      </c>
      <c r="H33" s="172">
        <v>3.5942809179511301E-3</v>
      </c>
      <c r="I33" s="172">
        <v>39918470.188987002</v>
      </c>
    </row>
    <row r="34" spans="2:9" hidden="1" x14ac:dyDescent="0.3">
      <c r="B34" s="172" t="s">
        <v>39</v>
      </c>
      <c r="C34" s="172" t="s">
        <v>81</v>
      </c>
      <c r="D34" s="172">
        <v>27710.234440322802</v>
      </c>
      <c r="E34" s="172">
        <v>5.5902404185434603E-4</v>
      </c>
      <c r="F34" s="172">
        <v>49568949.393312</v>
      </c>
      <c r="G34" s="172">
        <v>161283.96148181701</v>
      </c>
      <c r="H34" s="172">
        <v>3.7356022464781402E-3</v>
      </c>
      <c r="I34" s="172">
        <v>43174821.846697502</v>
      </c>
    </row>
    <row r="35" spans="2:9" hidden="1" x14ac:dyDescent="0.3">
      <c r="B35" s="172" t="s">
        <v>26</v>
      </c>
      <c r="C35" s="172" t="s">
        <v>81</v>
      </c>
      <c r="D35" s="172">
        <v>30377.3286821205</v>
      </c>
      <c r="E35" s="172">
        <v>5.6672589938658595E-4</v>
      </c>
      <c r="F35" s="172">
        <v>53601447.745727502</v>
      </c>
      <c r="G35" s="172">
        <v>177360.92421073001</v>
      </c>
      <c r="H35" s="172">
        <v>3.8572259678748499E-3</v>
      </c>
      <c r="I35" s="172">
        <v>45981471.0592255</v>
      </c>
    </row>
    <row r="36" spans="2:9" hidden="1" x14ac:dyDescent="0.3">
      <c r="B36" s="172" t="s">
        <v>25</v>
      </c>
      <c r="C36" s="172" t="s">
        <v>81</v>
      </c>
      <c r="D36" s="172">
        <v>32814.823482956497</v>
      </c>
      <c r="E36" s="172">
        <v>5.5389743363776797E-4</v>
      </c>
      <c r="F36" s="172">
        <v>59243501.576532699</v>
      </c>
      <c r="G36" s="172">
        <v>191300.29580566401</v>
      </c>
      <c r="H36" s="172">
        <v>3.9204564269937304E-3</v>
      </c>
      <c r="I36" s="172">
        <v>48795414.352393799</v>
      </c>
    </row>
    <row r="37" spans="2:9" hidden="1" x14ac:dyDescent="0.3">
      <c r="B37" s="172" t="s">
        <v>24</v>
      </c>
      <c r="C37" s="172" t="s">
        <v>81</v>
      </c>
      <c r="D37" s="172">
        <v>34859.215063838899</v>
      </c>
      <c r="E37" s="172">
        <v>5.2727194935619603E-4</v>
      </c>
      <c r="F37" s="172">
        <v>66112401.9709417</v>
      </c>
      <c r="G37" s="172">
        <v>202132.193301027</v>
      </c>
      <c r="H37" s="172">
        <v>3.51448998075834E-3</v>
      </c>
      <c r="I37" s="172">
        <v>57513947.801157802</v>
      </c>
    </row>
    <row r="38" spans="2:9" hidden="1" x14ac:dyDescent="0.3">
      <c r="B38" s="172" t="s">
        <v>22</v>
      </c>
      <c r="C38" s="172" t="s">
        <v>81</v>
      </c>
      <c r="D38" s="172">
        <v>36066.6915157322</v>
      </c>
      <c r="E38" s="172">
        <v>5.0287946507541104E-4</v>
      </c>
      <c r="F38" s="172">
        <v>71720350.542298898</v>
      </c>
      <c r="G38" s="172">
        <v>208150.037667439</v>
      </c>
      <c r="H38" s="172">
        <v>3.07880218964127E-3</v>
      </c>
      <c r="I38" s="172">
        <v>67607473.571301997</v>
      </c>
    </row>
    <row r="39" spans="2:9" x14ac:dyDescent="0.3">
      <c r="B39" s="172" t="s">
        <v>189</v>
      </c>
      <c r="C39" s="172" t="s">
        <v>82</v>
      </c>
      <c r="D39" s="172">
        <v>444.44162221619098</v>
      </c>
      <c r="E39" s="172">
        <v>2.5756659304186999E-4</v>
      </c>
      <c r="F39" s="172">
        <v>1725540.63385053</v>
      </c>
      <c r="G39" s="172">
        <v>976.64006739051001</v>
      </c>
      <c r="H39" s="172">
        <v>1.3177815120620101E-3</v>
      </c>
      <c r="I39" s="172">
        <v>741124.42650853598</v>
      </c>
    </row>
    <row r="40" spans="2:9" x14ac:dyDescent="0.3">
      <c r="B40" s="172" t="s">
        <v>187</v>
      </c>
      <c r="C40" s="172" t="s">
        <v>82</v>
      </c>
      <c r="D40" s="172">
        <v>6175.7787058297499</v>
      </c>
      <c r="E40" s="172">
        <v>2.1884673238835501E-4</v>
      </c>
      <c r="F40" s="172">
        <v>28219652.349528801</v>
      </c>
      <c r="G40" s="172">
        <v>33260.329049189597</v>
      </c>
      <c r="H40" s="172">
        <v>1.44797566036343E-3</v>
      </c>
      <c r="I40" s="172">
        <v>22970226.613368299</v>
      </c>
    </row>
    <row r="41" spans="2:9" x14ac:dyDescent="0.3">
      <c r="B41" s="172" t="s">
        <v>185</v>
      </c>
      <c r="C41" s="172" t="s">
        <v>82</v>
      </c>
      <c r="D41" s="172">
        <v>12584.958786152099</v>
      </c>
      <c r="E41" s="172">
        <v>2.8229308488007901E-4</v>
      </c>
      <c r="F41" s="172">
        <v>44581179.845401898</v>
      </c>
      <c r="G41" s="172">
        <v>68937.058732956895</v>
      </c>
      <c r="H41" s="172">
        <v>2.0800409476598898E-3</v>
      </c>
      <c r="I41" s="172">
        <v>33142164.249465</v>
      </c>
    </row>
    <row r="42" spans="2:9" x14ac:dyDescent="0.3">
      <c r="B42" s="172" t="s">
        <v>183</v>
      </c>
      <c r="C42" s="172" t="s">
        <v>82</v>
      </c>
      <c r="D42" s="172">
        <v>17565.6946555297</v>
      </c>
      <c r="E42" s="172">
        <v>4.08602158124716E-4</v>
      </c>
      <c r="F42" s="172">
        <v>42989725.595546797</v>
      </c>
      <c r="G42" s="172">
        <v>98407.549037946505</v>
      </c>
      <c r="H42" s="172">
        <v>2.5494087878729999E-3</v>
      </c>
      <c r="I42" s="172">
        <v>38600145.063455701</v>
      </c>
    </row>
    <row r="43" spans="2:9" x14ac:dyDescent="0.3">
      <c r="B43" s="172" t="s">
        <v>181</v>
      </c>
      <c r="C43" s="172" t="s">
        <v>82</v>
      </c>
      <c r="D43" s="172">
        <v>21526.724638404299</v>
      </c>
      <c r="E43" s="172">
        <v>5.1262607959352802E-4</v>
      </c>
      <c r="F43" s="172">
        <v>41993034.485239796</v>
      </c>
      <c r="G43" s="172">
        <v>122853.14835621799</v>
      </c>
      <c r="H43" s="172">
        <v>3.0704643539547901E-3</v>
      </c>
      <c r="I43" s="172">
        <v>40011260.250581197</v>
      </c>
    </row>
    <row r="44" spans="2:9" x14ac:dyDescent="0.3">
      <c r="B44" s="172" t="s">
        <v>179</v>
      </c>
      <c r="C44" s="172" t="s">
        <v>82</v>
      </c>
      <c r="D44" s="172">
        <v>24835.5517246694</v>
      </c>
      <c r="E44" s="172">
        <v>5.9443655175139105E-4</v>
      </c>
      <c r="F44" s="172">
        <v>41779987.538613401</v>
      </c>
      <c r="G44" s="172">
        <v>143478.195674583</v>
      </c>
      <c r="H44" s="172">
        <v>3.4741751179424799E-3</v>
      </c>
      <c r="I44" s="172">
        <v>41298492.6791934</v>
      </c>
    </row>
    <row r="45" spans="2:9" x14ac:dyDescent="0.3">
      <c r="B45" s="172" t="s">
        <v>39</v>
      </c>
      <c r="C45" s="172" t="s">
        <v>82</v>
      </c>
      <c r="D45" s="172">
        <v>27710.2344392091</v>
      </c>
      <c r="E45" s="172">
        <v>6.1819788741855402E-4</v>
      </c>
      <c r="F45" s="172">
        <v>44824214.0634294</v>
      </c>
      <c r="G45" s="172">
        <v>161283.961482443</v>
      </c>
      <c r="H45" s="172">
        <v>3.66455875099455E-3</v>
      </c>
      <c r="I45" s="172">
        <v>44011836.742601298</v>
      </c>
    </row>
    <row r="46" spans="2:9" x14ac:dyDescent="0.3">
      <c r="B46" s="172" t="s">
        <v>26</v>
      </c>
      <c r="C46" s="172" t="s">
        <v>82</v>
      </c>
      <c r="D46" s="172">
        <v>30377.328681104002</v>
      </c>
      <c r="E46" s="172">
        <v>6.2860606657795396E-4</v>
      </c>
      <c r="F46" s="172">
        <v>48324905.367958203</v>
      </c>
      <c r="G46" s="172">
        <v>177360.92421153301</v>
      </c>
      <c r="H46" s="172">
        <v>3.7720487414551499E-3</v>
      </c>
      <c r="I46" s="172">
        <v>47019785.895744398</v>
      </c>
    </row>
    <row r="47" spans="2:9" x14ac:dyDescent="0.3">
      <c r="B47" s="172" t="s">
        <v>25</v>
      </c>
      <c r="C47" s="172" t="s">
        <v>82</v>
      </c>
      <c r="D47" s="172">
        <v>32814.8234818118</v>
      </c>
      <c r="E47" s="172">
        <v>6.5749269149364097E-4</v>
      </c>
      <c r="F47" s="172">
        <v>49909031.547203399</v>
      </c>
      <c r="G47" s="172">
        <v>191300.29580654099</v>
      </c>
      <c r="H47" s="172">
        <v>3.8932828204939602E-3</v>
      </c>
      <c r="I47" s="172">
        <v>49135987.449858502</v>
      </c>
    </row>
    <row r="48" spans="2:9" x14ac:dyDescent="0.3">
      <c r="B48" s="172" t="s">
        <v>24</v>
      </c>
      <c r="C48" s="172" t="s">
        <v>82</v>
      </c>
      <c r="D48" s="172">
        <v>34859.2150626695</v>
      </c>
      <c r="E48" s="172">
        <v>6.51815277906815E-4</v>
      </c>
      <c r="F48" s="172">
        <v>53480205.580043301</v>
      </c>
      <c r="G48" s="172">
        <v>202132.193301994</v>
      </c>
      <c r="H48" s="172">
        <v>3.6176007916026401E-3</v>
      </c>
      <c r="I48" s="172">
        <v>55874654.210379899</v>
      </c>
    </row>
    <row r="49" spans="2:9" x14ac:dyDescent="0.3">
      <c r="B49" s="172" t="s">
        <v>22</v>
      </c>
      <c r="C49" s="172" t="s">
        <v>82</v>
      </c>
      <c r="D49" s="172">
        <v>36066.691514541402</v>
      </c>
      <c r="E49" s="172">
        <v>5.6066272793209402E-4</v>
      </c>
      <c r="F49" s="172">
        <v>64328676.970497102</v>
      </c>
      <c r="G49" s="172">
        <v>208150.03766844299</v>
      </c>
      <c r="H49" s="172">
        <v>3.0605541878549899E-3</v>
      </c>
      <c r="I49" s="172">
        <v>68010570.926805303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-9.7497832030057907E-10</v>
      </c>
      <c r="H6" s="172">
        <v>-1017.35914898418</v>
      </c>
      <c r="I6" s="172">
        <v>-640.28792401441001</v>
      </c>
      <c r="J6" s="172">
        <v>-14267.351100800401</v>
      </c>
      <c r="K6" s="172">
        <v>-2.0155539459665302E-9</v>
      </c>
      <c r="L6" s="172">
        <v>2.7019268600270198E-8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-3.92901711165905E-10</v>
      </c>
      <c r="H7" s="172">
        <v>-1017.35914898342</v>
      </c>
      <c r="I7" s="172">
        <v>-640.28792401453904</v>
      </c>
      <c r="J7" s="172">
        <v>-14267.351100805899</v>
      </c>
      <c r="K7" s="172">
        <v>1920.8637720427801</v>
      </c>
      <c r="L7" s="172">
        <v>-3052.0774469410699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-1.0732037480920601E-9</v>
      </c>
      <c r="H8" s="172">
        <v>-1017.35999998355</v>
      </c>
      <c r="I8" s="172">
        <v>-640.29000001353097</v>
      </c>
      <c r="J8" s="172">
        <v>-14354.201539878601</v>
      </c>
      <c r="K8" s="172">
        <v>-2.3412667360389601E-9</v>
      </c>
      <c r="L8" s="172">
        <v>2.9992406780365901E-8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-2.0008883439004401E-10</v>
      </c>
      <c r="H9" s="172">
        <v>-1017.35999998293</v>
      </c>
      <c r="I9" s="172">
        <v>-640.29000001410702</v>
      </c>
      <c r="J9" s="172">
        <v>-14354.201539896399</v>
      </c>
      <c r="K9" s="172">
        <v>1920.87000004067</v>
      </c>
      <c r="L9" s="172">
        <v>-3052.0799999440801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4.0745362639427201E-10</v>
      </c>
      <c r="H10" s="172">
        <v>-444.44162221562101</v>
      </c>
      <c r="I10" s="172">
        <v>-976.640067387709</v>
      </c>
      <c r="J10" s="172">
        <v>-24105.856524450501</v>
      </c>
      <c r="K10" s="172">
        <v>-6.8712324718944697E-10</v>
      </c>
      <c r="L10" s="172">
        <v>-9.3350536189973404E-9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4.0745362639427201E-10</v>
      </c>
      <c r="H11" s="172">
        <v>-444.44162221563897</v>
      </c>
      <c r="I11" s="172">
        <v>-976.64006739014098</v>
      </c>
      <c r="J11" s="172">
        <v>-24105.8565245186</v>
      </c>
      <c r="K11" s="172">
        <v>2929.92020216628</v>
      </c>
      <c r="L11" s="172">
        <v>-1333.3248666561401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4.8385118134319803E-10</v>
      </c>
      <c r="H12" s="172">
        <v>-444.44162221619302</v>
      </c>
      <c r="I12" s="172">
        <v>-976.64006738844603</v>
      </c>
      <c r="J12" s="172">
        <v>-23795.31313966</v>
      </c>
      <c r="K12" s="172">
        <v>-1.9099388737231501E-10</v>
      </c>
      <c r="L12" s="172">
        <v>-1.17379386210814E-8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3.6743585951626301E-10</v>
      </c>
      <c r="H13" s="172">
        <v>-444.44162221619098</v>
      </c>
      <c r="I13" s="172">
        <v>-976.64006739051001</v>
      </c>
      <c r="J13" s="172">
        <v>-23795.3131397178</v>
      </c>
      <c r="K13" s="172">
        <v>2929.9202021685501</v>
      </c>
      <c r="L13" s="172">
        <v>-1333.32486665701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11894.3999999918</v>
      </c>
      <c r="H14" s="172">
        <v>5.60262947146839E-10</v>
      </c>
      <c r="I14" s="172">
        <v>-3.1540992040390801E-10</v>
      </c>
      <c r="J14" s="172">
        <v>-8.6670297605451196E-9</v>
      </c>
      <c r="K14" s="172">
        <v>23843.159999983702</v>
      </c>
      <c r="L14" s="172">
        <v>-303375.959999791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17150.399999993901</v>
      </c>
      <c r="H15" s="172">
        <v>5.7731597280508099E-10</v>
      </c>
      <c r="I15" s="172">
        <v>-3.2170532904274301E-10</v>
      </c>
      <c r="J15" s="172">
        <v>-8.8825800048653003E-9</v>
      </c>
      <c r="K15" s="172">
        <v>33059.159999989701</v>
      </c>
      <c r="L15" s="172">
        <v>-435783.95999984699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-7.9477700865027106E-8</v>
      </c>
      <c r="H16" s="172">
        <v>-32231.156474028801</v>
      </c>
      <c r="I16" s="172">
        <v>-6015.4837508575001</v>
      </c>
      <c r="J16" s="172">
        <v>412261.86559586402</v>
      </c>
      <c r="K16" s="172">
        <v>1920.8637719979799</v>
      </c>
      <c r="L16" s="172">
        <v>-3052.0774450208201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-7.3232506725417994E-8</v>
      </c>
      <c r="H17" s="172">
        <v>-32231.156474027001</v>
      </c>
      <c r="I17" s="172">
        <v>-6015.4837508580104</v>
      </c>
      <c r="J17" s="172">
        <v>412261.865595821</v>
      </c>
      <c r="K17" s="172">
        <v>22975.056899994099</v>
      </c>
      <c r="L17" s="172">
        <v>-115861.125104267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-9.1747551778098595E-8</v>
      </c>
      <c r="H18" s="172">
        <v>-32231.159995128601</v>
      </c>
      <c r="I18" s="172">
        <v>-6015.4900017425598</v>
      </c>
      <c r="J18" s="172">
        <v>329036.469723891</v>
      </c>
      <c r="K18" s="172">
        <v>1920.8699999871401</v>
      </c>
      <c r="L18" s="172">
        <v>-3052.0799977213701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-8.4331355232336604E-8</v>
      </c>
      <c r="H19" s="172">
        <v>-32231.159995127098</v>
      </c>
      <c r="I19" s="172">
        <v>-6015.4900017488499</v>
      </c>
      <c r="J19" s="172">
        <v>329036.46972368401</v>
      </c>
      <c r="K19" s="172">
        <v>22975.08500608</v>
      </c>
      <c r="L19" s="172">
        <v>-115861.139980843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1.91993194675888E-8</v>
      </c>
      <c r="H20" s="172">
        <v>-6175.7787059233497</v>
      </c>
      <c r="I20" s="172">
        <v>-33260.329049052802</v>
      </c>
      <c r="J20" s="172">
        <v>-383300.75958771101</v>
      </c>
      <c r="K20" s="172">
        <v>2929.9202022149602</v>
      </c>
      <c r="L20" s="172">
        <v>-1333.32486707983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2.5016433369273701E-8</v>
      </c>
      <c r="H21" s="172">
        <v>-6175.7787059190896</v>
      </c>
      <c r="I21" s="172">
        <v>-33260.3290490941</v>
      </c>
      <c r="J21" s="172">
        <v>-383300.75958887202</v>
      </c>
      <c r="K21" s="172">
        <v>119341.07187393701</v>
      </c>
      <c r="L21" s="172">
        <v>-22948.5503379601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3.0455282740149401E-8</v>
      </c>
      <c r="H22" s="172">
        <v>-6175.7787058352496</v>
      </c>
      <c r="I22" s="172">
        <v>-33260.329049154498</v>
      </c>
      <c r="J22" s="172">
        <v>-309842.50669665902</v>
      </c>
      <c r="K22" s="172">
        <v>2929.9202022312402</v>
      </c>
      <c r="L22" s="172">
        <v>-1333.3248673555699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3.4529648473835603E-8</v>
      </c>
      <c r="H23" s="172">
        <v>-6175.7787058297499</v>
      </c>
      <c r="I23" s="172">
        <v>-33260.329049189597</v>
      </c>
      <c r="J23" s="172">
        <v>-309842.50669764902</v>
      </c>
      <c r="K23" s="172">
        <v>119341.07187430099</v>
      </c>
      <c r="L23" s="172">
        <v>-22948.550337881399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725657.45624971704</v>
      </c>
      <c r="H24" s="172">
        <v>1.10030150324292E-7</v>
      </c>
      <c r="I24" s="172">
        <v>1.2717228514702599E-7</v>
      </c>
      <c r="J24" s="172">
        <v>1.3068338127197899E-6</v>
      </c>
      <c r="K24" s="172">
        <v>10857664.1685925</v>
      </c>
      <c r="L24" s="172">
        <v>-8738627.8045718297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841896.147647526</v>
      </c>
      <c r="H25" s="172">
        <v>1.08076221749798E-7</v>
      </c>
      <c r="I25" s="172">
        <v>1.2664068549384001E-7</v>
      </c>
      <c r="J25" s="172">
        <v>1.2910027180623699E-6</v>
      </c>
      <c r="K25" s="172">
        <v>12314404.966762001</v>
      </c>
      <c r="L25" s="172">
        <v>-10457140.5624194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-3.0302031461815199E-7</v>
      </c>
      <c r="H26" s="172">
        <v>-67560.693343735606</v>
      </c>
      <c r="I26" s="172">
        <v>-12046.940484021499</v>
      </c>
      <c r="J26" s="172">
        <v>902391.98275899503</v>
      </c>
      <c r="K26" s="172">
        <v>22975.056899281899</v>
      </c>
      <c r="L26" s="172">
        <v>-115861.12509867801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-2.9988218486209901E-7</v>
      </c>
      <c r="H27" s="172">
        <v>-67560.693343761901</v>
      </c>
      <c r="I27" s="172">
        <v>-12046.940484020801</v>
      </c>
      <c r="J27" s="172">
        <v>902391.982759014</v>
      </c>
      <c r="K27" s="172">
        <v>65139.348593347699</v>
      </c>
      <c r="L27" s="172">
        <v>-352323.55180188699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-3.5016444144275701E-7</v>
      </c>
      <c r="H28" s="172">
        <v>-67560.699995289397</v>
      </c>
      <c r="I28" s="172">
        <v>-12046.9500038359</v>
      </c>
      <c r="J28" s="172">
        <v>724917.41598405305</v>
      </c>
      <c r="K28" s="172">
        <v>22975.085005260102</v>
      </c>
      <c r="L28" s="172">
        <v>-115861.139974376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-3.4775177937262898E-7</v>
      </c>
      <c r="H29" s="172">
        <v>-67560.699995320596</v>
      </c>
      <c r="I29" s="172">
        <v>-12046.9500038354</v>
      </c>
      <c r="J29" s="172">
        <v>724917.41598407202</v>
      </c>
      <c r="K29" s="172">
        <v>65139.410018665898</v>
      </c>
      <c r="L29" s="172">
        <v>-352323.589958016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-4.9307118388242097E-9</v>
      </c>
      <c r="H30" s="172">
        <v>-12584.958786622001</v>
      </c>
      <c r="I30" s="172">
        <v>-68937.058732809703</v>
      </c>
      <c r="J30" s="172">
        <v>-772847.93590778601</v>
      </c>
      <c r="K30" s="172">
        <v>119341.071873793</v>
      </c>
      <c r="L30" s="172">
        <v>-22948.5503372151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-1.7121237760875401E-9</v>
      </c>
      <c r="H31" s="172">
        <v>-12584.958786626499</v>
      </c>
      <c r="I31" s="172">
        <v>-68937.058732796402</v>
      </c>
      <c r="J31" s="172">
        <v>-772847.93590747903</v>
      </c>
      <c r="K31" s="172">
        <v>360620.77743858902</v>
      </c>
      <c r="L31" s="172">
        <v>-66995.906090486606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3.5415155252849198E-8</v>
      </c>
      <c r="H32" s="172">
        <v>-12584.958786151799</v>
      </c>
      <c r="I32" s="172">
        <v>-68937.058732965204</v>
      </c>
      <c r="J32" s="172">
        <v>-618791.838961781</v>
      </c>
      <c r="K32" s="172">
        <v>119341.07187424399</v>
      </c>
      <c r="L32" s="172">
        <v>-22948.5503378947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3.7495738069992499E-8</v>
      </c>
      <c r="H33" s="172">
        <v>-12584.958786152099</v>
      </c>
      <c r="I33" s="172">
        <v>-68937.058732956895</v>
      </c>
      <c r="J33" s="172">
        <v>-618791.83896159404</v>
      </c>
      <c r="K33" s="172">
        <v>360620.77743958897</v>
      </c>
      <c r="L33" s="172">
        <v>-66995.906089482698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1535598.2038974101</v>
      </c>
      <c r="H34" s="172">
        <v>1.31623917098977E-7</v>
      </c>
      <c r="I34" s="172">
        <v>2.5557671889942E-7</v>
      </c>
      <c r="J34" s="172">
        <v>2.7590881543915198E-6</v>
      </c>
      <c r="K34" s="172">
        <v>22909532.4753558</v>
      </c>
      <c r="L34" s="172">
        <v>-18589726.9069946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1651836.89529522</v>
      </c>
      <c r="H35" s="172">
        <v>1.2928580872539899E-7</v>
      </c>
      <c r="I35" s="172">
        <v>2.5493611133242698E-7</v>
      </c>
      <c r="J35" s="172">
        <v>2.74289971002872E-6</v>
      </c>
      <c r="K35" s="172">
        <v>24366273.273524798</v>
      </c>
      <c r="L35" s="172">
        <v>-20308239.664842099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-2.00273206019119E-7</v>
      </c>
      <c r="H36" s="172">
        <v>-97219.5435926957</v>
      </c>
      <c r="I36" s="172">
        <v>-16744.848814491699</v>
      </c>
      <c r="J36" s="172">
        <v>1318908.2326086101</v>
      </c>
      <c r="K36" s="172">
        <v>65139.348593353199</v>
      </c>
      <c r="L36" s="172">
        <v>-352323.55180433998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-1.8623020991981299E-7</v>
      </c>
      <c r="H37" s="172">
        <v>-97219.543592674803</v>
      </c>
      <c r="I37" s="172">
        <v>-16744.848814487901</v>
      </c>
      <c r="J37" s="172">
        <v>1318908.23260871</v>
      </c>
      <c r="K37" s="172">
        <v>123746.31944408501</v>
      </c>
      <c r="L37" s="172">
        <v>-692591.95437906799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-2.2157882995088601E-7</v>
      </c>
      <c r="H38" s="172">
        <v>-97219.549994304703</v>
      </c>
      <c r="I38" s="172">
        <v>-16744.860006092698</v>
      </c>
      <c r="J38" s="172">
        <v>1061279.8568929599</v>
      </c>
      <c r="K38" s="172">
        <v>65139.410018681301</v>
      </c>
      <c r="L38" s="172">
        <v>-352323.58996111399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-1.9537483808562699E-7</v>
      </c>
      <c r="H39" s="172">
        <v>-97219.549994271903</v>
      </c>
      <c r="I39" s="172">
        <v>-16744.860006083902</v>
      </c>
      <c r="J39" s="172">
        <v>1061279.8568931499</v>
      </c>
      <c r="K39" s="172">
        <v>123746.420040032</v>
      </c>
      <c r="L39" s="172">
        <v>-692592.01494177803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6.1015725805191297E-8</v>
      </c>
      <c r="H40" s="172">
        <v>-17565.694656054198</v>
      </c>
      <c r="I40" s="172">
        <v>-98407.549037635195</v>
      </c>
      <c r="J40" s="172">
        <v>-1099720.4021588799</v>
      </c>
      <c r="K40" s="172">
        <v>360620.77743861597</v>
      </c>
      <c r="L40" s="172">
        <v>-66995.906091997196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6.6599568526726203E-8</v>
      </c>
      <c r="H41" s="172">
        <v>-17565.694656048101</v>
      </c>
      <c r="I41" s="172">
        <v>-98407.549037609002</v>
      </c>
      <c r="J41" s="172">
        <v>-1099720.40215816</v>
      </c>
      <c r="K41" s="172">
        <v>705047.19907030801</v>
      </c>
      <c r="L41" s="172">
        <v>-128475.837388318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7.7201093517942394E-8</v>
      </c>
      <c r="H42" s="172">
        <v>-17565.694655532501</v>
      </c>
      <c r="I42" s="172">
        <v>-98407.549037973993</v>
      </c>
      <c r="J42" s="172">
        <v>-878099.48813476402</v>
      </c>
      <c r="K42" s="172">
        <v>360620.77743961802</v>
      </c>
      <c r="L42" s="172">
        <v>-66995.906090433404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7.9588517110096304E-8</v>
      </c>
      <c r="H43" s="172">
        <v>-17565.6946555297</v>
      </c>
      <c r="I43" s="172">
        <v>-98407.549037946505</v>
      </c>
      <c r="J43" s="172">
        <v>-878099.48813402501</v>
      </c>
      <c r="K43" s="172">
        <v>705047.19907248998</v>
      </c>
      <c r="L43" s="172">
        <v>-128475.83738485799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2345538.9515451798</v>
      </c>
      <c r="H44" s="172">
        <v>1.1489173346035399E-7</v>
      </c>
      <c r="I44" s="172">
        <v>3.9187320055589199E-7</v>
      </c>
      <c r="J44" s="172">
        <v>3.9948066188344498E-6</v>
      </c>
      <c r="K44" s="172">
        <v>34961400.782119498</v>
      </c>
      <c r="L44" s="172">
        <v>-28440826.009419002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2461777.642943</v>
      </c>
      <c r="H45" s="172">
        <v>1.10428402422258E-7</v>
      </c>
      <c r="I45" s="172">
        <v>3.9126348383433699E-7</v>
      </c>
      <c r="J45" s="172">
        <v>3.9855506202002297E-6</v>
      </c>
      <c r="K45" s="172">
        <v>36418141.580288</v>
      </c>
      <c r="L45" s="172">
        <v>-30159338.767266698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-3.3929586606973301E-7</v>
      </c>
      <c r="H46" s="172">
        <v>-122123.133714661</v>
      </c>
      <c r="I46" s="172">
        <v>-20496.133956697398</v>
      </c>
      <c r="J46" s="172">
        <v>1671319.3766024001</v>
      </c>
      <c r="K46" s="172">
        <v>123746.319444119</v>
      </c>
      <c r="L46" s="172">
        <v>-692591.95437533502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-3.45917868571632E-7</v>
      </c>
      <c r="H47" s="172">
        <v>-122123.133714653</v>
      </c>
      <c r="I47" s="172">
        <v>-20496.133956694601</v>
      </c>
      <c r="J47" s="172">
        <v>1671319.37660251</v>
      </c>
      <c r="K47" s="172">
        <v>195482.78829252801</v>
      </c>
      <c r="L47" s="172">
        <v>-1120022.9223764499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-3.87714408134343E-7</v>
      </c>
      <c r="H48" s="172">
        <v>-122123.139996515</v>
      </c>
      <c r="I48" s="172">
        <v>-20496.150007201701</v>
      </c>
      <c r="J48" s="172">
        <v>1345842.0174624999</v>
      </c>
      <c r="K48" s="172">
        <v>123746.42004005</v>
      </c>
      <c r="L48" s="172">
        <v>-692592.01493708498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-3.930496745852E-7</v>
      </c>
      <c r="H49" s="172">
        <v>-122123.13999650899</v>
      </c>
      <c r="I49" s="172">
        <v>-20496.1500071999</v>
      </c>
      <c r="J49" s="172">
        <v>1345842.01746258</v>
      </c>
      <c r="K49" s="172">
        <v>195482.94506522501</v>
      </c>
      <c r="L49" s="172">
        <v>-1120023.0049247199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6.40006874164101E-8</v>
      </c>
      <c r="H50" s="172">
        <v>-21526.724639137301</v>
      </c>
      <c r="I50" s="172">
        <v>-122853.14835579399</v>
      </c>
      <c r="J50" s="172">
        <v>-1373626.6519313001</v>
      </c>
      <c r="K50" s="172">
        <v>705047.19907039602</v>
      </c>
      <c r="L50" s="172">
        <v>-128475.83738822999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5.8846126194112003E-8</v>
      </c>
      <c r="H51" s="172">
        <v>-21526.724639133201</v>
      </c>
      <c r="I51" s="172">
        <v>-122853.148355796</v>
      </c>
      <c r="J51" s="172">
        <v>-1373626.65193143</v>
      </c>
      <c r="K51" s="172">
        <v>1135033.21831568</v>
      </c>
      <c r="L51" s="172">
        <v>-203819.37362505699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1.0205349099123899E-7</v>
      </c>
      <c r="H52" s="172">
        <v>-21526.724638405001</v>
      </c>
      <c r="I52" s="172">
        <v>-122853.148356215</v>
      </c>
      <c r="J52" s="172">
        <v>-1095424.16430289</v>
      </c>
      <c r="K52" s="172">
        <v>705047.19907257101</v>
      </c>
      <c r="L52" s="172">
        <v>-128475.83738538501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9.8060354503104503E-8</v>
      </c>
      <c r="H53" s="172">
        <v>-21526.724638404299</v>
      </c>
      <c r="I53" s="172">
        <v>-122853.14835621799</v>
      </c>
      <c r="J53" s="172">
        <v>-1095424.1643030201</v>
      </c>
      <c r="K53" s="172">
        <v>1135033.2183193399</v>
      </c>
      <c r="L53" s="172">
        <v>-203819.37361968801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3155479.6991928499</v>
      </c>
      <c r="H54" s="172">
        <v>9.5621135898227294E-8</v>
      </c>
      <c r="I54" s="172">
        <v>4.6164415579141902E-7</v>
      </c>
      <c r="J54" s="172">
        <v>5.0709291485873101E-6</v>
      </c>
      <c r="K54" s="172">
        <v>47013269.088881299</v>
      </c>
      <c r="L54" s="172">
        <v>-38291925.111841597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3271718.3905906598</v>
      </c>
      <c r="H55" s="172">
        <v>9.7957524758385301E-8</v>
      </c>
      <c r="I55" s="172">
        <v>4.6239003381742799E-7</v>
      </c>
      <c r="J55" s="172">
        <v>5.0860617193393401E-6</v>
      </c>
      <c r="K55" s="172">
        <v>48470009.8870496</v>
      </c>
      <c r="L55" s="172">
        <v>-40010437.869689099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-4.5144730620450002E-7</v>
      </c>
      <c r="H56" s="172">
        <v>-143282.206202881</v>
      </c>
      <c r="I56" s="172">
        <v>-23646.610737971401</v>
      </c>
      <c r="J56" s="172">
        <v>1971250.4156208399</v>
      </c>
      <c r="K56" s="172">
        <v>195482.788292082</v>
      </c>
      <c r="L56" s="172">
        <v>-1120022.9223738799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-4.4496204054667001E-7</v>
      </c>
      <c r="H57" s="172">
        <v>-143282.20620286401</v>
      </c>
      <c r="I57" s="172">
        <v>-23646.6107379733</v>
      </c>
      <c r="J57" s="172">
        <v>1971250.41562073</v>
      </c>
      <c r="K57" s="172">
        <v>278245.925874979</v>
      </c>
      <c r="L57" s="172">
        <v>-1621510.6440841099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-5.0778930926753695E-7</v>
      </c>
      <c r="H58" s="172">
        <v>-143282.20999491299</v>
      </c>
      <c r="I58" s="172">
        <v>-23646.630008374501</v>
      </c>
      <c r="J58" s="172">
        <v>1588022.0070104899</v>
      </c>
      <c r="K58" s="172">
        <v>195482.945064714</v>
      </c>
      <c r="L58" s="172">
        <v>-1120023.0049219399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-5.0105668947253403E-7</v>
      </c>
      <c r="H59" s="172">
        <v>-143282.20999489501</v>
      </c>
      <c r="I59" s="172">
        <v>-23646.630008376302</v>
      </c>
      <c r="J59" s="172">
        <v>1588022.00701038</v>
      </c>
      <c r="K59" s="172">
        <v>278246.15009402198</v>
      </c>
      <c r="L59" s="172">
        <v>-1621510.7399042801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7.8120137914083898E-8</v>
      </c>
      <c r="H60" s="172">
        <v>-24835.5517255501</v>
      </c>
      <c r="I60" s="172">
        <v>-143478.195674071</v>
      </c>
      <c r="J60" s="172">
        <v>-1605262.7206765199</v>
      </c>
      <c r="K60" s="172">
        <v>1135033.21831563</v>
      </c>
      <c r="L60" s="172">
        <v>-203819.37362554099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7.1647264121565994E-8</v>
      </c>
      <c r="H61" s="172">
        <v>-24835.5517255462</v>
      </c>
      <c r="I61" s="172">
        <v>-143478.195674077</v>
      </c>
      <c r="J61" s="172">
        <v>-1605262.7206766501</v>
      </c>
      <c r="K61" s="172">
        <v>1637206.9031749</v>
      </c>
      <c r="L61" s="172">
        <v>-290743.80466477899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1.25241967907641E-7</v>
      </c>
      <c r="H62" s="172">
        <v>-24835.551724671099</v>
      </c>
      <c r="I62" s="172">
        <v>-143478.19567457799</v>
      </c>
      <c r="J62" s="172">
        <v>-1279217.2797254999</v>
      </c>
      <c r="K62" s="172">
        <v>1135033.2183193299</v>
      </c>
      <c r="L62" s="172">
        <v>-203819.37362036601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1.19194737635553E-7</v>
      </c>
      <c r="H63" s="172">
        <v>-24835.5517246694</v>
      </c>
      <c r="I63" s="172">
        <v>-143478.195674583</v>
      </c>
      <c r="J63" s="172">
        <v>-1279217.27972561</v>
      </c>
      <c r="K63" s="172">
        <v>1637206.9031803899</v>
      </c>
      <c r="L63" s="172">
        <v>-290743.804656544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3965420.44684054</v>
      </c>
      <c r="H64" s="172">
        <v>1.4705499751244099E-7</v>
      </c>
      <c r="I64" s="172">
        <v>5.2903621394762002E-7</v>
      </c>
      <c r="J64" s="172">
        <v>5.3658636431919098E-6</v>
      </c>
      <c r="K64" s="172">
        <v>59065137.395643301</v>
      </c>
      <c r="L64" s="172">
        <v>-48143024.214264199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4081659.1382383499</v>
      </c>
      <c r="H65" s="172">
        <v>1.45018475450343E-7</v>
      </c>
      <c r="I65" s="172">
        <v>5.3030078106530699E-7</v>
      </c>
      <c r="J65" s="172">
        <v>5.3986636885383598E-6</v>
      </c>
      <c r="K65" s="172">
        <v>60521878.193811402</v>
      </c>
      <c r="L65" s="172">
        <v>-49861536.972111702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-4.2128743871217001E-7</v>
      </c>
      <c r="H66" s="172">
        <v>-161489.03620279301</v>
      </c>
      <c r="I66" s="172">
        <v>-26395.829436207499</v>
      </c>
      <c r="J66" s="172">
        <v>2228803.1414107699</v>
      </c>
      <c r="K66" s="172">
        <v>278245.925874774</v>
      </c>
      <c r="L66" s="172">
        <v>-1621510.6440847199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-4.1814593032540902E-7</v>
      </c>
      <c r="H67" s="172">
        <v>-161489.036202797</v>
      </c>
      <c r="I67" s="172">
        <v>-26395.829436210101</v>
      </c>
      <c r="J67" s="172">
        <v>2228803.1414107098</v>
      </c>
      <c r="K67" s="172">
        <v>370631.32890150801</v>
      </c>
      <c r="L67" s="172">
        <v>-2186722.2707945802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-4.6789932639512699E-7</v>
      </c>
      <c r="H68" s="172">
        <v>-161489.039995097</v>
      </c>
      <c r="I68" s="172">
        <v>-26395.850009470101</v>
      </c>
      <c r="J68" s="172">
        <v>1795989.7467729601</v>
      </c>
      <c r="K68" s="172">
        <v>278246.150093793</v>
      </c>
      <c r="L68" s="172">
        <v>-1621510.7399051201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-4.6360145233848E-7</v>
      </c>
      <c r="H69" s="172">
        <v>-161489.03999510399</v>
      </c>
      <c r="I69" s="172">
        <v>-26395.850009473899</v>
      </c>
      <c r="J69" s="172">
        <v>1795989.74677287</v>
      </c>
      <c r="K69" s="172">
        <v>370631.62512694998</v>
      </c>
      <c r="L69" s="172">
        <v>-2186722.3798880801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1.0182338883168999E-7</v>
      </c>
      <c r="H70" s="172">
        <v>-27710.234440319098</v>
      </c>
      <c r="I70" s="172">
        <v>-161283.96148180499</v>
      </c>
      <c r="J70" s="172">
        <v>-1804941.35805145</v>
      </c>
      <c r="K70" s="172">
        <v>1637206.9031748699</v>
      </c>
      <c r="L70" s="172">
        <v>-290743.80466553703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9.8070813692174905E-8</v>
      </c>
      <c r="H71" s="172">
        <v>-27710.234440322802</v>
      </c>
      <c r="I71" s="172">
        <v>-161283.96148181701</v>
      </c>
      <c r="J71" s="172">
        <v>-1804941.3580517301</v>
      </c>
      <c r="K71" s="172">
        <v>2201700.7683612099</v>
      </c>
      <c r="L71" s="172">
        <v>-387729.62520655699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1.4052147889742601E-7</v>
      </c>
      <c r="H72" s="172">
        <v>-27710.2344392062</v>
      </c>
      <c r="I72" s="172">
        <v>-161283.96148242999</v>
      </c>
      <c r="J72" s="172">
        <v>-1437649.87926768</v>
      </c>
      <c r="K72" s="172">
        <v>1637206.9031803701</v>
      </c>
      <c r="L72" s="172">
        <v>-290743.80465708702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1.36519702209625E-7</v>
      </c>
      <c r="H73" s="172">
        <v>-27710.2344392091</v>
      </c>
      <c r="I73" s="172">
        <v>-161283.961482443</v>
      </c>
      <c r="J73" s="172">
        <v>-1437649.8792679999</v>
      </c>
      <c r="K73" s="172">
        <v>2201700.7683688998</v>
      </c>
      <c r="L73" s="172">
        <v>-387729.62519420602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4775361.19448826</v>
      </c>
      <c r="H74" s="172">
        <v>1.15449068971429E-7</v>
      </c>
      <c r="I74" s="172">
        <v>5.9317147105275602E-7</v>
      </c>
      <c r="J74" s="172">
        <v>5.7044377967940801E-6</v>
      </c>
      <c r="K74" s="172">
        <v>71117005.702405304</v>
      </c>
      <c r="L74" s="172">
        <v>-57994123.316687301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4891599.8858860601</v>
      </c>
      <c r="H75" s="172">
        <v>1.13406940727145E-7</v>
      </c>
      <c r="I75" s="172">
        <v>5.9420864317871704E-7</v>
      </c>
      <c r="J75" s="172">
        <v>5.7344509514223302E-6</v>
      </c>
      <c r="K75" s="172">
        <v>72573746.500573099</v>
      </c>
      <c r="L75" s="172">
        <v>-59712636.074534804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-2.6577981770969901E-7</v>
      </c>
      <c r="H76" s="172">
        <v>-177701.05982290799</v>
      </c>
      <c r="I76" s="172">
        <v>-28938.5676747582</v>
      </c>
      <c r="J76" s="172">
        <v>2456542.0081921699</v>
      </c>
      <c r="K76" s="172">
        <v>370631.32890185202</v>
      </c>
      <c r="L76" s="172">
        <v>-2186722.27079832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-2.6199126068604502E-7</v>
      </c>
      <c r="H77" s="172">
        <v>-177701.059822904</v>
      </c>
      <c r="I77" s="172">
        <v>-28938.5676747576</v>
      </c>
      <c r="J77" s="172">
        <v>2456542.0081921602</v>
      </c>
      <c r="K77" s="172">
        <v>471916.31576350197</v>
      </c>
      <c r="L77" s="172">
        <v>-2808675.9801785802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-2.8486851988418499E-7</v>
      </c>
      <c r="H78" s="172">
        <v>-177701.05999510401</v>
      </c>
      <c r="I78" s="172">
        <v>-28938.590010816799</v>
      </c>
      <c r="J78" s="172">
        <v>1979843.9079949399</v>
      </c>
      <c r="K78" s="172">
        <v>370631.62512734497</v>
      </c>
      <c r="L78" s="172">
        <v>-2186722.3798924498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-2.8119109174440398E-7</v>
      </c>
      <c r="H79" s="172">
        <v>-177701.05999510101</v>
      </c>
      <c r="I79" s="172">
        <v>-28938.590010814802</v>
      </c>
      <c r="J79" s="172">
        <v>1979843.90799497</v>
      </c>
      <c r="K79" s="172">
        <v>471916.69016519299</v>
      </c>
      <c r="L79" s="172">
        <v>-2808676.0898754098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1.3565386325353799E-7</v>
      </c>
      <c r="H80" s="172">
        <v>-30377.328682122901</v>
      </c>
      <c r="I80" s="172">
        <v>-177360.924210734</v>
      </c>
      <c r="J80" s="172">
        <v>-1983687.0062458301</v>
      </c>
      <c r="K80" s="172">
        <v>2201700.7683612299</v>
      </c>
      <c r="L80" s="172">
        <v>-387729.62520748097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1.28790816233959E-7</v>
      </c>
      <c r="H81" s="172">
        <v>-30377.3286821205</v>
      </c>
      <c r="I81" s="172">
        <v>-177360.92421073001</v>
      </c>
      <c r="J81" s="172">
        <v>-1983687.00624575</v>
      </c>
      <c r="K81" s="172">
        <v>2822464.0030987598</v>
      </c>
      <c r="L81" s="172">
        <v>-494050.27559471998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1.51196218212135E-7</v>
      </c>
      <c r="H82" s="172">
        <v>-30377.328681105701</v>
      </c>
      <c r="I82" s="172">
        <v>-177360.92421153499</v>
      </c>
      <c r="J82" s="172">
        <v>-1579379.4546195201</v>
      </c>
      <c r="K82" s="172">
        <v>2201700.76836887</v>
      </c>
      <c r="L82" s="172">
        <v>-387729.62519457698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1.4444776752498001E-7</v>
      </c>
      <c r="H83" s="172">
        <v>-30377.328681104002</v>
      </c>
      <c r="I83" s="172">
        <v>-177360.92421153301</v>
      </c>
      <c r="J83" s="172">
        <v>-1579379.4546194901</v>
      </c>
      <c r="K83" s="172">
        <v>2822464.0031092102</v>
      </c>
      <c r="L83" s="172">
        <v>-494050.27557826199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5599738.3021358997</v>
      </c>
      <c r="H84" s="172">
        <v>6.5904231405511395E-8</v>
      </c>
      <c r="I84" s="172">
        <v>6.6365448869731804E-7</v>
      </c>
      <c r="J84" s="172">
        <v>5.1505655278560897E-6</v>
      </c>
      <c r="K84" s="172">
        <v>83375521.209166601</v>
      </c>
      <c r="L84" s="172">
        <v>-68018281.168658495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5715976.9935336998</v>
      </c>
      <c r="H85" s="172">
        <v>6.40808366370038E-8</v>
      </c>
      <c r="I85" s="172">
        <v>6.6546823518365304E-7</v>
      </c>
      <c r="J85" s="172">
        <v>5.2002537813677901E-6</v>
      </c>
      <c r="K85" s="172">
        <v>84832262.007334307</v>
      </c>
      <c r="L85" s="172">
        <v>-69736793.926506102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-3.9731230572215303E-7</v>
      </c>
      <c r="H86" s="172">
        <v>-191540.439822685</v>
      </c>
      <c r="I86" s="172">
        <v>-31235.114979550901</v>
      </c>
      <c r="J86" s="172">
        <v>2649212.1255584699</v>
      </c>
      <c r="K86" s="172">
        <v>471916.31576320599</v>
      </c>
      <c r="L86" s="172">
        <v>-2808675.98017528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-3.9405654206348102E-7</v>
      </c>
      <c r="H87" s="172">
        <v>-191540.439822682</v>
      </c>
      <c r="I87" s="172">
        <v>-31235.114979550399</v>
      </c>
      <c r="J87" s="172">
        <v>2649212.1255584601</v>
      </c>
      <c r="K87" s="172">
        <v>581239.21819163603</v>
      </c>
      <c r="L87" s="172">
        <v>-3479067.5195547598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-4.3863087739737202E-7</v>
      </c>
      <c r="H88" s="172">
        <v>-191540.43999503</v>
      </c>
      <c r="I88" s="172">
        <v>-31235.140011514999</v>
      </c>
      <c r="J88" s="172">
        <v>2135407.6948700799</v>
      </c>
      <c r="K88" s="172">
        <v>471916.690164842</v>
      </c>
      <c r="L88" s="172">
        <v>-2808676.0898715602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-4.3579936459536802E-7</v>
      </c>
      <c r="H89" s="172">
        <v>-191540.43999502601</v>
      </c>
      <c r="I89" s="172">
        <v>-31235.140011515901</v>
      </c>
      <c r="J89" s="172">
        <v>2135407.6948700398</v>
      </c>
      <c r="K89" s="172">
        <v>581239.68020515004</v>
      </c>
      <c r="L89" s="172">
        <v>-3479067.62985424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1.1335396266076701E-7</v>
      </c>
      <c r="H90" s="172">
        <v>-32814.823482958403</v>
      </c>
      <c r="I90" s="172">
        <v>-191300.29580565399</v>
      </c>
      <c r="J90" s="172">
        <v>-2136639.7280349899</v>
      </c>
      <c r="K90" s="172">
        <v>2822464.00309869</v>
      </c>
      <c r="L90" s="172">
        <v>-494050.27559432999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1.11857843876351E-7</v>
      </c>
      <c r="H91" s="172">
        <v>-32814.823482956497</v>
      </c>
      <c r="I91" s="172">
        <v>-191300.29580566401</v>
      </c>
      <c r="J91" s="172">
        <v>-2136639.72803526</v>
      </c>
      <c r="K91" s="172">
        <v>3492015.0384185002</v>
      </c>
      <c r="L91" s="172">
        <v>-608902.15778464195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1.4886063581798199E-7</v>
      </c>
      <c r="H92" s="172">
        <v>-32814.823481813102</v>
      </c>
      <c r="I92" s="172">
        <v>-191300.29580652999</v>
      </c>
      <c r="J92" s="172">
        <v>-1700631.5602770799</v>
      </c>
      <c r="K92" s="172">
        <v>2822464.0031091901</v>
      </c>
      <c r="L92" s="172">
        <v>-494050.275578361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1.47058017319068E-7</v>
      </c>
      <c r="H93" s="172">
        <v>-32814.8234818118</v>
      </c>
      <c r="I93" s="172">
        <v>-191300.29580654099</v>
      </c>
      <c r="J93" s="172">
        <v>-1700631.56027737</v>
      </c>
      <c r="K93" s="172">
        <v>3492015.0384320598</v>
      </c>
      <c r="L93" s="172">
        <v>-608902.15776465798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6424115.4097834704</v>
      </c>
      <c r="H94" s="172">
        <v>1.10445682821592E-7</v>
      </c>
      <c r="I94" s="172">
        <v>7.0057658208000404E-7</v>
      </c>
      <c r="J94" s="172">
        <v>4.1824044956229003E-6</v>
      </c>
      <c r="K94" s="172">
        <v>95634036.715927005</v>
      </c>
      <c r="L94" s="172">
        <v>-78042439.020629093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6540354.1011812799</v>
      </c>
      <c r="H95" s="172">
        <v>1.0951418971672001E-7</v>
      </c>
      <c r="I95" s="172">
        <v>7.0149536668395698E-7</v>
      </c>
      <c r="J95" s="172">
        <v>4.2073550048371502E-6</v>
      </c>
      <c r="K95" s="172">
        <v>97090777.514094502</v>
      </c>
      <c r="L95" s="172">
        <v>-79760951.778476596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-3.70218572243175E-7</v>
      </c>
      <c r="H96" s="172">
        <v>-202184.70913261399</v>
      </c>
      <c r="I96" s="172">
        <v>-33133.404980466701</v>
      </c>
      <c r="J96" s="172">
        <v>2795578.3877281598</v>
      </c>
      <c r="K96" s="172">
        <v>581239.21819153195</v>
      </c>
      <c r="L96" s="172">
        <v>-3479067.5195553801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-3.6901758448948401E-7</v>
      </c>
      <c r="H97" s="172">
        <v>-202184.70913260401</v>
      </c>
      <c r="I97" s="172">
        <v>-33133.404980466199</v>
      </c>
      <c r="J97" s="172">
        <v>2795578.3877281598</v>
      </c>
      <c r="K97" s="172">
        <v>697206.13562316506</v>
      </c>
      <c r="L97" s="172">
        <v>-4186714.0015195399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-4.0532108869228999E-7</v>
      </c>
      <c r="H98" s="172">
        <v>-202184.70999499099</v>
      </c>
      <c r="I98" s="172">
        <v>-33133.430012328303</v>
      </c>
      <c r="J98" s="172">
        <v>2253607.1869669398</v>
      </c>
      <c r="K98" s="172">
        <v>581239.68020503398</v>
      </c>
      <c r="L98" s="172">
        <v>-3479067.6298550102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-4.0361106812269998E-7</v>
      </c>
      <c r="H99" s="172">
        <v>-202184.709994979</v>
      </c>
      <c r="I99" s="172">
        <v>-33133.430012327502</v>
      </c>
      <c r="J99" s="172">
        <v>2253607.1869669398</v>
      </c>
      <c r="K99" s="172">
        <v>697206.68524818204</v>
      </c>
      <c r="L99" s="172">
        <v>-4186714.1148374998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1.03578713606112E-7</v>
      </c>
      <c r="H100" s="172">
        <v>-34859.215063842203</v>
      </c>
      <c r="I100" s="172">
        <v>-202132.19330102799</v>
      </c>
      <c r="J100" s="172">
        <v>-2253058.4750462398</v>
      </c>
      <c r="K100" s="172">
        <v>3492015.0384184001</v>
      </c>
      <c r="L100" s="172">
        <v>-608902.15778449702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1.00958459370304E-7</v>
      </c>
      <c r="H101" s="172">
        <v>-34859.215063838899</v>
      </c>
      <c r="I101" s="172">
        <v>-202132.193301027</v>
      </c>
      <c r="J101" s="172">
        <v>-2253058.4750462398</v>
      </c>
      <c r="K101" s="172">
        <v>4199477.7149719801</v>
      </c>
      <c r="L101" s="172">
        <v>-730909.41050786804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1.3297722034622E-7</v>
      </c>
      <c r="H102" s="172">
        <v>-34859.215062670897</v>
      </c>
      <c r="I102" s="172">
        <v>-202132.193301994</v>
      </c>
      <c r="J102" s="172">
        <v>-1792890.0303508299</v>
      </c>
      <c r="K102" s="172">
        <v>3492015.0384319699</v>
      </c>
      <c r="L102" s="172">
        <v>-608902.15776437498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1.30496118799783E-7</v>
      </c>
      <c r="H103" s="172">
        <v>-34859.2150626695</v>
      </c>
      <c r="I103" s="172">
        <v>-202132.193301994</v>
      </c>
      <c r="J103" s="172">
        <v>-1792890.0303508299</v>
      </c>
      <c r="K103" s="172">
        <v>4199477.7149889404</v>
      </c>
      <c r="L103" s="172">
        <v>-730909.41048365505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7248492.5174312303</v>
      </c>
      <c r="H104" s="172">
        <v>9.7143868060811695E-8</v>
      </c>
      <c r="I104" s="172">
        <v>7.3819103799110899E-7</v>
      </c>
      <c r="J104" s="172">
        <v>3.75544925645954E-6</v>
      </c>
      <c r="K104" s="172">
        <v>107892552.222688</v>
      </c>
      <c r="L104" s="172">
        <v>-88066596.872603402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7364731.2088290304</v>
      </c>
      <c r="H105" s="172">
        <v>9.6847657005127998E-8</v>
      </c>
      <c r="I105" s="172">
        <v>7.39034078378609E-7</v>
      </c>
      <c r="J105" s="172">
        <v>3.7776092085550802E-6</v>
      </c>
      <c r="K105" s="172">
        <v>109349293.02085599</v>
      </c>
      <c r="L105" s="172">
        <v>-89785109.630450904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-4.00386738874658E-7</v>
      </c>
      <c r="H106" s="172">
        <v>-208150.04029521099</v>
      </c>
      <c r="I106" s="172">
        <v>-34227.464980866302</v>
      </c>
      <c r="J106" s="172">
        <v>2876957.02422811</v>
      </c>
      <c r="K106" s="172">
        <v>697206.13562316995</v>
      </c>
      <c r="L106" s="172">
        <v>-4186714.0015187901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-4.0097029341268401E-7</v>
      </c>
      <c r="H107" s="172">
        <v>-208150.040295207</v>
      </c>
      <c r="I107" s="172">
        <v>-34227.464980865698</v>
      </c>
      <c r="J107" s="172">
        <v>2876957.02422811</v>
      </c>
      <c r="K107" s="172">
        <v>834115.99554663303</v>
      </c>
      <c r="L107" s="172">
        <v>-5019314.16269961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-4.4229386730876301E-7</v>
      </c>
      <c r="H108" s="172">
        <v>-208150.03999461199</v>
      </c>
      <c r="I108" s="172">
        <v>-34227.490012682902</v>
      </c>
      <c r="J108" s="172">
        <v>2319285.73464781</v>
      </c>
      <c r="K108" s="172">
        <v>697206.68524818798</v>
      </c>
      <c r="L108" s="172">
        <v>-4186714.1148365601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-4.4323485326458499E-7</v>
      </c>
      <c r="H109" s="172">
        <v>-208150.03999460599</v>
      </c>
      <c r="I109" s="172">
        <v>-34227.490012682203</v>
      </c>
      <c r="J109" s="172">
        <v>2319285.7346478198</v>
      </c>
      <c r="K109" s="172">
        <v>834116.64529891603</v>
      </c>
      <c r="L109" s="172">
        <v>-5019314.2748149699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9.4208189693745199E-8</v>
      </c>
      <c r="H110" s="172">
        <v>-36066.691515733903</v>
      </c>
      <c r="I110" s="172">
        <v>-208150.03766743999</v>
      </c>
      <c r="J110" s="172">
        <v>-2316855.1590980701</v>
      </c>
      <c r="K110" s="172">
        <v>4199477.7149719</v>
      </c>
      <c r="L110" s="172">
        <v>-730909.41050774301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9.3541530077345696E-8</v>
      </c>
      <c r="H111" s="172">
        <v>-36066.6915157322</v>
      </c>
      <c r="I111" s="172">
        <v>-208150.037667439</v>
      </c>
      <c r="J111" s="172">
        <v>-2316855.1590980599</v>
      </c>
      <c r="K111" s="172">
        <v>5032077.8656416601</v>
      </c>
      <c r="L111" s="172">
        <v>-875176.17657065601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1.30307853396516E-7</v>
      </c>
      <c r="H112" s="172">
        <v>-36066.691514542203</v>
      </c>
      <c r="I112" s="172">
        <v>-208150.03766844299</v>
      </c>
      <c r="J112" s="172">
        <v>-1843489.8548983801</v>
      </c>
      <c r="K112" s="172">
        <v>4199477.7149888603</v>
      </c>
      <c r="L112" s="172">
        <v>-730909.41048369603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1.29665750137065E-7</v>
      </c>
      <c r="H113" s="172">
        <v>-36066.691514541402</v>
      </c>
      <c r="I113" s="172">
        <v>-208150.03766844299</v>
      </c>
      <c r="J113" s="172">
        <v>-1843489.8548983701</v>
      </c>
      <c r="K113" s="172">
        <v>5032077.8656626297</v>
      </c>
      <c r="L113" s="172">
        <v>-875176.17654184496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8294944.6250789501</v>
      </c>
      <c r="H114" s="172">
        <v>1.2691793926933299E-7</v>
      </c>
      <c r="I114" s="172">
        <v>7.5735701443591097E-7</v>
      </c>
      <c r="J114" s="172">
        <v>3.8079042496974601E-6</v>
      </c>
      <c r="K114" s="172">
        <v>123593230.229449</v>
      </c>
      <c r="L114" s="172">
        <v>-100644617.22457699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8425266.8406871203</v>
      </c>
      <c r="H115" s="172">
        <v>1.28059809867409E-7</v>
      </c>
      <c r="I115" s="172">
        <v>7.5761977313959495E-7</v>
      </c>
      <c r="J115" s="172">
        <v>3.81341260435875E-6</v>
      </c>
      <c r="K115" s="172">
        <v>125253518.92887899</v>
      </c>
      <c r="L115" s="172">
        <v>-102541927.185473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323" workbookViewId="0">
      <selection activeCell="B468" sqref="B468:G488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2.4272016453386301E-2</v>
      </c>
      <c r="F6" s="172">
        <v>2.3708306492626698E-2</v>
      </c>
      <c r="G6" s="172">
        <v>1.0237768969679499</v>
      </c>
    </row>
    <row r="7" spans="2:7" s="172" customFormat="1" hidden="1" x14ac:dyDescent="0.3">
      <c r="B7" s="172" t="s">
        <v>189</v>
      </c>
      <c r="C7" s="172" t="s">
        <v>79</v>
      </c>
      <c r="D7" s="172" t="s">
        <v>221</v>
      </c>
      <c r="E7" s="172">
        <v>3.0866472721884802E-3</v>
      </c>
      <c r="F7" s="172">
        <v>2.3820098212388998E-3</v>
      </c>
      <c r="G7" s="172">
        <v>1.2958163499859501</v>
      </c>
    </row>
    <row r="8" spans="2:7" s="172" customFormat="1" x14ac:dyDescent="0.3">
      <c r="B8" s="172" t="s">
        <v>187</v>
      </c>
      <c r="C8" s="172" t="s">
        <v>79</v>
      </c>
      <c r="D8" s="172" t="s">
        <v>218</v>
      </c>
      <c r="E8" s="172">
        <v>3.05748600321551E-2</v>
      </c>
      <c r="F8" s="172">
        <v>2.6298550442528799E-2</v>
      </c>
      <c r="G8" s="172">
        <v>1.16260628504873</v>
      </c>
    </row>
    <row r="9" spans="2:7" s="172" customFormat="1" hidden="1" x14ac:dyDescent="0.3">
      <c r="B9" s="172" t="s">
        <v>187</v>
      </c>
      <c r="C9" s="172" t="s">
        <v>79</v>
      </c>
      <c r="D9" s="172" t="s">
        <v>221</v>
      </c>
      <c r="E9" s="172">
        <v>9.0813034713860003E-3</v>
      </c>
      <c r="F9" s="172">
        <v>5.2188302936590197E-3</v>
      </c>
      <c r="G9" s="172">
        <v>1.74010323394113</v>
      </c>
    </row>
    <row r="10" spans="2:7" s="172" customFormat="1" x14ac:dyDescent="0.3">
      <c r="B10" s="172" t="s">
        <v>185</v>
      </c>
      <c r="C10" s="172" t="s">
        <v>79</v>
      </c>
      <c r="D10" s="172" t="s">
        <v>218</v>
      </c>
      <c r="E10" s="172">
        <v>2.95293143602623E-2</v>
      </c>
      <c r="F10" s="172">
        <v>2.5238880095989701E-2</v>
      </c>
      <c r="G10" s="172">
        <v>1.1699930523048201</v>
      </c>
    </row>
    <row r="11" spans="2:7" s="172" customFormat="1" hidden="1" x14ac:dyDescent="0.3">
      <c r="B11" s="172" t="s">
        <v>185</v>
      </c>
      <c r="C11" s="172" t="s">
        <v>79</v>
      </c>
      <c r="D11" s="172" t="s">
        <v>221</v>
      </c>
      <c r="E11" s="172">
        <v>8.85151188566001E-3</v>
      </c>
      <c r="F11" s="172">
        <v>4.9762809372847798E-3</v>
      </c>
      <c r="G11" s="172">
        <v>1.7787403880958701</v>
      </c>
    </row>
    <row r="12" spans="2:7" s="172" customFormat="1" x14ac:dyDescent="0.3">
      <c r="B12" s="172" t="s">
        <v>183</v>
      </c>
      <c r="C12" s="172" t="s">
        <v>79</v>
      </c>
      <c r="D12" s="172" t="s">
        <v>218</v>
      </c>
      <c r="E12" s="172">
        <v>2.7769948154111799E-2</v>
      </c>
      <c r="F12" s="172">
        <v>2.3598295760523299E-2</v>
      </c>
      <c r="G12" s="172">
        <v>1.1767776976745501</v>
      </c>
    </row>
    <row r="13" spans="2:7" s="172" customFormat="1" hidden="1" x14ac:dyDescent="0.3">
      <c r="B13" s="172" t="s">
        <v>183</v>
      </c>
      <c r="C13" s="172" t="s">
        <v>79</v>
      </c>
      <c r="D13" s="172" t="s">
        <v>221</v>
      </c>
      <c r="E13" s="172">
        <v>8.3892254946044704E-3</v>
      </c>
      <c r="F13" s="172">
        <v>4.6212813971697204E-3</v>
      </c>
      <c r="G13" s="172">
        <v>1.8153461721119999</v>
      </c>
    </row>
    <row r="14" spans="2:7" s="172" customFormat="1" x14ac:dyDescent="0.3">
      <c r="B14" s="172" t="s">
        <v>181</v>
      </c>
      <c r="C14" s="172" t="s">
        <v>79</v>
      </c>
      <c r="D14" s="172" t="s">
        <v>218</v>
      </c>
      <c r="E14" s="172">
        <v>2.5325432732021199E-2</v>
      </c>
      <c r="F14" s="172">
        <v>2.1422908566507699E-2</v>
      </c>
      <c r="G14" s="172">
        <v>1.1821659348168401</v>
      </c>
    </row>
    <row r="15" spans="2:7" hidden="1" x14ac:dyDescent="0.3">
      <c r="B15" s="172" t="s">
        <v>181</v>
      </c>
      <c r="C15" s="172" t="s">
        <v>79</v>
      </c>
      <c r="D15" s="172" t="s">
        <v>221</v>
      </c>
      <c r="E15" s="172">
        <v>7.6911739590836701E-3</v>
      </c>
      <c r="F15" s="172">
        <v>4.1663134224908501E-3</v>
      </c>
      <c r="G15" s="172">
        <v>1.8460382547229199</v>
      </c>
    </row>
    <row r="16" spans="2:7" x14ac:dyDescent="0.3">
      <c r="B16" s="172" t="s">
        <v>179</v>
      </c>
      <c r="C16" s="172" t="s">
        <v>79</v>
      </c>
      <c r="D16" s="172" t="s">
        <v>218</v>
      </c>
      <c r="E16" s="172">
        <v>2.22996853191911E-2</v>
      </c>
      <c r="F16" s="172">
        <v>1.8798384081439301E-2</v>
      </c>
      <c r="G16" s="172">
        <v>1.18625543677495</v>
      </c>
    </row>
    <row r="17" spans="2:7" hidden="1" x14ac:dyDescent="0.3">
      <c r="B17" s="172" t="s">
        <v>179</v>
      </c>
      <c r="C17" s="172" t="s">
        <v>79</v>
      </c>
      <c r="D17" s="172" t="s">
        <v>221</v>
      </c>
      <c r="E17" s="172">
        <v>6.7929457252049697E-3</v>
      </c>
      <c r="F17" s="172">
        <v>3.6304800911066601E-3</v>
      </c>
      <c r="G17" s="172">
        <v>1.8710874470418399</v>
      </c>
    </row>
    <row r="18" spans="2:7" x14ac:dyDescent="0.3">
      <c r="B18" s="172" t="s">
        <v>39</v>
      </c>
      <c r="C18" s="172" t="s">
        <v>79</v>
      </c>
      <c r="D18" s="172" t="s">
        <v>218</v>
      </c>
      <c r="E18" s="172">
        <v>1.8819109718254502E-2</v>
      </c>
      <c r="F18" s="172">
        <v>1.58254076901925E-2</v>
      </c>
      <c r="G18" s="172">
        <v>1.18917061011435</v>
      </c>
    </row>
    <row r="19" spans="2:7" hidden="1" x14ac:dyDescent="0.3">
      <c r="B19" s="172" t="s">
        <v>39</v>
      </c>
      <c r="C19" s="172" t="s">
        <v>79</v>
      </c>
      <c r="D19" s="172" t="s">
        <v>221</v>
      </c>
      <c r="E19" s="172">
        <v>5.7389834019334098E-3</v>
      </c>
      <c r="F19" s="172">
        <v>3.0349944733612999E-3</v>
      </c>
      <c r="G19" s="172">
        <v>1.8909370189321599</v>
      </c>
    </row>
    <row r="20" spans="2:7" x14ac:dyDescent="0.3">
      <c r="B20" s="172" t="s">
        <v>26</v>
      </c>
      <c r="C20" s="172" t="s">
        <v>79</v>
      </c>
      <c r="D20" s="172" t="s">
        <v>218</v>
      </c>
      <c r="E20" s="172">
        <v>1.51402189021897E-2</v>
      </c>
      <c r="F20" s="172">
        <v>1.26980951008393E-2</v>
      </c>
      <c r="G20" s="172">
        <v>1.19232205948662</v>
      </c>
    </row>
    <row r="21" spans="2:7" hidden="1" x14ac:dyDescent="0.3">
      <c r="B21" s="172" t="s">
        <v>26</v>
      </c>
      <c r="C21" s="172" t="s">
        <v>79</v>
      </c>
      <c r="D21" s="172" t="s">
        <v>221</v>
      </c>
      <c r="E21" s="172">
        <v>4.6203234191984997E-3</v>
      </c>
      <c r="F21" s="172">
        <v>2.4145341792691098E-3</v>
      </c>
      <c r="G21" s="172">
        <v>1.9135464964083</v>
      </c>
    </row>
    <row r="22" spans="2:7" x14ac:dyDescent="0.3">
      <c r="B22" s="172" t="s">
        <v>25</v>
      </c>
      <c r="C22" s="172" t="s">
        <v>79</v>
      </c>
      <c r="D22" s="172" t="s">
        <v>218</v>
      </c>
      <c r="E22" s="172">
        <v>1.1350115429103301E-2</v>
      </c>
      <c r="F22" s="172">
        <v>9.4894552323310094E-3</v>
      </c>
      <c r="G22" s="172">
        <v>1.1960766083212999</v>
      </c>
    </row>
    <row r="23" spans="2:7" hidden="1" x14ac:dyDescent="0.3">
      <c r="B23" s="172" t="s">
        <v>25</v>
      </c>
      <c r="C23" s="172" t="s">
        <v>79</v>
      </c>
      <c r="D23" s="172" t="s">
        <v>221</v>
      </c>
      <c r="E23" s="172">
        <v>3.46242762613905E-3</v>
      </c>
      <c r="F23" s="172">
        <v>1.7818313193770101E-3</v>
      </c>
      <c r="G23" s="172">
        <v>1.94318485060058</v>
      </c>
    </row>
    <row r="24" spans="2:7" x14ac:dyDescent="0.3">
      <c r="B24" s="172" t="s">
        <v>24</v>
      </c>
      <c r="C24" s="172" t="s">
        <v>79</v>
      </c>
      <c r="D24" s="172" t="s">
        <v>218</v>
      </c>
      <c r="E24" s="172">
        <v>7.3723611018724298E-3</v>
      </c>
      <c r="F24" s="172">
        <v>6.1601065733771698E-3</v>
      </c>
      <c r="G24" s="172">
        <v>1.19679116165529</v>
      </c>
    </row>
    <row r="25" spans="2:7" hidden="1" x14ac:dyDescent="0.3">
      <c r="B25" s="172" t="s">
        <v>24</v>
      </c>
      <c r="C25" s="172" t="s">
        <v>79</v>
      </c>
      <c r="D25" s="172" t="s">
        <v>221</v>
      </c>
      <c r="E25" s="172">
        <v>2.2278504471669302E-3</v>
      </c>
      <c r="F25" s="172">
        <v>1.13291087304217E-3</v>
      </c>
      <c r="G25" s="172">
        <v>1.96648341911005</v>
      </c>
    </row>
    <row r="26" spans="2:7" x14ac:dyDescent="0.3">
      <c r="B26" s="172" t="s">
        <v>22</v>
      </c>
      <c r="C26" s="172" t="s">
        <v>79</v>
      </c>
      <c r="D26" s="172" t="s">
        <v>218</v>
      </c>
      <c r="E26" s="172">
        <v>3.3540247175554302E-3</v>
      </c>
      <c r="F26" s="172">
        <v>2.8241680711001702E-3</v>
      </c>
      <c r="G26" s="172">
        <v>1.1876151252743401</v>
      </c>
    </row>
    <row r="27" spans="2:7" hidden="1" x14ac:dyDescent="0.3">
      <c r="B27" s="172" t="s">
        <v>22</v>
      </c>
      <c r="C27" s="172" t="s">
        <v>79</v>
      </c>
      <c r="D27" s="172" t="s">
        <v>221</v>
      </c>
      <c r="E27" s="172">
        <v>9.7678834355229309E-4</v>
      </c>
      <c r="F27" s="172">
        <v>4.9820814675399598E-4</v>
      </c>
      <c r="G27" s="172">
        <v>1.9606029124903299</v>
      </c>
    </row>
    <row r="28" spans="2:7" hidden="1" x14ac:dyDescent="0.3">
      <c r="B28" s="172" t="s">
        <v>189</v>
      </c>
      <c r="C28" s="172" t="s">
        <v>80</v>
      </c>
      <c r="D28" s="172" t="s">
        <v>218</v>
      </c>
      <c r="E28" s="172">
        <v>2.8385699246985599E-2</v>
      </c>
      <c r="F28" s="172">
        <v>2.8205107174070598E-2</v>
      </c>
      <c r="G28" s="172">
        <v>1.00640281463213</v>
      </c>
    </row>
    <row r="29" spans="2:7" hidden="1" x14ac:dyDescent="0.3">
      <c r="B29" s="172" t="s">
        <v>189</v>
      </c>
      <c r="C29" s="172" t="s">
        <v>80</v>
      </c>
      <c r="D29" s="172" t="s">
        <v>221</v>
      </c>
      <c r="E29" s="172">
        <v>7.3945114611826002E-3</v>
      </c>
      <c r="F29" s="172">
        <v>7.1687713700389301E-3</v>
      </c>
      <c r="G29" s="172">
        <v>1.0314893695853</v>
      </c>
    </row>
    <row r="30" spans="2:7" hidden="1" x14ac:dyDescent="0.3">
      <c r="B30" s="172" t="s">
        <v>187</v>
      </c>
      <c r="C30" s="172" t="s">
        <v>80</v>
      </c>
      <c r="D30" s="172" t="s">
        <v>218</v>
      </c>
      <c r="E30" s="172">
        <v>2.7070800151274398E-2</v>
      </c>
      <c r="F30" s="172">
        <v>2.5690176845514001E-2</v>
      </c>
      <c r="G30" s="172">
        <v>1.0537412924038101</v>
      </c>
    </row>
    <row r="31" spans="2:7" hidden="1" x14ac:dyDescent="0.3">
      <c r="B31" s="172" t="s">
        <v>187</v>
      </c>
      <c r="C31" s="172" t="s">
        <v>80</v>
      </c>
      <c r="D31" s="172" t="s">
        <v>221</v>
      </c>
      <c r="E31" s="172">
        <v>6.8322935779473399E-3</v>
      </c>
      <c r="F31" s="172">
        <v>5.5852789791960202E-3</v>
      </c>
      <c r="G31" s="172">
        <v>1.2232680951831001</v>
      </c>
    </row>
    <row r="32" spans="2:7" hidden="1" x14ac:dyDescent="0.3">
      <c r="B32" s="172" t="s">
        <v>185</v>
      </c>
      <c r="C32" s="172" t="s">
        <v>80</v>
      </c>
      <c r="D32" s="172" t="s">
        <v>218</v>
      </c>
      <c r="E32" s="172">
        <v>2.5755918614750201E-2</v>
      </c>
      <c r="F32" s="172">
        <v>2.46362727212069E-2</v>
      </c>
      <c r="G32" s="172">
        <v>1.0454470490002099</v>
      </c>
    </row>
    <row r="33" spans="2:7" hidden="1" x14ac:dyDescent="0.3">
      <c r="B33" s="172" t="s">
        <v>185</v>
      </c>
      <c r="C33" s="172" t="s">
        <v>80</v>
      </c>
      <c r="D33" s="172" t="s">
        <v>221</v>
      </c>
      <c r="E33" s="172">
        <v>6.3047731812935796E-3</v>
      </c>
      <c r="F33" s="172">
        <v>5.2934801161577004E-3</v>
      </c>
      <c r="G33" s="172">
        <v>1.1910450295352999</v>
      </c>
    </row>
    <row r="34" spans="2:7" hidden="1" x14ac:dyDescent="0.3">
      <c r="B34" s="172" t="s">
        <v>183</v>
      </c>
      <c r="C34" s="172" t="s">
        <v>80</v>
      </c>
      <c r="D34" s="172" t="s">
        <v>218</v>
      </c>
      <c r="E34" s="172">
        <v>2.3880868882698299E-2</v>
      </c>
      <c r="F34" s="172">
        <v>2.3018234469407699E-2</v>
      </c>
      <c r="G34" s="172">
        <v>1.03747613286489</v>
      </c>
    </row>
    <row r="35" spans="2:7" hidden="1" x14ac:dyDescent="0.3">
      <c r="B35" s="172" t="s">
        <v>183</v>
      </c>
      <c r="C35" s="172" t="s">
        <v>80</v>
      </c>
      <c r="D35" s="172" t="s">
        <v>221</v>
      </c>
      <c r="E35" s="172">
        <v>5.6663583972459504E-3</v>
      </c>
      <c r="F35" s="172">
        <v>4.8872047336285902E-3</v>
      </c>
      <c r="G35" s="172">
        <v>1.15942726079308</v>
      </c>
    </row>
    <row r="36" spans="2:7" hidden="1" x14ac:dyDescent="0.3">
      <c r="B36" s="172" t="s">
        <v>181</v>
      </c>
      <c r="C36" s="172" t="s">
        <v>80</v>
      </c>
      <c r="D36" s="172" t="s">
        <v>218</v>
      </c>
      <c r="E36" s="172">
        <v>2.1524770505324298E-2</v>
      </c>
      <c r="F36" s="172">
        <v>2.08847623919407E-2</v>
      </c>
      <c r="G36" s="172">
        <v>1.03064473999621</v>
      </c>
    </row>
    <row r="37" spans="2:7" hidden="1" x14ac:dyDescent="0.3">
      <c r="B37" s="172" t="s">
        <v>181</v>
      </c>
      <c r="C37" s="172" t="s">
        <v>80</v>
      </c>
      <c r="D37" s="172" t="s">
        <v>221</v>
      </c>
      <c r="E37" s="172">
        <v>4.9624677545116796E-3</v>
      </c>
      <c r="F37" s="172">
        <v>4.3843959101652003E-3</v>
      </c>
      <c r="G37" s="172">
        <v>1.1318475466611599</v>
      </c>
    </row>
    <row r="38" spans="2:7" hidden="1" x14ac:dyDescent="0.3">
      <c r="B38" s="172" t="s">
        <v>179</v>
      </c>
      <c r="C38" s="172" t="s">
        <v>80</v>
      </c>
      <c r="D38" s="172" t="s">
        <v>218</v>
      </c>
      <c r="E38" s="172">
        <v>1.8771594071968298E-2</v>
      </c>
      <c r="F38" s="172">
        <v>1.8319219656981401E-2</v>
      </c>
      <c r="G38" s="172">
        <v>1.0246939784258</v>
      </c>
    </row>
    <row r="39" spans="2:7" hidden="1" x14ac:dyDescent="0.3">
      <c r="B39" s="172" t="s">
        <v>179</v>
      </c>
      <c r="C39" s="172" t="s">
        <v>80</v>
      </c>
      <c r="D39" s="172" t="s">
        <v>221</v>
      </c>
      <c r="E39" s="172">
        <v>4.2134693269881398E-3</v>
      </c>
      <c r="F39" s="172">
        <v>3.8048730811935101E-3</v>
      </c>
      <c r="G39" s="172">
        <v>1.1073876150598101</v>
      </c>
    </row>
    <row r="40" spans="2:7" hidden="1" x14ac:dyDescent="0.3">
      <c r="B40" s="172" t="s">
        <v>39</v>
      </c>
      <c r="C40" s="172" t="s">
        <v>80</v>
      </c>
      <c r="D40" s="172" t="s">
        <v>218</v>
      </c>
      <c r="E40" s="172">
        <v>1.57164722306396E-2</v>
      </c>
      <c r="F40" s="172">
        <v>1.54181866573433E-2</v>
      </c>
      <c r="G40" s="172">
        <v>1.01934634596956</v>
      </c>
    </row>
    <row r="41" spans="2:7" hidden="1" x14ac:dyDescent="0.3">
      <c r="B41" s="172" t="s">
        <v>39</v>
      </c>
      <c r="C41" s="172" t="s">
        <v>80</v>
      </c>
      <c r="D41" s="172" t="s">
        <v>221</v>
      </c>
      <c r="E41" s="172">
        <v>3.43838710361106E-3</v>
      </c>
      <c r="F41" s="172">
        <v>3.1689678761176701E-3</v>
      </c>
      <c r="G41" s="172">
        <v>1.0850179736827901</v>
      </c>
    </row>
    <row r="42" spans="2:7" hidden="1" x14ac:dyDescent="0.3">
      <c r="B42" s="172" t="s">
        <v>26</v>
      </c>
      <c r="C42" s="172" t="s">
        <v>80</v>
      </c>
      <c r="D42" s="172" t="s">
        <v>218</v>
      </c>
      <c r="E42" s="172">
        <v>1.2549902046726799E-2</v>
      </c>
      <c r="F42" s="172">
        <v>1.2367887159503901E-2</v>
      </c>
      <c r="G42" s="172">
        <v>1.0147167325247599</v>
      </c>
    </row>
    <row r="43" spans="2:7" hidden="1" x14ac:dyDescent="0.3">
      <c r="B43" s="172" t="s">
        <v>26</v>
      </c>
      <c r="C43" s="172" t="s">
        <v>80</v>
      </c>
      <c r="D43" s="172" t="s">
        <v>221</v>
      </c>
      <c r="E43" s="172">
        <v>2.6754072708742201E-3</v>
      </c>
      <c r="F43" s="172">
        <v>2.5110067275761899E-3</v>
      </c>
      <c r="G43" s="172">
        <v>1.0654719644884101</v>
      </c>
    </row>
    <row r="44" spans="2:7" hidden="1" x14ac:dyDescent="0.3">
      <c r="B44" s="172" t="s">
        <v>25</v>
      </c>
      <c r="C44" s="172" t="s">
        <v>80</v>
      </c>
      <c r="D44" s="172" t="s">
        <v>218</v>
      </c>
      <c r="E44" s="172">
        <v>9.3472644735148099E-3</v>
      </c>
      <c r="F44" s="172">
        <v>9.2401001318968695E-3</v>
      </c>
      <c r="G44" s="172">
        <v>1.01159774678718</v>
      </c>
    </row>
    <row r="45" spans="2:7" hidden="1" x14ac:dyDescent="0.3">
      <c r="B45" s="172" t="s">
        <v>25</v>
      </c>
      <c r="C45" s="172" t="s">
        <v>80</v>
      </c>
      <c r="D45" s="172" t="s">
        <v>221</v>
      </c>
      <c r="E45" s="172">
        <v>1.9420626615258699E-3</v>
      </c>
      <c r="F45" s="172">
        <v>1.84526906264516E-3</v>
      </c>
      <c r="G45" s="172">
        <v>1.05245500552747</v>
      </c>
    </row>
    <row r="46" spans="2:7" hidden="1" x14ac:dyDescent="0.3">
      <c r="B46" s="172" t="s">
        <v>24</v>
      </c>
      <c r="C46" s="172" t="s">
        <v>80</v>
      </c>
      <c r="D46" s="172" t="s">
        <v>218</v>
      </c>
      <c r="E46" s="172">
        <v>6.0795887508182699E-3</v>
      </c>
      <c r="F46" s="172">
        <v>5.9996576273331397E-3</v>
      </c>
      <c r="G46" s="172">
        <v>1.0133226141306799</v>
      </c>
    </row>
    <row r="47" spans="2:7" hidden="1" x14ac:dyDescent="0.3">
      <c r="B47" s="172" t="s">
        <v>24</v>
      </c>
      <c r="C47" s="172" t="s">
        <v>80</v>
      </c>
      <c r="D47" s="172" t="s">
        <v>221</v>
      </c>
      <c r="E47" s="172">
        <v>1.2433787589145901E-3</v>
      </c>
      <c r="F47" s="172">
        <v>1.17118290544415E-3</v>
      </c>
      <c r="G47" s="172">
        <v>1.06164353418654</v>
      </c>
    </row>
    <row r="48" spans="2:7" hidden="1" x14ac:dyDescent="0.3">
      <c r="B48" s="172" t="s">
        <v>22</v>
      </c>
      <c r="C48" s="172" t="s">
        <v>80</v>
      </c>
      <c r="D48" s="172" t="s">
        <v>218</v>
      </c>
      <c r="E48" s="172">
        <v>2.8391696992427799E-3</v>
      </c>
      <c r="F48" s="172">
        <v>2.7560800238638299E-3</v>
      </c>
      <c r="G48" s="172">
        <v>1.0301477731631601</v>
      </c>
    </row>
    <row r="49" spans="2:7" hidden="1" x14ac:dyDescent="0.3">
      <c r="B49" s="172" t="s">
        <v>22</v>
      </c>
      <c r="C49" s="172" t="s">
        <v>80</v>
      </c>
      <c r="D49" s="172" t="s">
        <v>221</v>
      </c>
      <c r="E49" s="172">
        <v>5.9472401036384198E-4</v>
      </c>
      <c r="F49" s="172">
        <v>5.1967527131188196E-4</v>
      </c>
      <c r="G49" s="172">
        <v>1.14441468200421</v>
      </c>
    </row>
    <row r="50" spans="2:7" hidden="1" x14ac:dyDescent="0.3">
      <c r="B50" s="172" t="s">
        <v>189</v>
      </c>
      <c r="C50" s="172" t="s">
        <v>81</v>
      </c>
      <c r="D50" s="172" t="s">
        <v>218</v>
      </c>
      <c r="E50" s="172">
        <v>6.5303838092404696E-3</v>
      </c>
      <c r="F50" s="172">
        <v>6.3049634467435998E-3</v>
      </c>
      <c r="G50" s="172">
        <v>1.0357528420903499</v>
      </c>
    </row>
    <row r="51" spans="2:7" hidden="1" x14ac:dyDescent="0.3">
      <c r="B51" s="172" t="s">
        <v>189</v>
      </c>
      <c r="C51" s="172" t="s">
        <v>81</v>
      </c>
      <c r="D51" s="172" t="s">
        <v>221</v>
      </c>
      <c r="E51" s="172">
        <v>3.3658532768934601E-2</v>
      </c>
      <c r="F51" s="172">
        <v>3.33767573158135E-2</v>
      </c>
      <c r="G51" s="172">
        <v>1.0084422656897101</v>
      </c>
    </row>
    <row r="52" spans="2:7" hidden="1" x14ac:dyDescent="0.3">
      <c r="B52" s="172" t="s">
        <v>187</v>
      </c>
      <c r="C52" s="172" t="s">
        <v>81</v>
      </c>
      <c r="D52" s="172" t="s">
        <v>218</v>
      </c>
      <c r="E52" s="172">
        <v>6.0492505183944801E-3</v>
      </c>
      <c r="F52" s="172">
        <v>4.7464455067088599E-3</v>
      </c>
      <c r="G52" s="172">
        <v>1.27448013673478</v>
      </c>
    </row>
    <row r="53" spans="2:7" hidden="1" x14ac:dyDescent="0.3">
      <c r="B53" s="172" t="s">
        <v>187</v>
      </c>
      <c r="C53" s="172" t="s">
        <v>81</v>
      </c>
      <c r="D53" s="172" t="s">
        <v>221</v>
      </c>
      <c r="E53" s="172">
        <v>3.1993805936734503E-2</v>
      </c>
      <c r="F53" s="172">
        <v>3.08170788294055E-2</v>
      </c>
      <c r="G53" s="172">
        <v>1.0381842521104301</v>
      </c>
    </row>
    <row r="54" spans="2:7" hidden="1" x14ac:dyDescent="0.3">
      <c r="B54" s="172" t="s">
        <v>185</v>
      </c>
      <c r="C54" s="172" t="s">
        <v>81</v>
      </c>
      <c r="D54" s="172" t="s">
        <v>218</v>
      </c>
      <c r="E54" s="172">
        <v>5.53460808202739E-3</v>
      </c>
      <c r="F54" s="172">
        <v>4.5369993027510299E-3</v>
      </c>
      <c r="G54" s="172">
        <v>1.2198829474519599</v>
      </c>
    </row>
    <row r="55" spans="2:7" hidden="1" x14ac:dyDescent="0.3">
      <c r="B55" s="172" t="s">
        <v>185</v>
      </c>
      <c r="C55" s="172" t="s">
        <v>81</v>
      </c>
      <c r="D55" s="172" t="s">
        <v>221</v>
      </c>
      <c r="E55" s="172">
        <v>3.0435396226547499E-2</v>
      </c>
      <c r="F55" s="172">
        <v>2.9534330232362401E-2</v>
      </c>
      <c r="G55" s="172">
        <v>1.0305091054070299</v>
      </c>
    </row>
    <row r="56" spans="2:7" hidden="1" x14ac:dyDescent="0.3">
      <c r="B56" s="172" t="s">
        <v>183</v>
      </c>
      <c r="C56" s="172" t="s">
        <v>81</v>
      </c>
      <c r="D56" s="172" t="s">
        <v>218</v>
      </c>
      <c r="E56" s="172">
        <v>4.9386705331411103E-3</v>
      </c>
      <c r="F56" s="172">
        <v>4.2239576447475596E-3</v>
      </c>
      <c r="G56" s="172">
        <v>1.16920455849795</v>
      </c>
    </row>
    <row r="57" spans="2:7" hidden="1" x14ac:dyDescent="0.3">
      <c r="B57" s="172" t="s">
        <v>183</v>
      </c>
      <c r="C57" s="172" t="s">
        <v>81</v>
      </c>
      <c r="D57" s="172" t="s">
        <v>221</v>
      </c>
      <c r="E57" s="172">
        <v>2.8216275660272301E-2</v>
      </c>
      <c r="F57" s="172">
        <v>2.7570728535271601E-2</v>
      </c>
      <c r="G57" s="172">
        <v>1.02341422078037</v>
      </c>
    </row>
    <row r="58" spans="2:7" hidden="1" x14ac:dyDescent="0.3">
      <c r="B58" s="172" t="s">
        <v>181</v>
      </c>
      <c r="C58" s="172" t="s">
        <v>81</v>
      </c>
      <c r="D58" s="172" t="s">
        <v>218</v>
      </c>
      <c r="E58" s="172">
        <v>4.3018742293130501E-3</v>
      </c>
      <c r="F58" s="172">
        <v>3.8180851988596299E-3</v>
      </c>
      <c r="G58" s="172">
        <v>1.12670985723365</v>
      </c>
    </row>
    <row r="59" spans="2:7" hidden="1" x14ac:dyDescent="0.3">
      <c r="B59" s="172" t="s">
        <v>181</v>
      </c>
      <c r="C59" s="172" t="s">
        <v>81</v>
      </c>
      <c r="D59" s="172" t="s">
        <v>221</v>
      </c>
      <c r="E59" s="172">
        <v>2.5421756159099699E-2</v>
      </c>
      <c r="F59" s="172">
        <v>2.4984785421916001E-2</v>
      </c>
      <c r="G59" s="172">
        <v>1.0174894732856301</v>
      </c>
    </row>
    <row r="60" spans="2:7" hidden="1" x14ac:dyDescent="0.3">
      <c r="B60" s="172" t="s">
        <v>179</v>
      </c>
      <c r="C60" s="172" t="s">
        <v>81</v>
      </c>
      <c r="D60" s="172" t="s">
        <v>218</v>
      </c>
      <c r="E60" s="172">
        <v>3.6405186676946098E-3</v>
      </c>
      <c r="F60" s="172">
        <v>3.3374342948225E-3</v>
      </c>
      <c r="G60" s="172">
        <v>1.09081358495725</v>
      </c>
    </row>
    <row r="61" spans="2:7" hidden="1" x14ac:dyDescent="0.3">
      <c r="B61" s="172" t="s">
        <v>179</v>
      </c>
      <c r="C61" s="172" t="s">
        <v>81</v>
      </c>
      <c r="D61" s="172" t="s">
        <v>221</v>
      </c>
      <c r="E61" s="172">
        <v>2.21533570507816E-2</v>
      </c>
      <c r="F61" s="172">
        <v>2.18796034236713E-2</v>
      </c>
      <c r="G61" s="172">
        <v>1.0125118185101201</v>
      </c>
    </row>
    <row r="62" spans="2:7" hidden="1" x14ac:dyDescent="0.3">
      <c r="B62" s="172" t="s">
        <v>39</v>
      </c>
      <c r="C62" s="172" t="s">
        <v>81</v>
      </c>
      <c r="D62" s="172" t="s">
        <v>218</v>
      </c>
      <c r="E62" s="172">
        <v>2.96724699173067E-3</v>
      </c>
      <c r="F62" s="172">
        <v>2.8006972714042398E-3</v>
      </c>
      <c r="G62" s="172">
        <v>1.0594672341159299</v>
      </c>
    </row>
    <row r="63" spans="2:7" hidden="1" x14ac:dyDescent="0.3">
      <c r="B63" s="172" t="s">
        <v>39</v>
      </c>
      <c r="C63" s="172" t="s">
        <v>81</v>
      </c>
      <c r="D63" s="172" t="s">
        <v>221</v>
      </c>
      <c r="E63" s="172">
        <v>1.8524786829636201E-2</v>
      </c>
      <c r="F63" s="172">
        <v>1.8374354824180001E-2</v>
      </c>
      <c r="G63" s="172">
        <v>1.0081870632681</v>
      </c>
    </row>
    <row r="64" spans="2:7" hidden="1" x14ac:dyDescent="0.3">
      <c r="B64" s="172" t="s">
        <v>26</v>
      </c>
      <c r="C64" s="172" t="s">
        <v>81</v>
      </c>
      <c r="D64" s="172" t="s">
        <v>218</v>
      </c>
      <c r="E64" s="172">
        <v>2.3027175977465598E-3</v>
      </c>
      <c r="F64" s="172">
        <v>2.2416732295498999E-3</v>
      </c>
      <c r="G64" s="172">
        <v>1.02723160868943</v>
      </c>
    </row>
    <row r="65" spans="2:7" hidden="1" x14ac:dyDescent="0.3">
      <c r="B65" s="172" t="s">
        <v>26</v>
      </c>
      <c r="C65" s="172" t="s">
        <v>81</v>
      </c>
      <c r="D65" s="172" t="s">
        <v>221</v>
      </c>
      <c r="E65" s="172">
        <v>1.47366474610205E-2</v>
      </c>
      <c r="F65" s="172">
        <v>1.46815106123267E-2</v>
      </c>
      <c r="G65" s="172">
        <v>1.00375552966923</v>
      </c>
    </row>
    <row r="66" spans="2:7" hidden="1" x14ac:dyDescent="0.3">
      <c r="B66" s="172" t="s">
        <v>25</v>
      </c>
      <c r="C66" s="172" t="s">
        <v>81</v>
      </c>
      <c r="D66" s="172" t="s">
        <v>218</v>
      </c>
      <c r="E66" s="172">
        <v>1.67961189076273E-3</v>
      </c>
      <c r="F66" s="172">
        <v>1.6749473301633101E-3</v>
      </c>
      <c r="G66" s="172">
        <v>1.0027848998684401</v>
      </c>
    </row>
    <row r="67" spans="2:7" hidden="1" x14ac:dyDescent="0.3">
      <c r="B67" s="172" t="s">
        <v>25</v>
      </c>
      <c r="C67" s="172" t="s">
        <v>81</v>
      </c>
      <c r="D67" s="172" t="s">
        <v>221</v>
      </c>
      <c r="E67" s="172">
        <v>1.0889447120182E-2</v>
      </c>
      <c r="F67" s="172">
        <v>1.0885233968672799E-2</v>
      </c>
      <c r="G67" s="172">
        <v>1.00038705199367</v>
      </c>
    </row>
    <row r="68" spans="2:7" hidden="1" x14ac:dyDescent="0.3">
      <c r="B68" s="172" t="s">
        <v>24</v>
      </c>
      <c r="C68" s="172" t="s">
        <v>81</v>
      </c>
      <c r="D68" s="172" t="s">
        <v>218</v>
      </c>
      <c r="E68" s="172">
        <v>1.10205410087778E-3</v>
      </c>
      <c r="F68" s="172">
        <v>1.0892266822369601E-3</v>
      </c>
      <c r="G68" s="172">
        <v>1.01177662909844</v>
      </c>
    </row>
    <row r="69" spans="2:7" hidden="1" x14ac:dyDescent="0.3">
      <c r="B69" s="172" t="s">
        <v>24</v>
      </c>
      <c r="C69" s="172" t="s">
        <v>81</v>
      </c>
      <c r="D69" s="172" t="s">
        <v>221</v>
      </c>
      <c r="E69" s="172">
        <v>6.9701199108438E-3</v>
      </c>
      <c r="F69" s="172">
        <v>6.9585338552972404E-3</v>
      </c>
      <c r="G69" s="172">
        <v>1.00166501389337</v>
      </c>
    </row>
    <row r="70" spans="2:7" hidden="1" x14ac:dyDescent="0.3">
      <c r="B70" s="172" t="s">
        <v>22</v>
      </c>
      <c r="C70" s="172" t="s">
        <v>81</v>
      </c>
      <c r="D70" s="172" t="s">
        <v>218</v>
      </c>
      <c r="E70" s="172">
        <v>5.2490943360304501E-4</v>
      </c>
      <c r="F70" s="172">
        <v>5.0287946507541104E-4</v>
      </c>
      <c r="G70" s="172">
        <v>1.0438076518482</v>
      </c>
    </row>
    <row r="71" spans="2:7" hidden="1" x14ac:dyDescent="0.3">
      <c r="B71" s="172" t="s">
        <v>22</v>
      </c>
      <c r="C71" s="172" t="s">
        <v>81</v>
      </c>
      <c r="D71" s="172" t="s">
        <v>221</v>
      </c>
      <c r="E71" s="172">
        <v>3.0987002257307499E-3</v>
      </c>
      <c r="F71" s="172">
        <v>3.07880218964127E-3</v>
      </c>
      <c r="G71" s="172">
        <v>1.00646291475186</v>
      </c>
    </row>
    <row r="72" spans="2:7" hidden="1" x14ac:dyDescent="0.3">
      <c r="B72" s="172" t="s">
        <v>189</v>
      </c>
      <c r="C72" s="172" t="s">
        <v>82</v>
      </c>
      <c r="D72" s="172" t="s">
        <v>221</v>
      </c>
      <c r="E72" s="172">
        <v>2.9813715418951E-2</v>
      </c>
      <c r="F72" s="172">
        <v>2.92927299158149E-2</v>
      </c>
      <c r="G72" s="172">
        <v>1.0177854882297901</v>
      </c>
    </row>
    <row r="73" spans="2:7" hidden="1" x14ac:dyDescent="0.3">
      <c r="B73" s="172" t="s">
        <v>187</v>
      </c>
      <c r="C73" s="172" t="s">
        <v>82</v>
      </c>
      <c r="D73" s="172" t="s">
        <v>218</v>
      </c>
      <c r="E73" s="172">
        <v>8.7844335904652907E-3</v>
      </c>
      <c r="F73" s="172">
        <v>5.2647025595594903E-3</v>
      </c>
      <c r="G73" s="172">
        <v>1.6685526848073799</v>
      </c>
    </row>
    <row r="74" spans="2:7" hidden="1" x14ac:dyDescent="0.3">
      <c r="B74" s="172" t="s">
        <v>187</v>
      </c>
      <c r="C74" s="172" t="s">
        <v>82</v>
      </c>
      <c r="D74" s="172" t="s">
        <v>221</v>
      </c>
      <c r="E74" s="172">
        <v>3.3683229105345401E-2</v>
      </c>
      <c r="F74" s="172">
        <v>3.0504117206462698E-2</v>
      </c>
      <c r="G74" s="172">
        <v>1.1042191084359301</v>
      </c>
    </row>
    <row r="75" spans="2:7" hidden="1" x14ac:dyDescent="0.3">
      <c r="B75" s="172" t="s">
        <v>185</v>
      </c>
      <c r="C75" s="172" t="s">
        <v>82</v>
      </c>
      <c r="D75" s="172" t="s">
        <v>218</v>
      </c>
      <c r="E75" s="172">
        <v>8.6607908716835793E-3</v>
      </c>
      <c r="F75" s="172">
        <v>5.0498579375926897E-3</v>
      </c>
      <c r="G75" s="172">
        <v>1.71505633994374</v>
      </c>
    </row>
    <row r="76" spans="2:7" hidden="1" x14ac:dyDescent="0.3">
      <c r="B76" s="172" t="s">
        <v>185</v>
      </c>
      <c r="C76" s="172" t="s">
        <v>82</v>
      </c>
      <c r="D76" s="172" t="s">
        <v>221</v>
      </c>
      <c r="E76" s="172">
        <v>3.2524997561378902E-2</v>
      </c>
      <c r="F76" s="172">
        <v>2.92635097499419E-2</v>
      </c>
      <c r="G76" s="172">
        <v>1.1114523800906499</v>
      </c>
    </row>
    <row r="77" spans="2:7" hidden="1" x14ac:dyDescent="0.3">
      <c r="B77" s="172" t="s">
        <v>183</v>
      </c>
      <c r="C77" s="172" t="s">
        <v>82</v>
      </c>
      <c r="D77" s="172" t="s">
        <v>218</v>
      </c>
      <c r="E77" s="172">
        <v>8.2865450506344595E-3</v>
      </c>
      <c r="F77" s="172">
        <v>4.7170761484313798E-3</v>
      </c>
      <c r="G77" s="172">
        <v>1.7567121644602</v>
      </c>
    </row>
    <row r="78" spans="2:7" hidden="1" x14ac:dyDescent="0.3">
      <c r="B78" s="172" t="s">
        <v>183</v>
      </c>
      <c r="C78" s="172" t="s">
        <v>82</v>
      </c>
      <c r="D78" s="172" t="s">
        <v>221</v>
      </c>
      <c r="E78" s="172">
        <v>3.0567786039194401E-2</v>
      </c>
      <c r="F78" s="172">
        <v>2.7343749611398099E-2</v>
      </c>
      <c r="G78" s="172">
        <v>1.1179076196065101</v>
      </c>
    </row>
    <row r="79" spans="2:7" hidden="1" x14ac:dyDescent="0.3">
      <c r="B79" s="172" t="s">
        <v>181</v>
      </c>
      <c r="C79" s="172" t="s">
        <v>82</v>
      </c>
      <c r="D79" s="172" t="s">
        <v>218</v>
      </c>
      <c r="E79" s="172">
        <v>7.6532579888408401E-3</v>
      </c>
      <c r="F79" s="172">
        <v>4.2750920194732202E-3</v>
      </c>
      <c r="G79" s="172">
        <v>1.7901972528263601</v>
      </c>
    </row>
    <row r="80" spans="2:7" hidden="1" x14ac:dyDescent="0.3">
      <c r="B80" s="172" t="s">
        <v>181</v>
      </c>
      <c r="C80" s="172" t="s">
        <v>82</v>
      </c>
      <c r="D80" s="172" t="s">
        <v>221</v>
      </c>
      <c r="E80" s="172">
        <v>2.7849926969251999E-2</v>
      </c>
      <c r="F80" s="172">
        <v>2.4798680287242501E-2</v>
      </c>
      <c r="G80" s="172">
        <v>1.1230406879183501</v>
      </c>
    </row>
    <row r="81" spans="2:7" hidden="1" x14ac:dyDescent="0.3">
      <c r="B81" s="172" t="s">
        <v>179</v>
      </c>
      <c r="C81" s="172" t="s">
        <v>82</v>
      </c>
      <c r="D81" s="172" t="s">
        <v>218</v>
      </c>
      <c r="E81" s="172">
        <v>6.7996548727585803E-3</v>
      </c>
      <c r="F81" s="172">
        <v>3.7440350684682299E-3</v>
      </c>
      <c r="G81" s="172">
        <v>1.81613012389344</v>
      </c>
    </row>
    <row r="82" spans="2:7" hidden="1" x14ac:dyDescent="0.3">
      <c r="B82" s="172" t="s">
        <v>179</v>
      </c>
      <c r="C82" s="172" t="s">
        <v>82</v>
      </c>
      <c r="D82" s="172" t="s">
        <v>221</v>
      </c>
      <c r="E82" s="172">
        <v>2.4490731773978001E-2</v>
      </c>
      <c r="F82" s="172">
        <v>2.1730817112038399E-2</v>
      </c>
      <c r="G82" s="172">
        <v>1.12700464265611</v>
      </c>
    </row>
    <row r="83" spans="2:7" hidden="1" x14ac:dyDescent="0.3">
      <c r="B83" s="172" t="s">
        <v>39</v>
      </c>
      <c r="C83" s="172" t="s">
        <v>82</v>
      </c>
      <c r="D83" s="172" t="s">
        <v>218</v>
      </c>
      <c r="E83" s="172">
        <v>5.77483016099661E-3</v>
      </c>
      <c r="F83" s="172">
        <v>3.1461137243225098E-3</v>
      </c>
      <c r="G83" s="172">
        <v>1.83554399713894</v>
      </c>
    </row>
    <row r="84" spans="2:7" hidden="1" x14ac:dyDescent="0.3">
      <c r="B84" s="172" t="s">
        <v>39</v>
      </c>
      <c r="C84" s="172" t="s">
        <v>82</v>
      </c>
      <c r="D84" s="172" t="s">
        <v>221</v>
      </c>
      <c r="E84" s="172">
        <v>2.0634409286637099E-2</v>
      </c>
      <c r="F84" s="172">
        <v>1.8260084763189601E-2</v>
      </c>
      <c r="G84" s="172">
        <v>1.13002812167849</v>
      </c>
    </row>
    <row r="85" spans="2:7" hidden="1" x14ac:dyDescent="0.3">
      <c r="B85" s="172" t="s">
        <v>26</v>
      </c>
      <c r="C85" s="172" t="s">
        <v>82</v>
      </c>
      <c r="D85" s="172" t="s">
        <v>218</v>
      </c>
      <c r="E85" s="172">
        <v>4.6885580863216701E-3</v>
      </c>
      <c r="F85" s="172">
        <v>2.5217618351140699E-3</v>
      </c>
      <c r="G85" s="172">
        <v>1.8592390530446701</v>
      </c>
    </row>
    <row r="86" spans="2:7" hidden="1" x14ac:dyDescent="0.3">
      <c r="B86" s="172" t="s">
        <v>26</v>
      </c>
      <c r="C86" s="172" t="s">
        <v>82</v>
      </c>
      <c r="D86" s="172" t="s">
        <v>221</v>
      </c>
      <c r="E86" s="172">
        <v>1.65563574663944E-2</v>
      </c>
      <c r="F86" s="172">
        <v>1.4599251174981001E-2</v>
      </c>
      <c r="G86" s="172">
        <v>1.1340552517356</v>
      </c>
    </row>
    <row r="87" spans="2:7" hidden="1" x14ac:dyDescent="0.3">
      <c r="B87" s="172" t="s">
        <v>25</v>
      </c>
      <c r="C87" s="172" t="s">
        <v>82</v>
      </c>
      <c r="D87" s="172" t="s">
        <v>218</v>
      </c>
      <c r="E87" s="172">
        <v>3.5618716830372798E-3</v>
      </c>
      <c r="F87" s="172">
        <v>1.8865017304979699E-3</v>
      </c>
      <c r="G87" s="172">
        <v>1.8880829131797701</v>
      </c>
    </row>
    <row r="88" spans="2:7" hidden="1" x14ac:dyDescent="0.3">
      <c r="B88" s="172" t="s">
        <v>25</v>
      </c>
      <c r="C88" s="172" t="s">
        <v>82</v>
      </c>
      <c r="D88" s="172" t="s">
        <v>221</v>
      </c>
      <c r="E88" s="172">
        <v>1.2344402925324899E-2</v>
      </c>
      <c r="F88" s="172">
        <v>1.0831165548837699E-2</v>
      </c>
      <c r="G88" s="172">
        <v>1.1397114068346501</v>
      </c>
    </row>
    <row r="89" spans="2:7" hidden="1" x14ac:dyDescent="0.3">
      <c r="B89" s="172" t="s">
        <v>24</v>
      </c>
      <c r="C89" s="172" t="s">
        <v>82</v>
      </c>
      <c r="D89" s="172" t="s">
        <v>218</v>
      </c>
      <c r="E89" s="172">
        <v>2.33533190726316E-3</v>
      </c>
      <c r="F89" s="172">
        <v>1.22538299055035E-3</v>
      </c>
      <c r="G89" s="172">
        <v>1.9057975549459001</v>
      </c>
    </row>
    <row r="90" spans="2:7" hidden="1" x14ac:dyDescent="0.3">
      <c r="B90" s="172" t="s">
        <v>24</v>
      </c>
      <c r="C90" s="172" t="s">
        <v>82</v>
      </c>
      <c r="D90" s="172" t="s">
        <v>221</v>
      </c>
      <c r="E90" s="172">
        <v>7.9284781577044893E-3</v>
      </c>
      <c r="F90" s="172">
        <v>6.92594365228647E-3</v>
      </c>
      <c r="G90" s="172">
        <v>1.1447506008927799</v>
      </c>
    </row>
    <row r="91" spans="2:7" hidden="1" x14ac:dyDescent="0.3">
      <c r="B91" s="172" t="s">
        <v>22</v>
      </c>
      <c r="C91" s="172" t="s">
        <v>82</v>
      </c>
      <c r="D91" s="172" t="s">
        <v>218</v>
      </c>
      <c r="E91" s="172">
        <v>1.05899171853155E-3</v>
      </c>
      <c r="F91" s="172">
        <v>5.6066272793209402E-4</v>
      </c>
      <c r="G91" s="172">
        <v>1.8888213283544899</v>
      </c>
    </row>
    <row r="92" spans="2:7" hidden="1" x14ac:dyDescent="0.3">
      <c r="B92" s="172" t="s">
        <v>22</v>
      </c>
      <c r="C92" s="172" t="s">
        <v>82</v>
      </c>
      <c r="D92" s="172" t="s">
        <v>221</v>
      </c>
      <c r="E92" s="172">
        <v>3.5106577922674E-3</v>
      </c>
      <c r="F92" s="172">
        <v>3.0605541878549899E-3</v>
      </c>
      <c r="G92" s="172">
        <v>1.14706604646914</v>
      </c>
    </row>
    <row r="93" spans="2:7" hidden="1" x14ac:dyDescent="0.3">
      <c r="B93" s="172" t="s">
        <v>189</v>
      </c>
      <c r="C93" s="172" t="s">
        <v>246</v>
      </c>
      <c r="D93" s="172" t="s">
        <v>218</v>
      </c>
      <c r="E93" s="172">
        <v>8.7392938193075304E-4</v>
      </c>
      <c r="F93" s="172">
        <v>8.1039973545349504E-4</v>
      </c>
      <c r="G93" s="172">
        <v>1.07839297534038</v>
      </c>
    </row>
    <row r="94" spans="2:7" hidden="1" x14ac:dyDescent="0.3">
      <c r="B94" s="172" t="s">
        <v>189</v>
      </c>
      <c r="C94" s="172" t="s">
        <v>246</v>
      </c>
      <c r="D94" s="172" t="s">
        <v>221</v>
      </c>
      <c r="E94" s="172">
        <v>2.2302496363158999E-4</v>
      </c>
      <c r="F94" s="172">
        <v>1.43612905535018E-4</v>
      </c>
      <c r="G94" s="172">
        <v>1.55295906590518</v>
      </c>
    </row>
    <row r="95" spans="2:7" hidden="1" x14ac:dyDescent="0.3">
      <c r="B95" s="172" t="s">
        <v>187</v>
      </c>
      <c r="C95" s="172" t="s">
        <v>246</v>
      </c>
      <c r="D95" s="172" t="s">
        <v>218</v>
      </c>
      <c r="E95" s="172">
        <v>9.0303575734491503E-4</v>
      </c>
      <c r="F95" s="172">
        <v>4.9973542156698104E-4</v>
      </c>
      <c r="G95" s="172">
        <v>1.8070277158127701</v>
      </c>
    </row>
    <row r="96" spans="2:7" hidden="1" x14ac:dyDescent="0.3">
      <c r="B96" s="172" t="s">
        <v>187</v>
      </c>
      <c r="C96" s="172" t="s">
        <v>246</v>
      </c>
      <c r="D96" s="172" t="s">
        <v>221</v>
      </c>
      <c r="E96" s="172">
        <v>6.3049549071613495E-4</v>
      </c>
      <c r="F96" s="172">
        <v>2.66224219690904E-4</v>
      </c>
      <c r="G96" s="172">
        <v>2.3682874963373499</v>
      </c>
    </row>
    <row r="97" spans="2:7" hidden="1" x14ac:dyDescent="0.3">
      <c r="B97" s="172" t="s">
        <v>185</v>
      </c>
      <c r="C97" s="172" t="s">
        <v>246</v>
      </c>
      <c r="D97" s="172" t="s">
        <v>218</v>
      </c>
      <c r="E97" s="172">
        <v>8.1649787659746997E-4</v>
      </c>
      <c r="F97" s="172">
        <v>4.5324950019678598E-4</v>
      </c>
      <c r="G97" s="172">
        <v>1.8014313887670601</v>
      </c>
    </row>
    <row r="98" spans="2:7" hidden="1" x14ac:dyDescent="0.3">
      <c r="B98" s="172" t="s">
        <v>185</v>
      </c>
      <c r="C98" s="172" t="s">
        <v>246</v>
      </c>
      <c r="D98" s="172" t="s">
        <v>221</v>
      </c>
      <c r="E98" s="172">
        <v>5.5716033641311797E-4</v>
      </c>
      <c r="F98" s="172">
        <v>2.2906502869637099E-4</v>
      </c>
      <c r="G98" s="172">
        <v>2.4323238670868501</v>
      </c>
    </row>
    <row r="99" spans="2:7" hidden="1" x14ac:dyDescent="0.3">
      <c r="B99" s="172" t="s">
        <v>183</v>
      </c>
      <c r="C99" s="172" t="s">
        <v>246</v>
      </c>
      <c r="D99" s="172" t="s">
        <v>218</v>
      </c>
      <c r="E99" s="172">
        <v>7.3108143061495403E-4</v>
      </c>
      <c r="F99" s="172">
        <v>4.0871850145921099E-4</v>
      </c>
      <c r="G99" s="172">
        <v>1.7887162631611699</v>
      </c>
    </row>
    <row r="100" spans="2:7" hidden="1" x14ac:dyDescent="0.3">
      <c r="B100" s="172" t="s">
        <v>183</v>
      </c>
      <c r="C100" s="172" t="s">
        <v>246</v>
      </c>
      <c r="D100" s="172" t="s">
        <v>221</v>
      </c>
      <c r="E100" s="172">
        <v>4.8711578660956399E-4</v>
      </c>
      <c r="F100" s="172">
        <v>1.95949269952764E-4</v>
      </c>
      <c r="G100" s="172">
        <v>2.4859280502907102</v>
      </c>
    </row>
    <row r="101" spans="2:7" hidden="1" x14ac:dyDescent="0.3">
      <c r="B101" s="172" t="s">
        <v>181</v>
      </c>
      <c r="C101" s="172" t="s">
        <v>246</v>
      </c>
      <c r="D101" s="172" t="s">
        <v>218</v>
      </c>
      <c r="E101" s="172">
        <v>6.4711193570169095E-4</v>
      </c>
      <c r="F101" s="172">
        <v>3.6492734926230302E-4</v>
      </c>
      <c r="G101" s="172">
        <v>1.7732623685504001</v>
      </c>
    </row>
    <row r="102" spans="2:7" hidden="1" x14ac:dyDescent="0.3">
      <c r="B102" s="172" t="s">
        <v>181</v>
      </c>
      <c r="C102" s="172" t="s">
        <v>246</v>
      </c>
      <c r="D102" s="172" t="s">
        <v>221</v>
      </c>
      <c r="E102" s="172">
        <v>4.1965525378846399E-4</v>
      </c>
      <c r="F102" s="172">
        <v>1.64778853133533E-4</v>
      </c>
      <c r="G102" s="172">
        <v>2.5467785811592298</v>
      </c>
    </row>
    <row r="103" spans="2:7" hidden="1" x14ac:dyDescent="0.3">
      <c r="B103" s="172" t="s">
        <v>179</v>
      </c>
      <c r="C103" s="172" t="s">
        <v>246</v>
      </c>
      <c r="D103" s="172" t="s">
        <v>218</v>
      </c>
      <c r="E103" s="172">
        <v>5.6536416058355497E-4</v>
      </c>
      <c r="F103" s="172">
        <v>3.22196384511042E-4</v>
      </c>
      <c r="G103" s="172">
        <v>1.7547191333060399</v>
      </c>
    </row>
    <row r="104" spans="2:7" hidden="1" x14ac:dyDescent="0.3">
      <c r="B104" s="172" t="s">
        <v>179</v>
      </c>
      <c r="C104" s="172" t="s">
        <v>246</v>
      </c>
      <c r="D104" s="172" t="s">
        <v>221</v>
      </c>
      <c r="E104" s="172">
        <v>3.5532742935842599E-4</v>
      </c>
      <c r="F104" s="172">
        <v>1.3569201871228501E-4</v>
      </c>
      <c r="G104" s="172">
        <v>2.6186317569041901</v>
      </c>
    </row>
    <row r="105" spans="2:7" hidden="1" x14ac:dyDescent="0.3">
      <c r="B105" s="172" t="s">
        <v>39</v>
      </c>
      <c r="C105" s="172" t="s">
        <v>246</v>
      </c>
      <c r="D105" s="172" t="s">
        <v>218</v>
      </c>
      <c r="E105" s="172">
        <v>4.8544118728852998E-4</v>
      </c>
      <c r="F105" s="172">
        <v>2.7974636031805701E-4</v>
      </c>
      <c r="G105" s="172">
        <v>1.7352904493077499</v>
      </c>
    </row>
    <row r="106" spans="2:7" hidden="1" x14ac:dyDescent="0.3">
      <c r="B106" s="172" t="s">
        <v>39</v>
      </c>
      <c r="C106" s="172" t="s">
        <v>246</v>
      </c>
      <c r="D106" s="172" t="s">
        <v>221</v>
      </c>
      <c r="E106" s="172">
        <v>2.9404246662314898E-4</v>
      </c>
      <c r="F106" s="172">
        <v>1.08253590649818E-4</v>
      </c>
      <c r="G106" s="172">
        <v>2.7162375387096902</v>
      </c>
    </row>
    <row r="107" spans="2:7" hidden="1" x14ac:dyDescent="0.3">
      <c r="B107" s="172" t="s">
        <v>26</v>
      </c>
      <c r="C107" s="172" t="s">
        <v>246</v>
      </c>
      <c r="D107" s="172" t="s">
        <v>218</v>
      </c>
      <c r="E107" s="172">
        <v>3.9941663394341598E-4</v>
      </c>
      <c r="F107" s="172">
        <v>2.30821838571612E-4</v>
      </c>
      <c r="G107" s="172">
        <v>1.73041093691617</v>
      </c>
    </row>
    <row r="108" spans="2:7" hidden="1" x14ac:dyDescent="0.3">
      <c r="B108" s="172" t="s">
        <v>26</v>
      </c>
      <c r="C108" s="172" t="s">
        <v>246</v>
      </c>
      <c r="D108" s="172" t="s">
        <v>221</v>
      </c>
      <c r="E108" s="172">
        <v>2.3203455499553799E-4</v>
      </c>
      <c r="F108" s="172">
        <v>7.9755384982296704E-5</v>
      </c>
      <c r="G108" s="172">
        <v>2.9093277531923798</v>
      </c>
    </row>
    <row r="109" spans="2:7" hidden="1" x14ac:dyDescent="0.3">
      <c r="B109" s="172" t="s">
        <v>25</v>
      </c>
      <c r="C109" s="172" t="s">
        <v>246</v>
      </c>
      <c r="D109" s="172" t="s">
        <v>218</v>
      </c>
      <c r="E109" s="172">
        <v>3.0474176831866501E-4</v>
      </c>
      <c r="F109" s="172">
        <v>1.7623645289032799E-4</v>
      </c>
      <c r="G109" s="172">
        <v>1.7291642184168701</v>
      </c>
    </row>
    <row r="110" spans="2:7" hidden="1" x14ac:dyDescent="0.3">
      <c r="B110" s="172" t="s">
        <v>25</v>
      </c>
      <c r="C110" s="172" t="s">
        <v>246</v>
      </c>
      <c r="D110" s="172" t="s">
        <v>221</v>
      </c>
      <c r="E110" s="172">
        <v>1.70072037425399E-4</v>
      </c>
      <c r="F110" s="172">
        <v>5.4002720264320201E-5</v>
      </c>
      <c r="G110" s="172">
        <v>3.1493235265366102</v>
      </c>
    </row>
    <row r="111" spans="2:7" hidden="1" x14ac:dyDescent="0.3">
      <c r="B111" s="172" t="s">
        <v>24</v>
      </c>
      <c r="C111" s="172" t="s">
        <v>246</v>
      </c>
      <c r="D111" s="172" t="s">
        <v>218</v>
      </c>
      <c r="E111" s="172">
        <v>2.1236563634679899E-4</v>
      </c>
      <c r="F111" s="172">
        <v>1.2279927056673001E-4</v>
      </c>
      <c r="G111" s="172">
        <v>1.72937213198997</v>
      </c>
    </row>
    <row r="112" spans="2:7" hidden="1" x14ac:dyDescent="0.3">
      <c r="B112" s="172" t="s">
        <v>24</v>
      </c>
      <c r="C112" s="172" t="s">
        <v>246</v>
      </c>
      <c r="D112" s="172" t="s">
        <v>221</v>
      </c>
      <c r="E112" s="172">
        <v>1.13936471228438E-4</v>
      </c>
      <c r="F112" s="172">
        <v>3.3037818265795598E-5</v>
      </c>
      <c r="G112" s="172">
        <v>3.44866813879166</v>
      </c>
    </row>
    <row r="113" spans="2:7" hidden="1" x14ac:dyDescent="0.3">
      <c r="B113" s="172" t="s">
        <v>22</v>
      </c>
      <c r="C113" s="172" t="s">
        <v>246</v>
      </c>
      <c r="D113" s="172" t="s">
        <v>218</v>
      </c>
      <c r="E113" s="172">
        <v>1.16512762400003E-4</v>
      </c>
      <c r="F113" s="172">
        <v>6.6559947176774903E-5</v>
      </c>
      <c r="G113" s="172">
        <v>1.75049361278127</v>
      </c>
    </row>
    <row r="114" spans="2:7" hidden="1" x14ac:dyDescent="0.3">
      <c r="B114" s="172" t="s">
        <v>22</v>
      </c>
      <c r="C114" s="172" t="s">
        <v>246</v>
      </c>
      <c r="D114" s="172" t="s">
        <v>221</v>
      </c>
      <c r="E114" s="172">
        <v>6.0519322449778698E-5</v>
      </c>
      <c r="F114" s="172">
        <v>1.5400650635250099E-5</v>
      </c>
      <c r="G114" s="172">
        <v>3.92966010872669</v>
      </c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2.4272016453386301E-2</v>
      </c>
      <c r="F138" s="172">
        <v>2.3708306492626698E-2</v>
      </c>
      <c r="G138" s="172">
        <v>1.0237768969679499</v>
      </c>
    </row>
    <row r="139" spans="2:7" hidden="1" x14ac:dyDescent="0.3">
      <c r="B139" s="172" t="s">
        <v>189</v>
      </c>
      <c r="C139" s="172" t="s">
        <v>79</v>
      </c>
      <c r="D139" s="172" t="s">
        <v>221</v>
      </c>
      <c r="E139" s="172">
        <v>3.0866472721884802E-3</v>
      </c>
      <c r="F139" s="172">
        <v>2.3820098212388998E-3</v>
      </c>
      <c r="G139" s="172">
        <v>1.2958163499859501</v>
      </c>
    </row>
    <row r="140" spans="2:7" hidden="1" x14ac:dyDescent="0.3">
      <c r="B140" s="172" t="s">
        <v>187</v>
      </c>
      <c r="C140" s="172" t="s">
        <v>79</v>
      </c>
      <c r="D140" s="172" t="s">
        <v>218</v>
      </c>
      <c r="E140" s="172">
        <v>3.05748600321551E-2</v>
      </c>
      <c r="F140" s="172">
        <v>2.6298550442528799E-2</v>
      </c>
      <c r="G140" s="172">
        <v>1.16260628504873</v>
      </c>
    </row>
    <row r="141" spans="2:7" hidden="1" x14ac:dyDescent="0.3">
      <c r="B141" s="172" t="s">
        <v>187</v>
      </c>
      <c r="C141" s="172" t="s">
        <v>79</v>
      </c>
      <c r="D141" s="172" t="s">
        <v>221</v>
      </c>
      <c r="E141" s="172">
        <v>9.0813034713860003E-3</v>
      </c>
      <c r="F141" s="172">
        <v>5.2188302936590197E-3</v>
      </c>
      <c r="G141" s="172">
        <v>1.74010323394113</v>
      </c>
    </row>
    <row r="142" spans="2:7" hidden="1" x14ac:dyDescent="0.3">
      <c r="B142" s="172" t="s">
        <v>185</v>
      </c>
      <c r="C142" s="172" t="s">
        <v>79</v>
      </c>
      <c r="D142" s="172" t="s">
        <v>218</v>
      </c>
      <c r="E142" s="172">
        <v>2.95293143602623E-2</v>
      </c>
      <c r="F142" s="172">
        <v>2.5238880095989701E-2</v>
      </c>
      <c r="G142" s="172">
        <v>1.1699930523048201</v>
      </c>
    </row>
    <row r="143" spans="2:7" hidden="1" x14ac:dyDescent="0.3">
      <c r="B143" s="172" t="s">
        <v>185</v>
      </c>
      <c r="C143" s="172" t="s">
        <v>79</v>
      </c>
      <c r="D143" s="172" t="s">
        <v>221</v>
      </c>
      <c r="E143" s="172">
        <v>8.85151188566001E-3</v>
      </c>
      <c r="F143" s="172">
        <v>4.9762809372847798E-3</v>
      </c>
      <c r="G143" s="172">
        <v>1.7787403880958701</v>
      </c>
    </row>
    <row r="144" spans="2:7" hidden="1" x14ac:dyDescent="0.3">
      <c r="B144" s="172" t="s">
        <v>183</v>
      </c>
      <c r="C144" s="172" t="s">
        <v>79</v>
      </c>
      <c r="D144" s="172" t="s">
        <v>218</v>
      </c>
      <c r="E144" s="172">
        <v>2.7769948154111799E-2</v>
      </c>
      <c r="F144" s="172">
        <v>2.3598295760523299E-2</v>
      </c>
      <c r="G144" s="172">
        <v>1.1767776976745501</v>
      </c>
    </row>
    <row r="145" spans="2:7" hidden="1" x14ac:dyDescent="0.3">
      <c r="B145" s="172" t="s">
        <v>183</v>
      </c>
      <c r="C145" s="172" t="s">
        <v>79</v>
      </c>
      <c r="D145" s="172" t="s">
        <v>221</v>
      </c>
      <c r="E145" s="172">
        <v>8.3892254946044704E-3</v>
      </c>
      <c r="F145" s="172">
        <v>4.6212813971697204E-3</v>
      </c>
      <c r="G145" s="172">
        <v>1.8153461721119999</v>
      </c>
    </row>
    <row r="146" spans="2:7" hidden="1" x14ac:dyDescent="0.3">
      <c r="B146" s="172" t="s">
        <v>181</v>
      </c>
      <c r="C146" s="172" t="s">
        <v>79</v>
      </c>
      <c r="D146" s="172" t="s">
        <v>218</v>
      </c>
      <c r="E146" s="172">
        <v>2.5325432732021199E-2</v>
      </c>
      <c r="F146" s="172">
        <v>2.1422908566507699E-2</v>
      </c>
      <c r="G146" s="172">
        <v>1.1821659348168401</v>
      </c>
    </row>
    <row r="147" spans="2:7" hidden="1" x14ac:dyDescent="0.3">
      <c r="B147" s="172" t="s">
        <v>181</v>
      </c>
      <c r="C147" s="172" t="s">
        <v>79</v>
      </c>
      <c r="D147" s="172" t="s">
        <v>221</v>
      </c>
      <c r="E147" s="172">
        <v>7.6911739590836701E-3</v>
      </c>
      <c r="F147" s="172">
        <v>4.1663134224908501E-3</v>
      </c>
      <c r="G147" s="172">
        <v>1.8460382547229199</v>
      </c>
    </row>
    <row r="148" spans="2:7" hidden="1" x14ac:dyDescent="0.3">
      <c r="B148" s="172" t="s">
        <v>179</v>
      </c>
      <c r="C148" s="172" t="s">
        <v>79</v>
      </c>
      <c r="D148" s="172" t="s">
        <v>218</v>
      </c>
      <c r="E148" s="172">
        <v>2.22996853191911E-2</v>
      </c>
      <c r="F148" s="172">
        <v>1.8798384081439301E-2</v>
      </c>
      <c r="G148" s="172">
        <v>1.18625543677495</v>
      </c>
    </row>
    <row r="149" spans="2:7" hidden="1" x14ac:dyDescent="0.3">
      <c r="B149" s="172" t="s">
        <v>179</v>
      </c>
      <c r="C149" s="172" t="s">
        <v>79</v>
      </c>
      <c r="D149" s="172" t="s">
        <v>221</v>
      </c>
      <c r="E149" s="172">
        <v>6.7929457252049697E-3</v>
      </c>
      <c r="F149" s="172">
        <v>3.6304800911066601E-3</v>
      </c>
      <c r="G149" s="172">
        <v>1.8710874470418399</v>
      </c>
    </row>
    <row r="150" spans="2:7" hidden="1" x14ac:dyDescent="0.3">
      <c r="B150" s="172" t="s">
        <v>39</v>
      </c>
      <c r="C150" s="172" t="s">
        <v>79</v>
      </c>
      <c r="D150" s="172" t="s">
        <v>218</v>
      </c>
      <c r="E150" s="172">
        <v>1.8819109718254502E-2</v>
      </c>
      <c r="F150" s="172">
        <v>1.58254076901925E-2</v>
      </c>
      <c r="G150" s="172">
        <v>1.18917061011435</v>
      </c>
    </row>
    <row r="151" spans="2:7" hidden="1" x14ac:dyDescent="0.3">
      <c r="B151" s="172" t="s">
        <v>39</v>
      </c>
      <c r="C151" s="172" t="s">
        <v>79</v>
      </c>
      <c r="D151" s="172" t="s">
        <v>221</v>
      </c>
      <c r="E151" s="172">
        <v>5.7389834019334098E-3</v>
      </c>
      <c r="F151" s="172">
        <v>3.0349944733612999E-3</v>
      </c>
      <c r="G151" s="172">
        <v>1.8909370189321599</v>
      </c>
    </row>
    <row r="152" spans="2:7" hidden="1" x14ac:dyDescent="0.3">
      <c r="B152" s="172" t="s">
        <v>26</v>
      </c>
      <c r="C152" s="172" t="s">
        <v>79</v>
      </c>
      <c r="D152" s="172" t="s">
        <v>218</v>
      </c>
      <c r="E152" s="172">
        <v>1.51402189021897E-2</v>
      </c>
      <c r="F152" s="172">
        <v>1.26980951008393E-2</v>
      </c>
      <c r="G152" s="172">
        <v>1.19232205948662</v>
      </c>
    </row>
    <row r="153" spans="2:7" hidden="1" x14ac:dyDescent="0.3">
      <c r="B153" s="172" t="s">
        <v>26</v>
      </c>
      <c r="C153" s="172" t="s">
        <v>79</v>
      </c>
      <c r="D153" s="172" t="s">
        <v>221</v>
      </c>
      <c r="E153" s="172">
        <v>4.6203234191984997E-3</v>
      </c>
      <c r="F153" s="172">
        <v>2.4145341792691098E-3</v>
      </c>
      <c r="G153" s="172">
        <v>1.9135464964083</v>
      </c>
    </row>
    <row r="154" spans="2:7" hidden="1" x14ac:dyDescent="0.3">
      <c r="B154" s="172" t="s">
        <v>25</v>
      </c>
      <c r="C154" s="172" t="s">
        <v>79</v>
      </c>
      <c r="D154" s="172" t="s">
        <v>218</v>
      </c>
      <c r="E154" s="172">
        <v>1.1350115429103301E-2</v>
      </c>
      <c r="F154" s="172">
        <v>9.4894552323310094E-3</v>
      </c>
      <c r="G154" s="172">
        <v>1.1960766083212999</v>
      </c>
    </row>
    <row r="155" spans="2:7" hidden="1" x14ac:dyDescent="0.3">
      <c r="B155" s="172" t="s">
        <v>25</v>
      </c>
      <c r="C155" s="172" t="s">
        <v>79</v>
      </c>
      <c r="D155" s="172" t="s">
        <v>221</v>
      </c>
      <c r="E155" s="172">
        <v>3.46242762613905E-3</v>
      </c>
      <c r="F155" s="172">
        <v>1.7818313193770101E-3</v>
      </c>
      <c r="G155" s="172">
        <v>1.94318485060058</v>
      </c>
    </row>
    <row r="156" spans="2:7" hidden="1" x14ac:dyDescent="0.3">
      <c r="B156" s="172" t="s">
        <v>24</v>
      </c>
      <c r="C156" s="172" t="s">
        <v>79</v>
      </c>
      <c r="D156" s="172" t="s">
        <v>218</v>
      </c>
      <c r="E156" s="172">
        <v>7.3723611018724298E-3</v>
      </c>
      <c r="F156" s="172">
        <v>6.1601065733771698E-3</v>
      </c>
      <c r="G156" s="172">
        <v>1.19679116165529</v>
      </c>
    </row>
    <row r="157" spans="2:7" hidden="1" x14ac:dyDescent="0.3">
      <c r="B157" s="172" t="s">
        <v>24</v>
      </c>
      <c r="C157" s="172" t="s">
        <v>79</v>
      </c>
      <c r="D157" s="172" t="s">
        <v>221</v>
      </c>
      <c r="E157" s="172">
        <v>2.2278504471669302E-3</v>
      </c>
      <c r="F157" s="172">
        <v>1.13291087304217E-3</v>
      </c>
      <c r="G157" s="172">
        <v>1.96648341911005</v>
      </c>
    </row>
    <row r="158" spans="2:7" hidden="1" x14ac:dyDescent="0.3">
      <c r="B158" s="172" t="s">
        <v>22</v>
      </c>
      <c r="C158" s="172" t="s">
        <v>79</v>
      </c>
      <c r="D158" s="172" t="s">
        <v>218</v>
      </c>
      <c r="E158" s="172">
        <v>3.3540247175554302E-3</v>
      </c>
      <c r="F158" s="172">
        <v>2.8241680711001702E-3</v>
      </c>
      <c r="G158" s="172">
        <v>1.1876151252743401</v>
      </c>
    </row>
    <row r="159" spans="2:7" hidden="1" x14ac:dyDescent="0.3">
      <c r="B159" s="172" t="s">
        <v>22</v>
      </c>
      <c r="C159" s="172" t="s">
        <v>79</v>
      </c>
      <c r="D159" s="172" t="s">
        <v>221</v>
      </c>
      <c r="E159" s="172">
        <v>9.7678834355229309E-4</v>
      </c>
      <c r="F159" s="172">
        <v>4.9820814675399598E-4</v>
      </c>
      <c r="G159" s="172">
        <v>1.9606029124903299</v>
      </c>
    </row>
    <row r="160" spans="2:7" x14ac:dyDescent="0.3">
      <c r="B160" s="172" t="s">
        <v>189</v>
      </c>
      <c r="C160" s="172" t="s">
        <v>80</v>
      </c>
      <c r="D160" s="172" t="s">
        <v>218</v>
      </c>
      <c r="E160" s="172">
        <v>2.8385699246985599E-2</v>
      </c>
      <c r="F160" s="172">
        <v>2.8205107174070598E-2</v>
      </c>
      <c r="G160" s="172">
        <v>1.00640281463213</v>
      </c>
    </row>
    <row r="161" spans="2:7" hidden="1" x14ac:dyDescent="0.3">
      <c r="B161" s="172" t="s">
        <v>189</v>
      </c>
      <c r="C161" s="172" t="s">
        <v>80</v>
      </c>
      <c r="D161" s="172" t="s">
        <v>221</v>
      </c>
      <c r="E161" s="172">
        <v>7.3945114611826002E-3</v>
      </c>
      <c r="F161" s="172">
        <v>7.1687713700389301E-3</v>
      </c>
      <c r="G161" s="172">
        <v>1.0314893695853</v>
      </c>
    </row>
    <row r="162" spans="2:7" x14ac:dyDescent="0.3">
      <c r="B162" s="172" t="s">
        <v>187</v>
      </c>
      <c r="C162" s="172" t="s">
        <v>80</v>
      </c>
      <c r="D162" s="172" t="s">
        <v>218</v>
      </c>
      <c r="E162" s="172">
        <v>2.7070800151274398E-2</v>
      </c>
      <c r="F162" s="172">
        <v>2.5690176845514001E-2</v>
      </c>
      <c r="G162" s="172">
        <v>1.0537412924038101</v>
      </c>
    </row>
    <row r="163" spans="2:7" hidden="1" x14ac:dyDescent="0.3">
      <c r="B163" s="172" t="s">
        <v>187</v>
      </c>
      <c r="C163" s="172" t="s">
        <v>80</v>
      </c>
      <c r="D163" s="172" t="s">
        <v>221</v>
      </c>
      <c r="E163" s="172">
        <v>6.8322935779473399E-3</v>
      </c>
      <c r="F163" s="172">
        <v>5.5852789791960202E-3</v>
      </c>
      <c r="G163" s="172">
        <v>1.2232680951831001</v>
      </c>
    </row>
    <row r="164" spans="2:7" x14ac:dyDescent="0.3">
      <c r="B164" s="172" t="s">
        <v>185</v>
      </c>
      <c r="C164" s="172" t="s">
        <v>80</v>
      </c>
      <c r="D164" s="172" t="s">
        <v>218</v>
      </c>
      <c r="E164" s="172">
        <v>2.5755918614750201E-2</v>
      </c>
      <c r="F164" s="172">
        <v>2.46362727212069E-2</v>
      </c>
      <c r="G164" s="172">
        <v>1.0454470490002099</v>
      </c>
    </row>
    <row r="165" spans="2:7" hidden="1" x14ac:dyDescent="0.3">
      <c r="B165" s="172" t="s">
        <v>185</v>
      </c>
      <c r="C165" s="172" t="s">
        <v>80</v>
      </c>
      <c r="D165" s="172" t="s">
        <v>221</v>
      </c>
      <c r="E165" s="172">
        <v>6.3047731812935796E-3</v>
      </c>
      <c r="F165" s="172">
        <v>5.2934801161577004E-3</v>
      </c>
      <c r="G165" s="172">
        <v>1.1910450295352999</v>
      </c>
    </row>
    <row r="166" spans="2:7" x14ac:dyDescent="0.3">
      <c r="B166" s="172" t="s">
        <v>183</v>
      </c>
      <c r="C166" s="172" t="s">
        <v>80</v>
      </c>
      <c r="D166" s="172" t="s">
        <v>218</v>
      </c>
      <c r="E166" s="172">
        <v>2.3880868882698299E-2</v>
      </c>
      <c r="F166" s="172">
        <v>2.3018234469407699E-2</v>
      </c>
      <c r="G166" s="172">
        <v>1.03747613286489</v>
      </c>
    </row>
    <row r="167" spans="2:7" hidden="1" x14ac:dyDescent="0.3">
      <c r="B167" s="172" t="s">
        <v>183</v>
      </c>
      <c r="C167" s="172" t="s">
        <v>80</v>
      </c>
      <c r="D167" s="172" t="s">
        <v>221</v>
      </c>
      <c r="E167" s="172">
        <v>5.6663583972459504E-3</v>
      </c>
      <c r="F167" s="172">
        <v>4.8872047336285902E-3</v>
      </c>
      <c r="G167" s="172">
        <v>1.15942726079308</v>
      </c>
    </row>
    <row r="168" spans="2:7" x14ac:dyDescent="0.3">
      <c r="B168" s="172" t="s">
        <v>181</v>
      </c>
      <c r="C168" s="172" t="s">
        <v>80</v>
      </c>
      <c r="D168" s="172" t="s">
        <v>218</v>
      </c>
      <c r="E168" s="172">
        <v>2.1524770505324298E-2</v>
      </c>
      <c r="F168" s="172">
        <v>2.08847623919407E-2</v>
      </c>
      <c r="G168" s="172">
        <v>1.03064473999621</v>
      </c>
    </row>
    <row r="169" spans="2:7" hidden="1" x14ac:dyDescent="0.3">
      <c r="B169" s="172" t="s">
        <v>181</v>
      </c>
      <c r="C169" s="172" t="s">
        <v>80</v>
      </c>
      <c r="D169" s="172" t="s">
        <v>221</v>
      </c>
      <c r="E169" s="172">
        <v>4.9624677545116796E-3</v>
      </c>
      <c r="F169" s="172">
        <v>4.3843959101652003E-3</v>
      </c>
      <c r="G169" s="172">
        <v>1.1318475466611599</v>
      </c>
    </row>
    <row r="170" spans="2:7" x14ac:dyDescent="0.3">
      <c r="B170" s="172" t="s">
        <v>179</v>
      </c>
      <c r="C170" s="172" t="s">
        <v>80</v>
      </c>
      <c r="D170" s="172" t="s">
        <v>218</v>
      </c>
      <c r="E170" s="172">
        <v>1.8771594071968298E-2</v>
      </c>
      <c r="F170" s="172">
        <v>1.8319219656981401E-2</v>
      </c>
      <c r="G170" s="172">
        <v>1.0246939784258</v>
      </c>
    </row>
    <row r="171" spans="2:7" hidden="1" x14ac:dyDescent="0.3">
      <c r="B171" s="172" t="s">
        <v>179</v>
      </c>
      <c r="C171" s="172" t="s">
        <v>80</v>
      </c>
      <c r="D171" s="172" t="s">
        <v>221</v>
      </c>
      <c r="E171" s="172">
        <v>4.2134693269881398E-3</v>
      </c>
      <c r="F171" s="172">
        <v>3.8048730811935101E-3</v>
      </c>
      <c r="G171" s="172">
        <v>1.1073876150598101</v>
      </c>
    </row>
    <row r="172" spans="2:7" x14ac:dyDescent="0.3">
      <c r="B172" s="172" t="s">
        <v>39</v>
      </c>
      <c r="C172" s="172" t="s">
        <v>80</v>
      </c>
      <c r="D172" s="172" t="s">
        <v>218</v>
      </c>
      <c r="E172" s="172">
        <v>1.57164722306396E-2</v>
      </c>
      <c r="F172" s="172">
        <v>1.54181866573433E-2</v>
      </c>
      <c r="G172" s="172">
        <v>1.01934634596956</v>
      </c>
    </row>
    <row r="173" spans="2:7" hidden="1" x14ac:dyDescent="0.3">
      <c r="B173" s="172" t="s">
        <v>39</v>
      </c>
      <c r="C173" s="172" t="s">
        <v>80</v>
      </c>
      <c r="D173" s="172" t="s">
        <v>221</v>
      </c>
      <c r="E173" s="172">
        <v>3.43838710361106E-3</v>
      </c>
      <c r="F173" s="172">
        <v>3.1689678761176701E-3</v>
      </c>
      <c r="G173" s="172">
        <v>1.0850179736827901</v>
      </c>
    </row>
    <row r="174" spans="2:7" x14ac:dyDescent="0.3">
      <c r="B174" s="172" t="s">
        <v>26</v>
      </c>
      <c r="C174" s="172" t="s">
        <v>80</v>
      </c>
      <c r="D174" s="172" t="s">
        <v>218</v>
      </c>
      <c r="E174" s="172">
        <v>1.2549902046726799E-2</v>
      </c>
      <c r="F174" s="172">
        <v>1.2367887159503901E-2</v>
      </c>
      <c r="G174" s="172">
        <v>1.0147167325247599</v>
      </c>
    </row>
    <row r="175" spans="2:7" hidden="1" x14ac:dyDescent="0.3">
      <c r="B175" s="172" t="s">
        <v>26</v>
      </c>
      <c r="C175" s="172" t="s">
        <v>80</v>
      </c>
      <c r="D175" s="172" t="s">
        <v>221</v>
      </c>
      <c r="E175" s="172">
        <v>2.6754072708742201E-3</v>
      </c>
      <c r="F175" s="172">
        <v>2.5110067275761899E-3</v>
      </c>
      <c r="G175" s="172">
        <v>1.0654719644884101</v>
      </c>
    </row>
    <row r="176" spans="2:7" x14ac:dyDescent="0.3">
      <c r="B176" s="172" t="s">
        <v>25</v>
      </c>
      <c r="C176" s="172" t="s">
        <v>80</v>
      </c>
      <c r="D176" s="172" t="s">
        <v>218</v>
      </c>
      <c r="E176" s="172">
        <v>9.3472644735148099E-3</v>
      </c>
      <c r="F176" s="172">
        <v>9.2401001318968695E-3</v>
      </c>
      <c r="G176" s="172">
        <v>1.01159774678718</v>
      </c>
    </row>
    <row r="177" spans="2:7" hidden="1" x14ac:dyDescent="0.3">
      <c r="B177" s="172" t="s">
        <v>25</v>
      </c>
      <c r="C177" s="172" t="s">
        <v>80</v>
      </c>
      <c r="D177" s="172" t="s">
        <v>221</v>
      </c>
      <c r="E177" s="172">
        <v>1.9420626615258699E-3</v>
      </c>
      <c r="F177" s="172">
        <v>1.84526906264516E-3</v>
      </c>
      <c r="G177" s="172">
        <v>1.05245500552747</v>
      </c>
    </row>
    <row r="178" spans="2:7" x14ac:dyDescent="0.3">
      <c r="B178" s="172" t="s">
        <v>24</v>
      </c>
      <c r="C178" s="172" t="s">
        <v>80</v>
      </c>
      <c r="D178" s="172" t="s">
        <v>218</v>
      </c>
      <c r="E178" s="172">
        <v>6.0795887508182699E-3</v>
      </c>
      <c r="F178" s="172">
        <v>5.9996576273331397E-3</v>
      </c>
      <c r="G178" s="172">
        <v>1.0133226141306799</v>
      </c>
    </row>
    <row r="179" spans="2:7" hidden="1" x14ac:dyDescent="0.3">
      <c r="B179" s="172" t="s">
        <v>24</v>
      </c>
      <c r="C179" s="172" t="s">
        <v>80</v>
      </c>
      <c r="D179" s="172" t="s">
        <v>221</v>
      </c>
      <c r="E179" s="172">
        <v>1.2433787589145901E-3</v>
      </c>
      <c r="F179" s="172">
        <v>1.17118290544415E-3</v>
      </c>
      <c r="G179" s="172">
        <v>1.06164353418654</v>
      </c>
    </row>
    <row r="180" spans="2:7" x14ac:dyDescent="0.3">
      <c r="B180" s="172" t="s">
        <v>22</v>
      </c>
      <c r="C180" s="172" t="s">
        <v>80</v>
      </c>
      <c r="D180" s="172" t="s">
        <v>218</v>
      </c>
      <c r="E180" s="172">
        <v>2.8391696992427799E-3</v>
      </c>
      <c r="F180" s="172">
        <v>2.7560800238638299E-3</v>
      </c>
      <c r="G180" s="172">
        <v>1.0301477731631601</v>
      </c>
    </row>
    <row r="181" spans="2:7" hidden="1" x14ac:dyDescent="0.3">
      <c r="B181" s="172" t="s">
        <v>22</v>
      </c>
      <c r="C181" s="172" t="s">
        <v>80</v>
      </c>
      <c r="D181" s="172" t="s">
        <v>221</v>
      </c>
      <c r="E181" s="172">
        <v>5.9472401036384198E-4</v>
      </c>
      <c r="F181" s="172">
        <v>5.1967527131188196E-4</v>
      </c>
      <c r="G181" s="172">
        <v>1.14441468200421</v>
      </c>
    </row>
    <row r="182" spans="2:7" hidden="1" x14ac:dyDescent="0.3">
      <c r="B182" s="172" t="s">
        <v>189</v>
      </c>
      <c r="C182" s="172" t="s">
        <v>81</v>
      </c>
      <c r="D182" s="172" t="s">
        <v>218</v>
      </c>
      <c r="E182" s="172">
        <v>6.5303838092404696E-3</v>
      </c>
      <c r="F182" s="172">
        <v>6.3049634467435998E-3</v>
      </c>
      <c r="G182" s="172">
        <v>1.0357528420903499</v>
      </c>
    </row>
    <row r="183" spans="2:7" hidden="1" x14ac:dyDescent="0.3">
      <c r="B183" s="172" t="s">
        <v>189</v>
      </c>
      <c r="C183" s="172" t="s">
        <v>81</v>
      </c>
      <c r="D183" s="172" t="s">
        <v>221</v>
      </c>
      <c r="E183" s="172">
        <v>3.3658532768934601E-2</v>
      </c>
      <c r="F183" s="172">
        <v>3.33767573158135E-2</v>
      </c>
      <c r="G183" s="172">
        <v>1.0084422656897101</v>
      </c>
    </row>
    <row r="184" spans="2:7" hidden="1" x14ac:dyDescent="0.3">
      <c r="B184" s="172" t="s">
        <v>187</v>
      </c>
      <c r="C184" s="172" t="s">
        <v>81</v>
      </c>
      <c r="D184" s="172" t="s">
        <v>218</v>
      </c>
      <c r="E184" s="172">
        <v>6.0492505183944801E-3</v>
      </c>
      <c r="F184" s="172">
        <v>4.7464455067088599E-3</v>
      </c>
      <c r="G184" s="172">
        <v>1.27448013673478</v>
      </c>
    </row>
    <row r="185" spans="2:7" hidden="1" x14ac:dyDescent="0.3">
      <c r="B185" s="172" t="s">
        <v>187</v>
      </c>
      <c r="C185" s="172" t="s">
        <v>81</v>
      </c>
      <c r="D185" s="172" t="s">
        <v>221</v>
      </c>
      <c r="E185" s="172">
        <v>3.1993805936734503E-2</v>
      </c>
      <c r="F185" s="172">
        <v>3.08170788294055E-2</v>
      </c>
      <c r="G185" s="172">
        <v>1.0381842521104301</v>
      </c>
    </row>
    <row r="186" spans="2:7" hidden="1" x14ac:dyDescent="0.3">
      <c r="B186" s="172" t="s">
        <v>185</v>
      </c>
      <c r="C186" s="172" t="s">
        <v>81</v>
      </c>
      <c r="D186" s="172" t="s">
        <v>218</v>
      </c>
      <c r="E186" s="172">
        <v>5.53460808202739E-3</v>
      </c>
      <c r="F186" s="172">
        <v>4.5369993027510299E-3</v>
      </c>
      <c r="G186" s="172">
        <v>1.2198829474519599</v>
      </c>
    </row>
    <row r="187" spans="2:7" hidden="1" x14ac:dyDescent="0.3">
      <c r="B187" s="172" t="s">
        <v>185</v>
      </c>
      <c r="C187" s="172" t="s">
        <v>81</v>
      </c>
      <c r="D187" s="172" t="s">
        <v>221</v>
      </c>
      <c r="E187" s="172">
        <v>3.0435396226547499E-2</v>
      </c>
      <c r="F187" s="172">
        <v>2.9534330232362401E-2</v>
      </c>
      <c r="G187" s="172">
        <v>1.0305091054070299</v>
      </c>
    </row>
    <row r="188" spans="2:7" hidden="1" x14ac:dyDescent="0.3">
      <c r="B188" s="172" t="s">
        <v>183</v>
      </c>
      <c r="C188" s="172" t="s">
        <v>81</v>
      </c>
      <c r="D188" s="172" t="s">
        <v>218</v>
      </c>
      <c r="E188" s="172">
        <v>4.9386705331411103E-3</v>
      </c>
      <c r="F188" s="172">
        <v>4.2239576447475596E-3</v>
      </c>
      <c r="G188" s="172">
        <v>1.16920455849795</v>
      </c>
    </row>
    <row r="189" spans="2:7" hidden="1" x14ac:dyDescent="0.3">
      <c r="B189" s="172" t="s">
        <v>183</v>
      </c>
      <c r="C189" s="172" t="s">
        <v>81</v>
      </c>
      <c r="D189" s="172" t="s">
        <v>221</v>
      </c>
      <c r="E189" s="172">
        <v>2.8216275660272301E-2</v>
      </c>
      <c r="F189" s="172">
        <v>2.7570728535271601E-2</v>
      </c>
      <c r="G189" s="172">
        <v>1.02341422078037</v>
      </c>
    </row>
    <row r="190" spans="2:7" hidden="1" x14ac:dyDescent="0.3">
      <c r="B190" s="172" t="s">
        <v>181</v>
      </c>
      <c r="C190" s="172" t="s">
        <v>81</v>
      </c>
      <c r="D190" s="172" t="s">
        <v>218</v>
      </c>
      <c r="E190" s="172">
        <v>4.3018742293130501E-3</v>
      </c>
      <c r="F190" s="172">
        <v>3.8180851988596299E-3</v>
      </c>
      <c r="G190" s="172">
        <v>1.12670985723365</v>
      </c>
    </row>
    <row r="191" spans="2:7" hidden="1" x14ac:dyDescent="0.3">
      <c r="B191" s="172" t="s">
        <v>181</v>
      </c>
      <c r="C191" s="172" t="s">
        <v>81</v>
      </c>
      <c r="D191" s="172" t="s">
        <v>221</v>
      </c>
      <c r="E191" s="172">
        <v>2.5421756159099699E-2</v>
      </c>
      <c r="F191" s="172">
        <v>2.4984785421916001E-2</v>
      </c>
      <c r="G191" s="172">
        <v>1.0174894732856301</v>
      </c>
    </row>
    <row r="192" spans="2:7" hidden="1" x14ac:dyDescent="0.3">
      <c r="B192" s="172" t="s">
        <v>179</v>
      </c>
      <c r="C192" s="172" t="s">
        <v>81</v>
      </c>
      <c r="D192" s="172" t="s">
        <v>218</v>
      </c>
      <c r="E192" s="172">
        <v>3.6405186676946098E-3</v>
      </c>
      <c r="F192" s="172">
        <v>3.3374342948225E-3</v>
      </c>
      <c r="G192" s="172">
        <v>1.09081358495725</v>
      </c>
    </row>
    <row r="193" spans="2:7" hidden="1" x14ac:dyDescent="0.3">
      <c r="B193" s="172" t="s">
        <v>179</v>
      </c>
      <c r="C193" s="172" t="s">
        <v>81</v>
      </c>
      <c r="D193" s="172" t="s">
        <v>221</v>
      </c>
      <c r="E193" s="172">
        <v>2.21533570507816E-2</v>
      </c>
      <c r="F193" s="172">
        <v>2.18796034236713E-2</v>
      </c>
      <c r="G193" s="172">
        <v>1.0125118185101201</v>
      </c>
    </row>
    <row r="194" spans="2:7" hidden="1" x14ac:dyDescent="0.3">
      <c r="B194" s="172" t="s">
        <v>39</v>
      </c>
      <c r="C194" s="172" t="s">
        <v>81</v>
      </c>
      <c r="D194" s="172" t="s">
        <v>218</v>
      </c>
      <c r="E194" s="172">
        <v>2.96724699173067E-3</v>
      </c>
      <c r="F194" s="172">
        <v>2.8006972714042398E-3</v>
      </c>
      <c r="G194" s="172">
        <v>1.0594672341159299</v>
      </c>
    </row>
    <row r="195" spans="2:7" hidden="1" x14ac:dyDescent="0.3">
      <c r="B195" s="172" t="s">
        <v>39</v>
      </c>
      <c r="C195" s="172" t="s">
        <v>81</v>
      </c>
      <c r="D195" s="172" t="s">
        <v>221</v>
      </c>
      <c r="E195" s="172">
        <v>1.8524786829636201E-2</v>
      </c>
      <c r="F195" s="172">
        <v>1.8374354824180001E-2</v>
      </c>
      <c r="G195" s="172">
        <v>1.0081870632681</v>
      </c>
    </row>
    <row r="196" spans="2:7" hidden="1" x14ac:dyDescent="0.3">
      <c r="B196" s="172" t="s">
        <v>26</v>
      </c>
      <c r="C196" s="172" t="s">
        <v>81</v>
      </c>
      <c r="D196" s="172" t="s">
        <v>218</v>
      </c>
      <c r="E196" s="172">
        <v>2.3027175977465598E-3</v>
      </c>
      <c r="F196" s="172">
        <v>2.2416732295498999E-3</v>
      </c>
      <c r="G196" s="172">
        <v>1.02723160868943</v>
      </c>
    </row>
    <row r="197" spans="2:7" hidden="1" x14ac:dyDescent="0.3">
      <c r="B197" s="172" t="s">
        <v>26</v>
      </c>
      <c r="C197" s="172" t="s">
        <v>81</v>
      </c>
      <c r="D197" s="172" t="s">
        <v>221</v>
      </c>
      <c r="E197" s="172">
        <v>1.47366474610205E-2</v>
      </c>
      <c r="F197" s="172">
        <v>1.46815106123267E-2</v>
      </c>
      <c r="G197" s="172">
        <v>1.00375552966923</v>
      </c>
    </row>
    <row r="198" spans="2:7" hidden="1" x14ac:dyDescent="0.3">
      <c r="B198" s="172" t="s">
        <v>25</v>
      </c>
      <c r="C198" s="172" t="s">
        <v>81</v>
      </c>
      <c r="D198" s="172" t="s">
        <v>218</v>
      </c>
      <c r="E198" s="172">
        <v>1.67961189076273E-3</v>
      </c>
      <c r="F198" s="172">
        <v>1.6749473301633101E-3</v>
      </c>
      <c r="G198" s="172">
        <v>1.0027848998684401</v>
      </c>
    </row>
    <row r="199" spans="2:7" hidden="1" x14ac:dyDescent="0.3">
      <c r="B199" s="172" t="s">
        <v>25</v>
      </c>
      <c r="C199" s="172" t="s">
        <v>81</v>
      </c>
      <c r="D199" s="172" t="s">
        <v>221</v>
      </c>
      <c r="E199" s="172">
        <v>1.0889447120182E-2</v>
      </c>
      <c r="F199" s="172">
        <v>1.0885233968672799E-2</v>
      </c>
      <c r="G199" s="172">
        <v>1.00038705199367</v>
      </c>
    </row>
    <row r="200" spans="2:7" hidden="1" x14ac:dyDescent="0.3">
      <c r="B200" s="172" t="s">
        <v>24</v>
      </c>
      <c r="C200" s="172" t="s">
        <v>81</v>
      </c>
      <c r="D200" s="172" t="s">
        <v>218</v>
      </c>
      <c r="E200" s="172">
        <v>1.10205410087778E-3</v>
      </c>
      <c r="F200" s="172">
        <v>1.0892266822369601E-3</v>
      </c>
      <c r="G200" s="172">
        <v>1.01177662909844</v>
      </c>
    </row>
    <row r="201" spans="2:7" hidden="1" x14ac:dyDescent="0.3">
      <c r="B201" s="172" t="s">
        <v>24</v>
      </c>
      <c r="C201" s="172" t="s">
        <v>81</v>
      </c>
      <c r="D201" s="172" t="s">
        <v>221</v>
      </c>
      <c r="E201" s="172">
        <v>6.9701199108438E-3</v>
      </c>
      <c r="F201" s="172">
        <v>6.9585338552972404E-3</v>
      </c>
      <c r="G201" s="172">
        <v>1.00166501389337</v>
      </c>
    </row>
    <row r="202" spans="2:7" hidden="1" x14ac:dyDescent="0.3">
      <c r="B202" s="172" t="s">
        <v>22</v>
      </c>
      <c r="C202" s="172" t="s">
        <v>81</v>
      </c>
      <c r="D202" s="172" t="s">
        <v>218</v>
      </c>
      <c r="E202" s="172">
        <v>5.2490943360304501E-4</v>
      </c>
      <c r="F202" s="172">
        <v>5.0287946507541104E-4</v>
      </c>
      <c r="G202" s="172">
        <v>1.0438076518482</v>
      </c>
    </row>
    <row r="203" spans="2:7" hidden="1" x14ac:dyDescent="0.3">
      <c r="B203" s="172" t="s">
        <v>22</v>
      </c>
      <c r="C203" s="172" t="s">
        <v>81</v>
      </c>
      <c r="D203" s="172" t="s">
        <v>221</v>
      </c>
      <c r="E203" s="172">
        <v>3.0987002257307499E-3</v>
      </c>
      <c r="F203" s="172">
        <v>3.07880218964127E-3</v>
      </c>
      <c r="G203" s="172">
        <v>1.00646291475186</v>
      </c>
    </row>
    <row r="204" spans="2:7" hidden="1" x14ac:dyDescent="0.3">
      <c r="B204" s="172" t="s">
        <v>189</v>
      </c>
      <c r="C204" s="172" t="s">
        <v>82</v>
      </c>
      <c r="D204" s="172" t="s">
        <v>221</v>
      </c>
      <c r="E204" s="172">
        <v>2.9813715418951E-2</v>
      </c>
      <c r="F204" s="172">
        <v>2.92927299158149E-2</v>
      </c>
      <c r="G204" s="172">
        <v>1.0177854882297901</v>
      </c>
    </row>
    <row r="205" spans="2:7" hidden="1" x14ac:dyDescent="0.3">
      <c r="B205" s="172" t="s">
        <v>187</v>
      </c>
      <c r="C205" s="172" t="s">
        <v>82</v>
      </c>
      <c r="D205" s="172" t="s">
        <v>218</v>
      </c>
      <c r="E205" s="172">
        <v>8.7844335904652907E-3</v>
      </c>
      <c r="F205" s="172">
        <v>5.2647025595594903E-3</v>
      </c>
      <c r="G205" s="172">
        <v>1.6685526848073799</v>
      </c>
    </row>
    <row r="206" spans="2:7" hidden="1" x14ac:dyDescent="0.3">
      <c r="B206" s="172" t="s">
        <v>187</v>
      </c>
      <c r="C206" s="172" t="s">
        <v>82</v>
      </c>
      <c r="D206" s="172" t="s">
        <v>221</v>
      </c>
      <c r="E206" s="172">
        <v>3.3683229105345401E-2</v>
      </c>
      <c r="F206" s="172">
        <v>3.0504117206462698E-2</v>
      </c>
      <c r="G206" s="172">
        <v>1.1042191084359301</v>
      </c>
    </row>
    <row r="207" spans="2:7" hidden="1" x14ac:dyDescent="0.3">
      <c r="B207" s="172" t="s">
        <v>185</v>
      </c>
      <c r="C207" s="172" t="s">
        <v>82</v>
      </c>
      <c r="D207" s="172" t="s">
        <v>218</v>
      </c>
      <c r="E207" s="172">
        <v>8.6607908716835793E-3</v>
      </c>
      <c r="F207" s="172">
        <v>5.0498579375926897E-3</v>
      </c>
      <c r="G207" s="172">
        <v>1.71505633994374</v>
      </c>
    </row>
    <row r="208" spans="2:7" hidden="1" x14ac:dyDescent="0.3">
      <c r="B208" s="172" t="s">
        <v>185</v>
      </c>
      <c r="C208" s="172" t="s">
        <v>82</v>
      </c>
      <c r="D208" s="172" t="s">
        <v>221</v>
      </c>
      <c r="E208" s="172">
        <v>3.2524997561378902E-2</v>
      </c>
      <c r="F208" s="172">
        <v>2.92635097499419E-2</v>
      </c>
      <c r="G208" s="172">
        <v>1.1114523800906499</v>
      </c>
    </row>
    <row r="209" spans="2:7" hidden="1" x14ac:dyDescent="0.3">
      <c r="B209" s="172" t="s">
        <v>183</v>
      </c>
      <c r="C209" s="172" t="s">
        <v>82</v>
      </c>
      <c r="D209" s="172" t="s">
        <v>218</v>
      </c>
      <c r="E209" s="172">
        <v>8.2865450506344595E-3</v>
      </c>
      <c r="F209" s="172">
        <v>4.7170761484313798E-3</v>
      </c>
      <c r="G209" s="172">
        <v>1.7567121644602</v>
      </c>
    </row>
    <row r="210" spans="2:7" hidden="1" x14ac:dyDescent="0.3">
      <c r="B210" s="172" t="s">
        <v>183</v>
      </c>
      <c r="C210" s="172" t="s">
        <v>82</v>
      </c>
      <c r="D210" s="172" t="s">
        <v>221</v>
      </c>
      <c r="E210" s="172">
        <v>3.0567786039194401E-2</v>
      </c>
      <c r="F210" s="172">
        <v>2.7343749611398099E-2</v>
      </c>
      <c r="G210" s="172">
        <v>1.1179076196065101</v>
      </c>
    </row>
    <row r="211" spans="2:7" hidden="1" x14ac:dyDescent="0.3">
      <c r="B211" s="172" t="s">
        <v>181</v>
      </c>
      <c r="C211" s="172" t="s">
        <v>82</v>
      </c>
      <c r="D211" s="172" t="s">
        <v>218</v>
      </c>
      <c r="E211" s="172">
        <v>7.6532579888408401E-3</v>
      </c>
      <c r="F211" s="172">
        <v>4.2750920194732202E-3</v>
      </c>
      <c r="G211" s="172">
        <v>1.7901972528263601</v>
      </c>
    </row>
    <row r="212" spans="2:7" hidden="1" x14ac:dyDescent="0.3">
      <c r="B212" s="172" t="s">
        <v>181</v>
      </c>
      <c r="C212" s="172" t="s">
        <v>82</v>
      </c>
      <c r="D212" s="172" t="s">
        <v>221</v>
      </c>
      <c r="E212" s="172">
        <v>2.7849926969251999E-2</v>
      </c>
      <c r="F212" s="172">
        <v>2.4798680287242501E-2</v>
      </c>
      <c r="G212" s="172">
        <v>1.1230406879183501</v>
      </c>
    </row>
    <row r="213" spans="2:7" hidden="1" x14ac:dyDescent="0.3">
      <c r="B213" s="172" t="s">
        <v>179</v>
      </c>
      <c r="C213" s="172" t="s">
        <v>82</v>
      </c>
      <c r="D213" s="172" t="s">
        <v>218</v>
      </c>
      <c r="E213" s="172">
        <v>6.7996548727585803E-3</v>
      </c>
      <c r="F213" s="172">
        <v>3.7440350684682299E-3</v>
      </c>
      <c r="G213" s="172">
        <v>1.81613012389344</v>
      </c>
    </row>
    <row r="214" spans="2:7" hidden="1" x14ac:dyDescent="0.3">
      <c r="B214" s="172" t="s">
        <v>179</v>
      </c>
      <c r="C214" s="172" t="s">
        <v>82</v>
      </c>
      <c r="D214" s="172" t="s">
        <v>221</v>
      </c>
      <c r="E214" s="172">
        <v>2.4490731773978001E-2</v>
      </c>
      <c r="F214" s="172">
        <v>2.1730817112038399E-2</v>
      </c>
      <c r="G214" s="172">
        <v>1.12700464265611</v>
      </c>
    </row>
    <row r="215" spans="2:7" hidden="1" x14ac:dyDescent="0.3">
      <c r="B215" s="172" t="s">
        <v>39</v>
      </c>
      <c r="C215" s="172" t="s">
        <v>82</v>
      </c>
      <c r="D215" s="172" t="s">
        <v>218</v>
      </c>
      <c r="E215" s="172">
        <v>5.77483016099661E-3</v>
      </c>
      <c r="F215" s="172">
        <v>3.1461137243225098E-3</v>
      </c>
      <c r="G215" s="172">
        <v>1.83554399713894</v>
      </c>
    </row>
    <row r="216" spans="2:7" hidden="1" x14ac:dyDescent="0.3">
      <c r="B216" s="172" t="s">
        <v>39</v>
      </c>
      <c r="C216" s="172" t="s">
        <v>82</v>
      </c>
      <c r="D216" s="172" t="s">
        <v>221</v>
      </c>
      <c r="E216" s="172">
        <v>2.0634409286637099E-2</v>
      </c>
      <c r="F216" s="172">
        <v>1.8260084763189601E-2</v>
      </c>
      <c r="G216" s="172">
        <v>1.13002812167849</v>
      </c>
    </row>
    <row r="217" spans="2:7" hidden="1" x14ac:dyDescent="0.3">
      <c r="B217" s="172" t="s">
        <v>26</v>
      </c>
      <c r="C217" s="172" t="s">
        <v>82</v>
      </c>
      <c r="D217" s="172" t="s">
        <v>218</v>
      </c>
      <c r="E217" s="172">
        <v>4.6885580863216701E-3</v>
      </c>
      <c r="F217" s="172">
        <v>2.5217618351140699E-3</v>
      </c>
      <c r="G217" s="172">
        <v>1.8592390530446701</v>
      </c>
    </row>
    <row r="218" spans="2:7" hidden="1" x14ac:dyDescent="0.3">
      <c r="B218" s="172" t="s">
        <v>26</v>
      </c>
      <c r="C218" s="172" t="s">
        <v>82</v>
      </c>
      <c r="D218" s="172" t="s">
        <v>221</v>
      </c>
      <c r="E218" s="172">
        <v>1.65563574663944E-2</v>
      </c>
      <c r="F218" s="172">
        <v>1.4599251174981001E-2</v>
      </c>
      <c r="G218" s="172">
        <v>1.1340552517356</v>
      </c>
    </row>
    <row r="219" spans="2:7" hidden="1" x14ac:dyDescent="0.3">
      <c r="B219" s="172" t="s">
        <v>25</v>
      </c>
      <c r="C219" s="172" t="s">
        <v>82</v>
      </c>
      <c r="D219" s="172" t="s">
        <v>218</v>
      </c>
      <c r="E219" s="172">
        <v>3.5618716830372798E-3</v>
      </c>
      <c r="F219" s="172">
        <v>1.8865017304979699E-3</v>
      </c>
      <c r="G219" s="172">
        <v>1.8880829131797701</v>
      </c>
    </row>
    <row r="220" spans="2:7" hidden="1" x14ac:dyDescent="0.3">
      <c r="B220" s="172" t="s">
        <v>25</v>
      </c>
      <c r="C220" s="172" t="s">
        <v>82</v>
      </c>
      <c r="D220" s="172" t="s">
        <v>221</v>
      </c>
      <c r="E220" s="172">
        <v>1.2344402925324899E-2</v>
      </c>
      <c r="F220" s="172">
        <v>1.0831165548837699E-2</v>
      </c>
      <c r="G220" s="172">
        <v>1.1397114068346501</v>
      </c>
    </row>
    <row r="221" spans="2:7" hidden="1" x14ac:dyDescent="0.3">
      <c r="B221" s="172" t="s">
        <v>24</v>
      </c>
      <c r="C221" s="172" t="s">
        <v>82</v>
      </c>
      <c r="D221" s="172" t="s">
        <v>218</v>
      </c>
      <c r="E221" s="172">
        <v>2.33533190726316E-3</v>
      </c>
      <c r="F221" s="172">
        <v>1.22538299055035E-3</v>
      </c>
      <c r="G221" s="172">
        <v>1.9057975549459001</v>
      </c>
    </row>
    <row r="222" spans="2:7" hidden="1" x14ac:dyDescent="0.3">
      <c r="B222" s="172" t="s">
        <v>24</v>
      </c>
      <c r="C222" s="172" t="s">
        <v>82</v>
      </c>
      <c r="D222" s="172" t="s">
        <v>221</v>
      </c>
      <c r="E222" s="172">
        <v>7.9284781577044893E-3</v>
      </c>
      <c r="F222" s="172">
        <v>6.92594365228647E-3</v>
      </c>
      <c r="G222" s="172">
        <v>1.1447506008927799</v>
      </c>
    </row>
    <row r="223" spans="2:7" hidden="1" x14ac:dyDescent="0.3">
      <c r="B223" s="172" t="s">
        <v>22</v>
      </c>
      <c r="C223" s="172" t="s">
        <v>82</v>
      </c>
      <c r="D223" s="172" t="s">
        <v>218</v>
      </c>
      <c r="E223" s="172">
        <v>1.05899171853155E-3</v>
      </c>
      <c r="F223" s="172">
        <v>5.6066272793209402E-4</v>
      </c>
      <c r="G223" s="172">
        <v>1.8888213283544899</v>
      </c>
    </row>
    <row r="224" spans="2:7" hidden="1" x14ac:dyDescent="0.3">
      <c r="B224" s="172" t="s">
        <v>22</v>
      </c>
      <c r="C224" s="172" t="s">
        <v>82</v>
      </c>
      <c r="D224" s="172" t="s">
        <v>221</v>
      </c>
      <c r="E224" s="172">
        <v>3.5106577922674E-3</v>
      </c>
      <c r="F224" s="172">
        <v>3.0605541878549899E-3</v>
      </c>
      <c r="G224" s="172">
        <v>1.14706604646914</v>
      </c>
    </row>
    <row r="225" spans="2:7" hidden="1" x14ac:dyDescent="0.3">
      <c r="B225" s="172" t="s">
        <v>189</v>
      </c>
      <c r="C225" s="172" t="s">
        <v>246</v>
      </c>
      <c r="D225" s="172" t="s">
        <v>218</v>
      </c>
      <c r="E225" s="172">
        <v>8.7392938193075304E-4</v>
      </c>
      <c r="F225" s="172">
        <v>8.1039973545349504E-4</v>
      </c>
      <c r="G225" s="172">
        <v>1.07839297534038</v>
      </c>
    </row>
    <row r="226" spans="2:7" hidden="1" x14ac:dyDescent="0.3">
      <c r="B226" s="172" t="s">
        <v>189</v>
      </c>
      <c r="C226" s="172" t="s">
        <v>246</v>
      </c>
      <c r="D226" s="172" t="s">
        <v>221</v>
      </c>
      <c r="E226" s="172">
        <v>2.2302496363158999E-4</v>
      </c>
      <c r="F226" s="172">
        <v>1.43612905535018E-4</v>
      </c>
      <c r="G226" s="172">
        <v>1.55295906590518</v>
      </c>
    </row>
    <row r="227" spans="2:7" s="172" customFormat="1" hidden="1" x14ac:dyDescent="0.3">
      <c r="B227" s="172" t="s">
        <v>187</v>
      </c>
      <c r="C227" s="172" t="s">
        <v>246</v>
      </c>
      <c r="D227" s="172" t="s">
        <v>218</v>
      </c>
      <c r="E227" s="172">
        <v>9.0303575734491503E-4</v>
      </c>
      <c r="F227" s="172">
        <v>4.9973542156698104E-4</v>
      </c>
      <c r="G227" s="172">
        <v>1.8070277158127701</v>
      </c>
    </row>
    <row r="228" spans="2:7" hidden="1" x14ac:dyDescent="0.3">
      <c r="B228" s="172" t="s">
        <v>187</v>
      </c>
      <c r="C228" s="172" t="s">
        <v>246</v>
      </c>
      <c r="D228" s="172" t="s">
        <v>221</v>
      </c>
      <c r="E228" s="172">
        <v>6.3049549071613495E-4</v>
      </c>
      <c r="F228" s="172">
        <v>2.66224219690904E-4</v>
      </c>
      <c r="G228" s="172">
        <v>2.3682874963373499</v>
      </c>
    </row>
    <row r="229" spans="2:7" hidden="1" x14ac:dyDescent="0.3">
      <c r="B229" s="172" t="s">
        <v>185</v>
      </c>
      <c r="C229" s="172" t="s">
        <v>246</v>
      </c>
      <c r="D229" s="172" t="s">
        <v>218</v>
      </c>
      <c r="E229" s="172">
        <v>8.1649787659746997E-4</v>
      </c>
      <c r="F229" s="172">
        <v>4.5324950019678598E-4</v>
      </c>
      <c r="G229" s="172">
        <v>1.8014313887670601</v>
      </c>
    </row>
    <row r="230" spans="2:7" s="172" customFormat="1" hidden="1" x14ac:dyDescent="0.3">
      <c r="B230" s="172" t="s">
        <v>185</v>
      </c>
      <c r="C230" s="172" t="s">
        <v>246</v>
      </c>
      <c r="D230" s="172" t="s">
        <v>221</v>
      </c>
      <c r="E230" s="172">
        <v>5.5716033641311797E-4</v>
      </c>
      <c r="F230" s="172">
        <v>2.2906502869637099E-4</v>
      </c>
      <c r="G230" s="172">
        <v>2.4323238670868501</v>
      </c>
    </row>
    <row r="231" spans="2:7" hidden="1" x14ac:dyDescent="0.3">
      <c r="B231" s="172" t="s">
        <v>183</v>
      </c>
      <c r="C231" s="172" t="s">
        <v>246</v>
      </c>
      <c r="D231" s="172" t="s">
        <v>218</v>
      </c>
      <c r="E231" s="172">
        <v>7.3108143061495403E-4</v>
      </c>
      <c r="F231" s="172">
        <v>4.0871850145921099E-4</v>
      </c>
      <c r="G231" s="172">
        <v>1.7887162631611699</v>
      </c>
    </row>
    <row r="232" spans="2:7" hidden="1" x14ac:dyDescent="0.3">
      <c r="B232" s="172" t="s">
        <v>183</v>
      </c>
      <c r="C232" s="172" t="s">
        <v>246</v>
      </c>
      <c r="D232" s="172" t="s">
        <v>221</v>
      </c>
      <c r="E232" s="172">
        <v>4.8711578660956399E-4</v>
      </c>
      <c r="F232" s="172">
        <v>1.95949269952764E-4</v>
      </c>
      <c r="G232" s="172">
        <v>2.4859280502907102</v>
      </c>
    </row>
    <row r="233" spans="2:7" s="172" customFormat="1" hidden="1" x14ac:dyDescent="0.3">
      <c r="B233" s="172" t="s">
        <v>181</v>
      </c>
      <c r="C233" s="172" t="s">
        <v>246</v>
      </c>
      <c r="D233" s="172" t="s">
        <v>218</v>
      </c>
      <c r="E233" s="172">
        <v>6.4711193570169095E-4</v>
      </c>
      <c r="F233" s="172">
        <v>3.6492734926230302E-4</v>
      </c>
      <c r="G233" s="172">
        <v>1.7732623685504001</v>
      </c>
    </row>
    <row r="234" spans="2:7" hidden="1" x14ac:dyDescent="0.3">
      <c r="B234" s="172" t="s">
        <v>181</v>
      </c>
      <c r="C234" s="172" t="s">
        <v>246</v>
      </c>
      <c r="D234" s="172" t="s">
        <v>221</v>
      </c>
      <c r="E234" s="172">
        <v>4.1965525378846399E-4</v>
      </c>
      <c r="F234" s="172">
        <v>1.64778853133533E-4</v>
      </c>
      <c r="G234" s="172">
        <v>2.5467785811592298</v>
      </c>
    </row>
    <row r="235" spans="2:7" hidden="1" x14ac:dyDescent="0.3">
      <c r="B235" s="172" t="s">
        <v>179</v>
      </c>
      <c r="C235" s="172" t="s">
        <v>246</v>
      </c>
      <c r="D235" s="172" t="s">
        <v>218</v>
      </c>
      <c r="E235" s="172">
        <v>5.6536416058355497E-4</v>
      </c>
      <c r="F235" s="172">
        <v>3.22196384511042E-4</v>
      </c>
      <c r="G235" s="172">
        <v>1.7547191333060399</v>
      </c>
    </row>
    <row r="236" spans="2:7" s="172" customFormat="1" hidden="1" x14ac:dyDescent="0.3">
      <c r="B236" s="172" t="s">
        <v>179</v>
      </c>
      <c r="C236" s="172" t="s">
        <v>246</v>
      </c>
      <c r="D236" s="172" t="s">
        <v>221</v>
      </c>
      <c r="E236" s="172">
        <v>3.5532742935842599E-4</v>
      </c>
      <c r="F236" s="172">
        <v>1.3569201871228501E-4</v>
      </c>
      <c r="G236" s="172">
        <v>2.6186317569041901</v>
      </c>
    </row>
    <row r="237" spans="2:7" hidden="1" x14ac:dyDescent="0.3">
      <c r="B237" s="172" t="s">
        <v>39</v>
      </c>
      <c r="C237" s="172" t="s">
        <v>246</v>
      </c>
      <c r="D237" s="172" t="s">
        <v>218</v>
      </c>
      <c r="E237" s="172">
        <v>4.8544118728852998E-4</v>
      </c>
      <c r="F237" s="172">
        <v>2.7974636031805701E-4</v>
      </c>
      <c r="G237" s="172">
        <v>1.7352904493077499</v>
      </c>
    </row>
    <row r="238" spans="2:7" hidden="1" x14ac:dyDescent="0.3">
      <c r="B238" s="172" t="s">
        <v>39</v>
      </c>
      <c r="C238" s="172" t="s">
        <v>246</v>
      </c>
      <c r="D238" s="172" t="s">
        <v>221</v>
      </c>
      <c r="E238" s="172">
        <v>2.9404246662314898E-4</v>
      </c>
      <c r="F238" s="172">
        <v>1.08253590649818E-4</v>
      </c>
      <c r="G238" s="172">
        <v>2.7162375387096902</v>
      </c>
    </row>
    <row r="239" spans="2:7" s="172" customFormat="1" hidden="1" x14ac:dyDescent="0.3">
      <c r="B239" s="172" t="s">
        <v>26</v>
      </c>
      <c r="C239" s="172" t="s">
        <v>246</v>
      </c>
      <c r="D239" s="172" t="s">
        <v>218</v>
      </c>
      <c r="E239" s="172">
        <v>3.9941663394341598E-4</v>
      </c>
      <c r="F239" s="172">
        <v>2.30821838571612E-4</v>
      </c>
      <c r="G239" s="172">
        <v>1.73041093691617</v>
      </c>
    </row>
    <row r="240" spans="2:7" hidden="1" x14ac:dyDescent="0.3">
      <c r="B240" s="172" t="s">
        <v>26</v>
      </c>
      <c r="C240" s="172" t="s">
        <v>246</v>
      </c>
      <c r="D240" s="172" t="s">
        <v>221</v>
      </c>
      <c r="E240" s="172">
        <v>2.3203455499553799E-4</v>
      </c>
      <c r="F240" s="172">
        <v>7.9755384982296704E-5</v>
      </c>
      <c r="G240" s="172">
        <v>2.9093277531923798</v>
      </c>
    </row>
    <row r="241" spans="2:7" hidden="1" x14ac:dyDescent="0.3">
      <c r="B241" s="172" t="s">
        <v>25</v>
      </c>
      <c r="C241" s="172" t="s">
        <v>246</v>
      </c>
      <c r="D241" s="172" t="s">
        <v>218</v>
      </c>
      <c r="E241" s="172">
        <v>3.0474176831866501E-4</v>
      </c>
      <c r="F241" s="172">
        <v>1.7623645289032799E-4</v>
      </c>
      <c r="G241" s="172">
        <v>1.7291642184168701</v>
      </c>
    </row>
    <row r="242" spans="2:7" s="172" customFormat="1" hidden="1" x14ac:dyDescent="0.3">
      <c r="B242" s="172" t="s">
        <v>25</v>
      </c>
      <c r="C242" s="172" t="s">
        <v>246</v>
      </c>
      <c r="D242" s="172" t="s">
        <v>221</v>
      </c>
      <c r="E242" s="172">
        <v>1.70072037425399E-4</v>
      </c>
      <c r="F242" s="172">
        <v>5.4002720264320201E-5</v>
      </c>
      <c r="G242" s="172">
        <v>3.1493235265366102</v>
      </c>
    </row>
    <row r="243" spans="2:7" hidden="1" x14ac:dyDescent="0.3">
      <c r="B243" s="172" t="s">
        <v>24</v>
      </c>
      <c r="C243" s="172" t="s">
        <v>246</v>
      </c>
      <c r="D243" s="172" t="s">
        <v>218</v>
      </c>
      <c r="E243" s="172">
        <v>2.1236563634679899E-4</v>
      </c>
      <c r="F243" s="172">
        <v>1.2279927056673001E-4</v>
      </c>
      <c r="G243" s="172">
        <v>1.72937213198997</v>
      </c>
    </row>
    <row r="244" spans="2:7" hidden="1" x14ac:dyDescent="0.3">
      <c r="B244" s="172" t="s">
        <v>24</v>
      </c>
      <c r="C244" s="172" t="s">
        <v>246</v>
      </c>
      <c r="D244" s="172" t="s">
        <v>221</v>
      </c>
      <c r="E244" s="172">
        <v>1.13936471228438E-4</v>
      </c>
      <c r="F244" s="172">
        <v>3.3037818265795598E-5</v>
      </c>
      <c r="G244" s="172">
        <v>3.44866813879166</v>
      </c>
    </row>
    <row r="245" spans="2:7" hidden="1" x14ac:dyDescent="0.3">
      <c r="B245" s="172" t="s">
        <v>22</v>
      </c>
      <c r="C245" s="172" t="s">
        <v>246</v>
      </c>
      <c r="D245" s="172" t="s">
        <v>218</v>
      </c>
      <c r="E245" s="172">
        <v>1.16512762400003E-4</v>
      </c>
      <c r="F245" s="172">
        <v>6.6559947176774903E-5</v>
      </c>
      <c r="G245" s="172">
        <v>1.75049361278127</v>
      </c>
    </row>
    <row r="246" spans="2:7" hidden="1" x14ac:dyDescent="0.3">
      <c r="B246" s="172" t="s">
        <v>22</v>
      </c>
      <c r="C246" s="172" t="s">
        <v>246</v>
      </c>
      <c r="D246" s="172" t="s">
        <v>221</v>
      </c>
      <c r="E246" s="172">
        <v>6.0519322449778698E-5</v>
      </c>
      <c r="F246" s="172">
        <v>1.5400650635250099E-5</v>
      </c>
      <c r="G246" s="172">
        <v>3.92966010872669</v>
      </c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2.4272016453386301E-2</v>
      </c>
      <c r="F270" s="172">
        <v>2.3708306492626698E-2</v>
      </c>
      <c r="G270" s="172">
        <v>1.0237768969679499</v>
      </c>
    </row>
    <row r="271" spans="2:7" hidden="1" x14ac:dyDescent="0.3">
      <c r="B271" s="172" t="s">
        <v>189</v>
      </c>
      <c r="C271" s="172" t="s">
        <v>79</v>
      </c>
      <c r="D271" s="172" t="s">
        <v>221</v>
      </c>
      <c r="E271" s="172">
        <v>3.0866472721884802E-3</v>
      </c>
      <c r="F271" s="172">
        <v>2.3820098212388998E-3</v>
      </c>
      <c r="G271" s="172">
        <v>1.2958163499859501</v>
      </c>
    </row>
    <row r="272" spans="2:7" hidden="1" x14ac:dyDescent="0.3">
      <c r="B272" s="172" t="s">
        <v>187</v>
      </c>
      <c r="C272" s="172" t="s">
        <v>79</v>
      </c>
      <c r="D272" s="172" t="s">
        <v>218</v>
      </c>
      <c r="E272" s="172">
        <v>3.05748600321551E-2</v>
      </c>
      <c r="F272" s="172">
        <v>2.6298550442528799E-2</v>
      </c>
      <c r="G272" s="172">
        <v>1.16260628504873</v>
      </c>
    </row>
    <row r="273" spans="2:7" hidden="1" x14ac:dyDescent="0.3">
      <c r="B273" s="172" t="s">
        <v>187</v>
      </c>
      <c r="C273" s="172" t="s">
        <v>79</v>
      </c>
      <c r="D273" s="172" t="s">
        <v>221</v>
      </c>
      <c r="E273" s="172">
        <v>9.0813034713860003E-3</v>
      </c>
      <c r="F273" s="172">
        <v>5.2188302936590197E-3</v>
      </c>
      <c r="G273" s="172">
        <v>1.74010323394113</v>
      </c>
    </row>
    <row r="274" spans="2:7" hidden="1" x14ac:dyDescent="0.3">
      <c r="B274" s="172" t="s">
        <v>185</v>
      </c>
      <c r="C274" s="172" t="s">
        <v>79</v>
      </c>
      <c r="D274" s="172" t="s">
        <v>218</v>
      </c>
      <c r="E274" s="172">
        <v>2.95293143602623E-2</v>
      </c>
      <c r="F274" s="172">
        <v>2.5238880095989701E-2</v>
      </c>
      <c r="G274" s="172">
        <v>1.1699930523048201</v>
      </c>
    </row>
    <row r="275" spans="2:7" hidden="1" x14ac:dyDescent="0.3">
      <c r="B275" s="172" t="s">
        <v>185</v>
      </c>
      <c r="C275" s="172" t="s">
        <v>79</v>
      </c>
      <c r="D275" s="172" t="s">
        <v>221</v>
      </c>
      <c r="E275" s="172">
        <v>8.85151188566001E-3</v>
      </c>
      <c r="F275" s="172">
        <v>4.9762809372847798E-3</v>
      </c>
      <c r="G275" s="172">
        <v>1.7787403880958701</v>
      </c>
    </row>
    <row r="276" spans="2:7" hidden="1" x14ac:dyDescent="0.3">
      <c r="B276" s="172" t="s">
        <v>183</v>
      </c>
      <c r="C276" s="172" t="s">
        <v>79</v>
      </c>
      <c r="D276" s="172" t="s">
        <v>218</v>
      </c>
      <c r="E276" s="172">
        <v>2.7769948154111799E-2</v>
      </c>
      <c r="F276" s="172">
        <v>2.3598295760523299E-2</v>
      </c>
      <c r="G276" s="172">
        <v>1.1767776976745501</v>
      </c>
    </row>
    <row r="277" spans="2:7" hidden="1" x14ac:dyDescent="0.3">
      <c r="B277" s="172" t="s">
        <v>183</v>
      </c>
      <c r="C277" s="172" t="s">
        <v>79</v>
      </c>
      <c r="D277" s="172" t="s">
        <v>221</v>
      </c>
      <c r="E277" s="172">
        <v>8.3892254946044704E-3</v>
      </c>
      <c r="F277" s="172">
        <v>4.6212813971697204E-3</v>
      </c>
      <c r="G277" s="172">
        <v>1.8153461721119999</v>
      </c>
    </row>
    <row r="278" spans="2:7" hidden="1" x14ac:dyDescent="0.3">
      <c r="B278" s="172" t="s">
        <v>181</v>
      </c>
      <c r="C278" s="172" t="s">
        <v>79</v>
      </c>
      <c r="D278" s="172" t="s">
        <v>218</v>
      </c>
      <c r="E278" s="172">
        <v>2.5325432732021199E-2</v>
      </c>
      <c r="F278" s="172">
        <v>2.1422908566507699E-2</v>
      </c>
      <c r="G278" s="172">
        <v>1.1821659348168401</v>
      </c>
    </row>
    <row r="279" spans="2:7" hidden="1" x14ac:dyDescent="0.3">
      <c r="B279" s="172" t="s">
        <v>181</v>
      </c>
      <c r="C279" s="172" t="s">
        <v>79</v>
      </c>
      <c r="D279" s="172" t="s">
        <v>221</v>
      </c>
      <c r="E279" s="172">
        <v>7.6911739590836701E-3</v>
      </c>
      <c r="F279" s="172">
        <v>4.1663134224908501E-3</v>
      </c>
      <c r="G279" s="172">
        <v>1.8460382547229199</v>
      </c>
    </row>
    <row r="280" spans="2:7" hidden="1" x14ac:dyDescent="0.3">
      <c r="B280" s="172" t="s">
        <v>179</v>
      </c>
      <c r="C280" s="172" t="s">
        <v>79</v>
      </c>
      <c r="D280" s="172" t="s">
        <v>218</v>
      </c>
      <c r="E280" s="172">
        <v>2.22996853191911E-2</v>
      </c>
      <c r="F280" s="172">
        <v>1.8798384081439301E-2</v>
      </c>
      <c r="G280" s="172">
        <v>1.18625543677495</v>
      </c>
    </row>
    <row r="281" spans="2:7" hidden="1" x14ac:dyDescent="0.3">
      <c r="B281" s="172" t="s">
        <v>179</v>
      </c>
      <c r="C281" s="172" t="s">
        <v>79</v>
      </c>
      <c r="D281" s="172" t="s">
        <v>221</v>
      </c>
      <c r="E281" s="172">
        <v>6.7929457252049697E-3</v>
      </c>
      <c r="F281" s="172">
        <v>3.6304800911066601E-3</v>
      </c>
      <c r="G281" s="172">
        <v>1.8710874470418399</v>
      </c>
    </row>
    <row r="282" spans="2:7" hidden="1" x14ac:dyDescent="0.3">
      <c r="B282" s="172" t="s">
        <v>39</v>
      </c>
      <c r="C282" s="172" t="s">
        <v>79</v>
      </c>
      <c r="D282" s="172" t="s">
        <v>218</v>
      </c>
      <c r="E282" s="172">
        <v>1.8819109718254502E-2</v>
      </c>
      <c r="F282" s="172">
        <v>1.58254076901925E-2</v>
      </c>
      <c r="G282" s="172">
        <v>1.18917061011435</v>
      </c>
    </row>
    <row r="283" spans="2:7" hidden="1" x14ac:dyDescent="0.3">
      <c r="B283" s="172" t="s">
        <v>39</v>
      </c>
      <c r="C283" s="172" t="s">
        <v>79</v>
      </c>
      <c r="D283" s="172" t="s">
        <v>221</v>
      </c>
      <c r="E283" s="172">
        <v>5.7389834019334098E-3</v>
      </c>
      <c r="F283" s="172">
        <v>3.0349944733612999E-3</v>
      </c>
      <c r="G283" s="172">
        <v>1.8909370189321599</v>
      </c>
    </row>
    <row r="284" spans="2:7" hidden="1" x14ac:dyDescent="0.3">
      <c r="B284" s="172" t="s">
        <v>26</v>
      </c>
      <c r="C284" s="172" t="s">
        <v>79</v>
      </c>
      <c r="D284" s="172" t="s">
        <v>218</v>
      </c>
      <c r="E284" s="172">
        <v>1.51402189021897E-2</v>
      </c>
      <c r="F284" s="172">
        <v>1.26980951008393E-2</v>
      </c>
      <c r="G284" s="172">
        <v>1.19232205948662</v>
      </c>
    </row>
    <row r="285" spans="2:7" hidden="1" x14ac:dyDescent="0.3">
      <c r="B285" s="172" t="s">
        <v>26</v>
      </c>
      <c r="C285" s="172" t="s">
        <v>79</v>
      </c>
      <c r="D285" s="172" t="s">
        <v>221</v>
      </c>
      <c r="E285" s="172">
        <v>4.6203234191984997E-3</v>
      </c>
      <c r="F285" s="172">
        <v>2.4145341792691098E-3</v>
      </c>
      <c r="G285" s="172">
        <v>1.9135464964083</v>
      </c>
    </row>
    <row r="286" spans="2:7" hidden="1" x14ac:dyDescent="0.3">
      <c r="B286" s="172" t="s">
        <v>25</v>
      </c>
      <c r="C286" s="172" t="s">
        <v>79</v>
      </c>
      <c r="D286" s="172" t="s">
        <v>218</v>
      </c>
      <c r="E286" s="172">
        <v>1.1350115429103301E-2</v>
      </c>
      <c r="F286" s="172">
        <v>9.4894552323310094E-3</v>
      </c>
      <c r="G286" s="172">
        <v>1.1960766083212999</v>
      </c>
    </row>
    <row r="287" spans="2:7" hidden="1" x14ac:dyDescent="0.3">
      <c r="B287" s="172" t="s">
        <v>25</v>
      </c>
      <c r="C287" s="172" t="s">
        <v>79</v>
      </c>
      <c r="D287" s="172" t="s">
        <v>221</v>
      </c>
      <c r="E287" s="172">
        <v>3.46242762613905E-3</v>
      </c>
      <c r="F287" s="172">
        <v>1.7818313193770101E-3</v>
      </c>
      <c r="G287" s="172">
        <v>1.94318485060058</v>
      </c>
    </row>
    <row r="288" spans="2:7" hidden="1" x14ac:dyDescent="0.3">
      <c r="B288" s="172" t="s">
        <v>24</v>
      </c>
      <c r="C288" s="172" t="s">
        <v>79</v>
      </c>
      <c r="D288" s="172" t="s">
        <v>218</v>
      </c>
      <c r="E288" s="172">
        <v>7.3723611018724298E-3</v>
      </c>
      <c r="F288" s="172">
        <v>6.1601065733771698E-3</v>
      </c>
      <c r="G288" s="172">
        <v>1.19679116165529</v>
      </c>
    </row>
    <row r="289" spans="2:7" hidden="1" x14ac:dyDescent="0.3">
      <c r="B289" s="172" t="s">
        <v>24</v>
      </c>
      <c r="C289" s="172" t="s">
        <v>79</v>
      </c>
      <c r="D289" s="172" t="s">
        <v>221</v>
      </c>
      <c r="E289" s="172">
        <v>2.2278504471669302E-3</v>
      </c>
      <c r="F289" s="172">
        <v>1.13291087304217E-3</v>
      </c>
      <c r="G289" s="172">
        <v>1.96648341911005</v>
      </c>
    </row>
    <row r="290" spans="2:7" hidden="1" x14ac:dyDescent="0.3">
      <c r="B290" s="172" t="s">
        <v>22</v>
      </c>
      <c r="C290" s="172" t="s">
        <v>79</v>
      </c>
      <c r="D290" s="172" t="s">
        <v>218</v>
      </c>
      <c r="E290" s="172">
        <v>3.3540247175554302E-3</v>
      </c>
      <c r="F290" s="172">
        <v>2.8241680711001702E-3</v>
      </c>
      <c r="G290" s="172">
        <v>1.1876151252743401</v>
      </c>
    </row>
    <row r="291" spans="2:7" hidden="1" x14ac:dyDescent="0.3">
      <c r="B291" s="172" t="s">
        <v>22</v>
      </c>
      <c r="C291" s="172" t="s">
        <v>79</v>
      </c>
      <c r="D291" s="172" t="s">
        <v>221</v>
      </c>
      <c r="E291" s="172">
        <v>9.7678834355229309E-4</v>
      </c>
      <c r="F291" s="172">
        <v>4.9820814675399598E-4</v>
      </c>
      <c r="G291" s="172">
        <v>1.9606029124903299</v>
      </c>
    </row>
    <row r="292" spans="2:7" hidden="1" x14ac:dyDescent="0.3">
      <c r="B292" s="172" t="s">
        <v>189</v>
      </c>
      <c r="C292" s="172" t="s">
        <v>80</v>
      </c>
      <c r="D292" s="172" t="s">
        <v>218</v>
      </c>
      <c r="E292" s="172">
        <v>2.8385699246985599E-2</v>
      </c>
      <c r="F292" s="172">
        <v>2.8205107174070598E-2</v>
      </c>
      <c r="G292" s="172">
        <v>1.00640281463213</v>
      </c>
    </row>
    <row r="293" spans="2:7" hidden="1" x14ac:dyDescent="0.3">
      <c r="B293" s="172" t="s">
        <v>189</v>
      </c>
      <c r="C293" s="172" t="s">
        <v>80</v>
      </c>
      <c r="D293" s="172" t="s">
        <v>221</v>
      </c>
      <c r="E293" s="172">
        <v>7.3945114611826002E-3</v>
      </c>
      <c r="F293" s="172">
        <v>7.1687713700389301E-3</v>
      </c>
      <c r="G293" s="172">
        <v>1.0314893695853</v>
      </c>
    </row>
    <row r="294" spans="2:7" hidden="1" x14ac:dyDescent="0.3">
      <c r="B294" s="172" t="s">
        <v>187</v>
      </c>
      <c r="C294" s="172" t="s">
        <v>80</v>
      </c>
      <c r="D294" s="172" t="s">
        <v>218</v>
      </c>
      <c r="E294" s="172">
        <v>2.7070800151274398E-2</v>
      </c>
      <c r="F294" s="172">
        <v>2.5690176845514001E-2</v>
      </c>
      <c r="G294" s="172">
        <v>1.0537412924038101</v>
      </c>
    </row>
    <row r="295" spans="2:7" hidden="1" x14ac:dyDescent="0.3">
      <c r="B295" s="172" t="s">
        <v>187</v>
      </c>
      <c r="C295" s="172" t="s">
        <v>80</v>
      </c>
      <c r="D295" s="172" t="s">
        <v>221</v>
      </c>
      <c r="E295" s="172">
        <v>6.8322935779473399E-3</v>
      </c>
      <c r="F295" s="172">
        <v>5.5852789791960202E-3</v>
      </c>
      <c r="G295" s="172">
        <v>1.2232680951831001</v>
      </c>
    </row>
    <row r="296" spans="2:7" hidden="1" x14ac:dyDescent="0.3">
      <c r="B296" s="172" t="s">
        <v>185</v>
      </c>
      <c r="C296" s="172" t="s">
        <v>80</v>
      </c>
      <c r="D296" s="172" t="s">
        <v>218</v>
      </c>
      <c r="E296" s="172">
        <v>2.5755918614750201E-2</v>
      </c>
      <c r="F296" s="172">
        <v>2.46362727212069E-2</v>
      </c>
      <c r="G296" s="172">
        <v>1.0454470490002099</v>
      </c>
    </row>
    <row r="297" spans="2:7" hidden="1" x14ac:dyDescent="0.3">
      <c r="B297" s="172" t="s">
        <v>185</v>
      </c>
      <c r="C297" s="172" t="s">
        <v>80</v>
      </c>
      <c r="D297" s="172" t="s">
        <v>221</v>
      </c>
      <c r="E297" s="172">
        <v>6.3047731812935796E-3</v>
      </c>
      <c r="F297" s="172">
        <v>5.2934801161577004E-3</v>
      </c>
      <c r="G297" s="172">
        <v>1.1910450295352999</v>
      </c>
    </row>
    <row r="298" spans="2:7" hidden="1" x14ac:dyDescent="0.3">
      <c r="B298" s="172" t="s">
        <v>183</v>
      </c>
      <c r="C298" s="172" t="s">
        <v>80</v>
      </c>
      <c r="D298" s="172" t="s">
        <v>218</v>
      </c>
      <c r="E298" s="172">
        <v>2.3880868882698299E-2</v>
      </c>
      <c r="F298" s="172">
        <v>2.3018234469407699E-2</v>
      </c>
      <c r="G298" s="172">
        <v>1.03747613286489</v>
      </c>
    </row>
    <row r="299" spans="2:7" hidden="1" x14ac:dyDescent="0.3">
      <c r="B299" s="172" t="s">
        <v>183</v>
      </c>
      <c r="C299" s="172" t="s">
        <v>80</v>
      </c>
      <c r="D299" s="172" t="s">
        <v>221</v>
      </c>
      <c r="E299" s="172">
        <v>5.6663583972459504E-3</v>
      </c>
      <c r="F299" s="172">
        <v>4.8872047336285902E-3</v>
      </c>
      <c r="G299" s="172">
        <v>1.15942726079308</v>
      </c>
    </row>
    <row r="300" spans="2:7" hidden="1" x14ac:dyDescent="0.3">
      <c r="B300" s="172" t="s">
        <v>181</v>
      </c>
      <c r="C300" s="172" t="s">
        <v>80</v>
      </c>
      <c r="D300" s="172" t="s">
        <v>218</v>
      </c>
      <c r="E300" s="172">
        <v>2.1524770505324298E-2</v>
      </c>
      <c r="F300" s="172">
        <v>2.08847623919407E-2</v>
      </c>
      <c r="G300" s="172">
        <v>1.03064473999621</v>
      </c>
    </row>
    <row r="301" spans="2:7" hidden="1" x14ac:dyDescent="0.3">
      <c r="B301" s="172" t="s">
        <v>181</v>
      </c>
      <c r="C301" s="172" t="s">
        <v>80</v>
      </c>
      <c r="D301" s="172" t="s">
        <v>221</v>
      </c>
      <c r="E301" s="172">
        <v>4.9624677545116796E-3</v>
      </c>
      <c r="F301" s="172">
        <v>4.3843959101652003E-3</v>
      </c>
      <c r="G301" s="172">
        <v>1.1318475466611599</v>
      </c>
    </row>
    <row r="302" spans="2:7" hidden="1" x14ac:dyDescent="0.3">
      <c r="B302" s="172" t="s">
        <v>179</v>
      </c>
      <c r="C302" s="172" t="s">
        <v>80</v>
      </c>
      <c r="D302" s="172" t="s">
        <v>218</v>
      </c>
      <c r="E302" s="172">
        <v>1.8771594071968298E-2</v>
      </c>
      <c r="F302" s="172">
        <v>1.8319219656981401E-2</v>
      </c>
      <c r="G302" s="172">
        <v>1.0246939784258</v>
      </c>
    </row>
    <row r="303" spans="2:7" hidden="1" x14ac:dyDescent="0.3">
      <c r="B303" s="172" t="s">
        <v>179</v>
      </c>
      <c r="C303" s="172" t="s">
        <v>80</v>
      </c>
      <c r="D303" s="172" t="s">
        <v>221</v>
      </c>
      <c r="E303" s="172">
        <v>4.2134693269881398E-3</v>
      </c>
      <c r="F303" s="172">
        <v>3.8048730811935101E-3</v>
      </c>
      <c r="G303" s="172">
        <v>1.1073876150598101</v>
      </c>
    </row>
    <row r="304" spans="2:7" hidden="1" x14ac:dyDescent="0.3">
      <c r="B304" s="172" t="s">
        <v>39</v>
      </c>
      <c r="C304" s="172" t="s">
        <v>80</v>
      </c>
      <c r="D304" s="172" t="s">
        <v>218</v>
      </c>
      <c r="E304" s="172">
        <v>1.57164722306396E-2</v>
      </c>
      <c r="F304" s="172">
        <v>1.54181866573433E-2</v>
      </c>
      <c r="G304" s="172">
        <v>1.01934634596956</v>
      </c>
    </row>
    <row r="305" spans="2:7" hidden="1" x14ac:dyDescent="0.3">
      <c r="B305" s="172" t="s">
        <v>39</v>
      </c>
      <c r="C305" s="172" t="s">
        <v>80</v>
      </c>
      <c r="D305" s="172" t="s">
        <v>221</v>
      </c>
      <c r="E305" s="172">
        <v>3.43838710361106E-3</v>
      </c>
      <c r="F305" s="172">
        <v>3.1689678761176701E-3</v>
      </c>
      <c r="G305" s="172">
        <v>1.0850179736827901</v>
      </c>
    </row>
    <row r="306" spans="2:7" hidden="1" x14ac:dyDescent="0.3">
      <c r="B306" s="172" t="s">
        <v>26</v>
      </c>
      <c r="C306" s="172" t="s">
        <v>80</v>
      </c>
      <c r="D306" s="172" t="s">
        <v>218</v>
      </c>
      <c r="E306" s="172">
        <v>1.2549902046726799E-2</v>
      </c>
      <c r="F306" s="172">
        <v>1.2367887159503901E-2</v>
      </c>
      <c r="G306" s="172">
        <v>1.0147167325247599</v>
      </c>
    </row>
    <row r="307" spans="2:7" hidden="1" x14ac:dyDescent="0.3">
      <c r="B307" s="172" t="s">
        <v>26</v>
      </c>
      <c r="C307" s="172" t="s">
        <v>80</v>
      </c>
      <c r="D307" s="172" t="s">
        <v>221</v>
      </c>
      <c r="E307" s="172">
        <v>2.6754072708742201E-3</v>
      </c>
      <c r="F307" s="172">
        <v>2.5110067275761899E-3</v>
      </c>
      <c r="G307" s="172">
        <v>1.0654719644884101</v>
      </c>
    </row>
    <row r="308" spans="2:7" hidden="1" x14ac:dyDescent="0.3">
      <c r="B308" s="172" t="s">
        <v>25</v>
      </c>
      <c r="C308" s="172" t="s">
        <v>80</v>
      </c>
      <c r="D308" s="172" t="s">
        <v>218</v>
      </c>
      <c r="E308" s="172">
        <v>9.3472644735148099E-3</v>
      </c>
      <c r="F308" s="172">
        <v>9.2401001318968695E-3</v>
      </c>
      <c r="G308" s="172">
        <v>1.01159774678718</v>
      </c>
    </row>
    <row r="309" spans="2:7" hidden="1" x14ac:dyDescent="0.3">
      <c r="B309" s="172" t="s">
        <v>25</v>
      </c>
      <c r="C309" s="172" t="s">
        <v>80</v>
      </c>
      <c r="D309" s="172" t="s">
        <v>221</v>
      </c>
      <c r="E309" s="172">
        <v>1.9420626615258699E-3</v>
      </c>
      <c r="F309" s="172">
        <v>1.84526906264516E-3</v>
      </c>
      <c r="G309" s="172">
        <v>1.05245500552747</v>
      </c>
    </row>
    <row r="310" spans="2:7" hidden="1" x14ac:dyDescent="0.3">
      <c r="B310" s="172" t="s">
        <v>24</v>
      </c>
      <c r="C310" s="172" t="s">
        <v>80</v>
      </c>
      <c r="D310" s="172" t="s">
        <v>218</v>
      </c>
      <c r="E310" s="172">
        <v>6.0795887508182699E-3</v>
      </c>
      <c r="F310" s="172">
        <v>5.9996576273331397E-3</v>
      </c>
      <c r="G310" s="172">
        <v>1.0133226141306799</v>
      </c>
    </row>
    <row r="311" spans="2:7" hidden="1" x14ac:dyDescent="0.3">
      <c r="B311" s="172" t="s">
        <v>24</v>
      </c>
      <c r="C311" s="172" t="s">
        <v>80</v>
      </c>
      <c r="D311" s="172" t="s">
        <v>221</v>
      </c>
      <c r="E311" s="172">
        <v>1.2433787589145901E-3</v>
      </c>
      <c r="F311" s="172">
        <v>1.17118290544415E-3</v>
      </c>
      <c r="G311" s="172">
        <v>1.06164353418654</v>
      </c>
    </row>
    <row r="312" spans="2:7" hidden="1" x14ac:dyDescent="0.3">
      <c r="B312" s="172" t="s">
        <v>22</v>
      </c>
      <c r="C312" s="172" t="s">
        <v>80</v>
      </c>
      <c r="D312" s="172" t="s">
        <v>218</v>
      </c>
      <c r="E312" s="172">
        <v>2.8391696992427799E-3</v>
      </c>
      <c r="F312" s="172">
        <v>2.7560800238638299E-3</v>
      </c>
      <c r="G312" s="172">
        <v>1.0301477731631601</v>
      </c>
    </row>
    <row r="313" spans="2:7" hidden="1" x14ac:dyDescent="0.3">
      <c r="B313" s="172" t="s">
        <v>22</v>
      </c>
      <c r="C313" s="172" t="s">
        <v>80</v>
      </c>
      <c r="D313" s="172" t="s">
        <v>221</v>
      </c>
      <c r="E313" s="172">
        <v>5.9472401036384198E-4</v>
      </c>
      <c r="F313" s="172">
        <v>5.1967527131188196E-4</v>
      </c>
      <c r="G313" s="172">
        <v>1.14441468200421</v>
      </c>
    </row>
    <row r="314" spans="2:7" hidden="1" x14ac:dyDescent="0.3">
      <c r="B314" s="172" t="s">
        <v>189</v>
      </c>
      <c r="C314" s="172" t="s">
        <v>81</v>
      </c>
      <c r="D314" s="172" t="s">
        <v>218</v>
      </c>
      <c r="E314" s="172">
        <v>6.5303838092404696E-3</v>
      </c>
      <c r="F314" s="172">
        <v>6.3049634467435998E-3</v>
      </c>
      <c r="G314" s="172">
        <v>1.0357528420903499</v>
      </c>
    </row>
    <row r="315" spans="2:7" x14ac:dyDescent="0.3">
      <c r="B315" s="172" t="s">
        <v>189</v>
      </c>
      <c r="C315" s="172" t="s">
        <v>81</v>
      </c>
      <c r="D315" s="172" t="s">
        <v>221</v>
      </c>
      <c r="E315" s="172">
        <v>3.3658532768934601E-2</v>
      </c>
      <c r="F315" s="172">
        <v>3.33767573158135E-2</v>
      </c>
      <c r="G315" s="172">
        <v>1.0084422656897101</v>
      </c>
    </row>
    <row r="316" spans="2:7" hidden="1" x14ac:dyDescent="0.3">
      <c r="B316" s="172" t="s">
        <v>187</v>
      </c>
      <c r="C316" s="172" t="s">
        <v>81</v>
      </c>
      <c r="D316" s="172" t="s">
        <v>218</v>
      </c>
      <c r="E316" s="172">
        <v>6.0492505183944801E-3</v>
      </c>
      <c r="F316" s="172">
        <v>4.7464455067088599E-3</v>
      </c>
      <c r="G316" s="172">
        <v>1.27448013673478</v>
      </c>
    </row>
    <row r="317" spans="2:7" x14ac:dyDescent="0.3">
      <c r="B317" s="172" t="s">
        <v>187</v>
      </c>
      <c r="C317" s="172" t="s">
        <v>81</v>
      </c>
      <c r="D317" s="172" t="s">
        <v>221</v>
      </c>
      <c r="E317" s="172">
        <v>3.1993805936734503E-2</v>
      </c>
      <c r="F317" s="172">
        <v>3.08170788294055E-2</v>
      </c>
      <c r="G317" s="172">
        <v>1.0381842521104301</v>
      </c>
    </row>
    <row r="318" spans="2:7" hidden="1" x14ac:dyDescent="0.3">
      <c r="B318" s="172" t="s">
        <v>185</v>
      </c>
      <c r="C318" s="172" t="s">
        <v>81</v>
      </c>
      <c r="D318" s="172" t="s">
        <v>218</v>
      </c>
      <c r="E318" s="172">
        <v>5.53460808202739E-3</v>
      </c>
      <c r="F318" s="172">
        <v>4.5369993027510299E-3</v>
      </c>
      <c r="G318" s="172">
        <v>1.2198829474519599</v>
      </c>
    </row>
    <row r="319" spans="2:7" x14ac:dyDescent="0.3">
      <c r="B319" s="172" t="s">
        <v>185</v>
      </c>
      <c r="C319" s="172" t="s">
        <v>81</v>
      </c>
      <c r="D319" s="172" t="s">
        <v>221</v>
      </c>
      <c r="E319" s="172">
        <v>3.0435396226547499E-2</v>
      </c>
      <c r="F319" s="172">
        <v>2.9534330232362401E-2</v>
      </c>
      <c r="G319" s="172">
        <v>1.0305091054070299</v>
      </c>
    </row>
    <row r="320" spans="2:7" hidden="1" x14ac:dyDescent="0.3">
      <c r="B320" s="172" t="s">
        <v>183</v>
      </c>
      <c r="C320" s="172" t="s">
        <v>81</v>
      </c>
      <c r="D320" s="172" t="s">
        <v>218</v>
      </c>
      <c r="E320" s="172">
        <v>4.9386705331411103E-3</v>
      </c>
      <c r="F320" s="172">
        <v>4.2239576447475596E-3</v>
      </c>
      <c r="G320" s="172">
        <v>1.16920455849795</v>
      </c>
    </row>
    <row r="321" spans="2:7" x14ac:dyDescent="0.3">
      <c r="B321" s="172" t="s">
        <v>183</v>
      </c>
      <c r="C321" s="172" t="s">
        <v>81</v>
      </c>
      <c r="D321" s="172" t="s">
        <v>221</v>
      </c>
      <c r="E321" s="172">
        <v>2.8216275660272301E-2</v>
      </c>
      <c r="F321" s="172">
        <v>2.7570728535271601E-2</v>
      </c>
      <c r="G321" s="172">
        <v>1.02341422078037</v>
      </c>
    </row>
    <row r="322" spans="2:7" hidden="1" x14ac:dyDescent="0.3">
      <c r="B322" s="172" t="s">
        <v>181</v>
      </c>
      <c r="C322" s="172" t="s">
        <v>81</v>
      </c>
      <c r="D322" s="172" t="s">
        <v>218</v>
      </c>
      <c r="E322" s="172">
        <v>4.3018742293130501E-3</v>
      </c>
      <c r="F322" s="172">
        <v>3.8180851988596299E-3</v>
      </c>
      <c r="G322" s="172">
        <v>1.12670985723365</v>
      </c>
    </row>
    <row r="323" spans="2:7" x14ac:dyDescent="0.3">
      <c r="B323" s="172" t="s">
        <v>181</v>
      </c>
      <c r="C323" s="172" t="s">
        <v>81</v>
      </c>
      <c r="D323" s="172" t="s">
        <v>221</v>
      </c>
      <c r="E323" s="172">
        <v>2.5421756159099699E-2</v>
      </c>
      <c r="F323" s="172">
        <v>2.4984785421916001E-2</v>
      </c>
      <c r="G323" s="172">
        <v>1.0174894732856301</v>
      </c>
    </row>
    <row r="324" spans="2:7" hidden="1" x14ac:dyDescent="0.3">
      <c r="B324" s="172" t="s">
        <v>179</v>
      </c>
      <c r="C324" s="172" t="s">
        <v>81</v>
      </c>
      <c r="D324" s="172" t="s">
        <v>218</v>
      </c>
      <c r="E324" s="172">
        <v>3.6405186676946098E-3</v>
      </c>
      <c r="F324" s="172">
        <v>3.3374342948225E-3</v>
      </c>
      <c r="G324" s="172">
        <v>1.09081358495725</v>
      </c>
    </row>
    <row r="325" spans="2:7" x14ac:dyDescent="0.3">
      <c r="B325" s="172" t="s">
        <v>179</v>
      </c>
      <c r="C325" s="172" t="s">
        <v>81</v>
      </c>
      <c r="D325" s="172" t="s">
        <v>221</v>
      </c>
      <c r="E325" s="172">
        <v>2.21533570507816E-2</v>
      </c>
      <c r="F325" s="172">
        <v>2.18796034236713E-2</v>
      </c>
      <c r="G325" s="172">
        <v>1.0125118185101201</v>
      </c>
    </row>
    <row r="326" spans="2:7" hidden="1" x14ac:dyDescent="0.3">
      <c r="B326" s="172" t="s">
        <v>39</v>
      </c>
      <c r="C326" s="172" t="s">
        <v>81</v>
      </c>
      <c r="D326" s="172" t="s">
        <v>218</v>
      </c>
      <c r="E326" s="172">
        <v>2.96724699173067E-3</v>
      </c>
      <c r="F326" s="172">
        <v>2.8006972714042398E-3</v>
      </c>
      <c r="G326" s="172">
        <v>1.0594672341159299</v>
      </c>
    </row>
    <row r="327" spans="2:7" x14ac:dyDescent="0.3">
      <c r="B327" s="172" t="s">
        <v>39</v>
      </c>
      <c r="C327" s="172" t="s">
        <v>81</v>
      </c>
      <c r="D327" s="172" t="s">
        <v>221</v>
      </c>
      <c r="E327" s="172">
        <v>1.8524786829636201E-2</v>
      </c>
      <c r="F327" s="172">
        <v>1.8374354824180001E-2</v>
      </c>
      <c r="G327" s="172">
        <v>1.0081870632681</v>
      </c>
    </row>
    <row r="328" spans="2:7" hidden="1" x14ac:dyDescent="0.3">
      <c r="B328" s="172" t="s">
        <v>26</v>
      </c>
      <c r="C328" s="172" t="s">
        <v>81</v>
      </c>
      <c r="D328" s="172" t="s">
        <v>218</v>
      </c>
      <c r="E328" s="172">
        <v>2.3027175977465598E-3</v>
      </c>
      <c r="F328" s="172">
        <v>2.2416732295498999E-3</v>
      </c>
      <c r="G328" s="172">
        <v>1.02723160868943</v>
      </c>
    </row>
    <row r="329" spans="2:7" x14ac:dyDescent="0.3">
      <c r="B329" s="172" t="s">
        <v>26</v>
      </c>
      <c r="C329" s="172" t="s">
        <v>81</v>
      </c>
      <c r="D329" s="172" t="s">
        <v>221</v>
      </c>
      <c r="E329" s="172">
        <v>1.47366474610205E-2</v>
      </c>
      <c r="F329" s="172">
        <v>1.46815106123267E-2</v>
      </c>
      <c r="G329" s="172">
        <v>1.00375552966923</v>
      </c>
    </row>
    <row r="330" spans="2:7" hidden="1" x14ac:dyDescent="0.3">
      <c r="B330" s="172" t="s">
        <v>25</v>
      </c>
      <c r="C330" s="172" t="s">
        <v>81</v>
      </c>
      <c r="D330" s="172" t="s">
        <v>218</v>
      </c>
      <c r="E330" s="172">
        <v>1.67961189076273E-3</v>
      </c>
      <c r="F330" s="172">
        <v>1.6749473301633101E-3</v>
      </c>
      <c r="G330" s="172">
        <v>1.0027848998684401</v>
      </c>
    </row>
    <row r="331" spans="2:7" x14ac:dyDescent="0.3">
      <c r="B331" s="172" t="s">
        <v>25</v>
      </c>
      <c r="C331" s="172" t="s">
        <v>81</v>
      </c>
      <c r="D331" s="172" t="s">
        <v>221</v>
      </c>
      <c r="E331" s="172">
        <v>1.0889447120182E-2</v>
      </c>
      <c r="F331" s="172">
        <v>1.0885233968672799E-2</v>
      </c>
      <c r="G331" s="172">
        <v>1.00038705199367</v>
      </c>
    </row>
    <row r="332" spans="2:7" hidden="1" x14ac:dyDescent="0.3">
      <c r="B332" s="172" t="s">
        <v>24</v>
      </c>
      <c r="C332" s="172" t="s">
        <v>81</v>
      </c>
      <c r="D332" s="172" t="s">
        <v>218</v>
      </c>
      <c r="E332" s="172">
        <v>1.10205410087778E-3</v>
      </c>
      <c r="F332" s="172">
        <v>1.0892266822369601E-3</v>
      </c>
      <c r="G332" s="172">
        <v>1.01177662909844</v>
      </c>
    </row>
    <row r="333" spans="2:7" x14ac:dyDescent="0.3">
      <c r="B333" s="172" t="s">
        <v>24</v>
      </c>
      <c r="C333" s="172" t="s">
        <v>81</v>
      </c>
      <c r="D333" s="172" t="s">
        <v>221</v>
      </c>
      <c r="E333" s="172">
        <v>6.9701199108438E-3</v>
      </c>
      <c r="F333" s="172">
        <v>6.9585338552972404E-3</v>
      </c>
      <c r="G333" s="172">
        <v>1.00166501389337</v>
      </c>
    </row>
    <row r="334" spans="2:7" hidden="1" x14ac:dyDescent="0.3">
      <c r="B334" s="172" t="s">
        <v>22</v>
      </c>
      <c r="C334" s="172" t="s">
        <v>81</v>
      </c>
      <c r="D334" s="172" t="s">
        <v>218</v>
      </c>
      <c r="E334" s="172">
        <v>5.2490943360304501E-4</v>
      </c>
      <c r="F334" s="172">
        <v>5.0287946507541104E-4</v>
      </c>
      <c r="G334" s="172">
        <v>1.0438076518482</v>
      </c>
    </row>
    <row r="335" spans="2:7" x14ac:dyDescent="0.3">
      <c r="B335" s="172" t="s">
        <v>22</v>
      </c>
      <c r="C335" s="172" t="s">
        <v>81</v>
      </c>
      <c r="D335" s="172" t="s">
        <v>221</v>
      </c>
      <c r="E335" s="172">
        <v>3.0987002257307499E-3</v>
      </c>
      <c r="F335" s="172">
        <v>3.07880218964127E-3</v>
      </c>
      <c r="G335" s="172">
        <v>1.00646291475186</v>
      </c>
    </row>
    <row r="336" spans="2:7" hidden="1" x14ac:dyDescent="0.3">
      <c r="B336" s="172" t="s">
        <v>189</v>
      </c>
      <c r="C336" s="172" t="s">
        <v>82</v>
      </c>
      <c r="D336" s="172" t="s">
        <v>221</v>
      </c>
      <c r="E336" s="172">
        <v>2.9813715418951E-2</v>
      </c>
      <c r="F336" s="172">
        <v>2.92927299158149E-2</v>
      </c>
      <c r="G336" s="172">
        <v>1.0177854882297901</v>
      </c>
    </row>
    <row r="337" spans="2:7" hidden="1" x14ac:dyDescent="0.3">
      <c r="B337" s="172" t="s">
        <v>187</v>
      </c>
      <c r="C337" s="172" t="s">
        <v>82</v>
      </c>
      <c r="D337" s="172" t="s">
        <v>218</v>
      </c>
      <c r="E337" s="172">
        <v>8.7844335904652907E-3</v>
      </c>
      <c r="F337" s="172">
        <v>5.2647025595594903E-3</v>
      </c>
      <c r="G337" s="172">
        <v>1.6685526848073799</v>
      </c>
    </row>
    <row r="338" spans="2:7" hidden="1" x14ac:dyDescent="0.3">
      <c r="B338" s="172" t="s">
        <v>187</v>
      </c>
      <c r="C338" s="172" t="s">
        <v>82</v>
      </c>
      <c r="D338" s="172" t="s">
        <v>221</v>
      </c>
      <c r="E338" s="172">
        <v>3.3683229105345401E-2</v>
      </c>
      <c r="F338" s="172">
        <v>3.0504117206462698E-2</v>
      </c>
      <c r="G338" s="172">
        <v>1.1042191084359301</v>
      </c>
    </row>
    <row r="339" spans="2:7" s="172" customFormat="1" hidden="1" x14ac:dyDescent="0.3">
      <c r="B339" s="172" t="s">
        <v>185</v>
      </c>
      <c r="C339" s="172" t="s">
        <v>82</v>
      </c>
      <c r="D339" s="172" t="s">
        <v>218</v>
      </c>
      <c r="E339" s="172">
        <v>8.6607908716835793E-3</v>
      </c>
      <c r="F339" s="172">
        <v>5.0498579375926897E-3</v>
      </c>
      <c r="G339" s="172">
        <v>1.71505633994374</v>
      </c>
    </row>
    <row r="340" spans="2:7" hidden="1" x14ac:dyDescent="0.3">
      <c r="B340" s="172" t="s">
        <v>185</v>
      </c>
      <c r="C340" s="172" t="s">
        <v>82</v>
      </c>
      <c r="D340" s="172" t="s">
        <v>221</v>
      </c>
      <c r="E340" s="172">
        <v>3.2524997561378902E-2</v>
      </c>
      <c r="F340" s="172">
        <v>2.92635097499419E-2</v>
      </c>
      <c r="G340" s="172">
        <v>1.1114523800906499</v>
      </c>
    </row>
    <row r="341" spans="2:7" hidden="1" x14ac:dyDescent="0.3">
      <c r="B341" s="172" t="s">
        <v>183</v>
      </c>
      <c r="C341" s="172" t="s">
        <v>82</v>
      </c>
      <c r="D341" s="172" t="s">
        <v>218</v>
      </c>
      <c r="E341" s="172">
        <v>8.2865450506344595E-3</v>
      </c>
      <c r="F341" s="172">
        <v>4.7170761484313798E-3</v>
      </c>
      <c r="G341" s="172">
        <v>1.7567121644602</v>
      </c>
    </row>
    <row r="342" spans="2:7" hidden="1" x14ac:dyDescent="0.3">
      <c r="B342" s="172" t="s">
        <v>183</v>
      </c>
      <c r="C342" s="172" t="s">
        <v>82</v>
      </c>
      <c r="D342" s="172" t="s">
        <v>221</v>
      </c>
      <c r="E342" s="172">
        <v>3.0567786039194401E-2</v>
      </c>
      <c r="F342" s="172">
        <v>2.7343749611398099E-2</v>
      </c>
      <c r="G342" s="172">
        <v>1.1179076196065101</v>
      </c>
    </row>
    <row r="343" spans="2:7" s="172" customFormat="1" hidden="1" x14ac:dyDescent="0.3">
      <c r="B343" s="172" t="s">
        <v>181</v>
      </c>
      <c r="C343" s="172" t="s">
        <v>82</v>
      </c>
      <c r="D343" s="172" t="s">
        <v>218</v>
      </c>
      <c r="E343" s="172">
        <v>7.6532579888408401E-3</v>
      </c>
      <c r="F343" s="172">
        <v>4.2750920194732202E-3</v>
      </c>
      <c r="G343" s="172">
        <v>1.7901972528263601</v>
      </c>
    </row>
    <row r="344" spans="2:7" hidden="1" x14ac:dyDescent="0.3">
      <c r="B344" s="172" t="s">
        <v>181</v>
      </c>
      <c r="C344" s="172" t="s">
        <v>82</v>
      </c>
      <c r="D344" s="172" t="s">
        <v>221</v>
      </c>
      <c r="E344" s="172">
        <v>2.7849926969251999E-2</v>
      </c>
      <c r="F344" s="172">
        <v>2.4798680287242501E-2</v>
      </c>
      <c r="G344" s="172">
        <v>1.1230406879183501</v>
      </c>
    </row>
    <row r="345" spans="2:7" hidden="1" x14ac:dyDescent="0.3">
      <c r="B345" s="172" t="s">
        <v>179</v>
      </c>
      <c r="C345" s="172" t="s">
        <v>82</v>
      </c>
      <c r="D345" s="172" t="s">
        <v>218</v>
      </c>
      <c r="E345" s="172">
        <v>6.7996548727585803E-3</v>
      </c>
      <c r="F345" s="172">
        <v>3.7440350684682299E-3</v>
      </c>
      <c r="G345" s="172">
        <v>1.81613012389344</v>
      </c>
    </row>
    <row r="346" spans="2:7" hidden="1" x14ac:dyDescent="0.3">
      <c r="B346" s="172" t="s">
        <v>179</v>
      </c>
      <c r="C346" s="172" t="s">
        <v>82</v>
      </c>
      <c r="D346" s="172" t="s">
        <v>221</v>
      </c>
      <c r="E346" s="172">
        <v>2.4490731773978001E-2</v>
      </c>
      <c r="F346" s="172">
        <v>2.1730817112038399E-2</v>
      </c>
      <c r="G346" s="172">
        <v>1.12700464265611</v>
      </c>
    </row>
    <row r="347" spans="2:7" s="172" customFormat="1" hidden="1" x14ac:dyDescent="0.3">
      <c r="B347" s="172" t="s">
        <v>39</v>
      </c>
      <c r="C347" s="172" t="s">
        <v>82</v>
      </c>
      <c r="D347" s="172" t="s">
        <v>218</v>
      </c>
      <c r="E347" s="172">
        <v>5.77483016099661E-3</v>
      </c>
      <c r="F347" s="172">
        <v>3.1461137243225098E-3</v>
      </c>
      <c r="G347" s="172">
        <v>1.83554399713894</v>
      </c>
    </row>
    <row r="348" spans="2:7" hidden="1" x14ac:dyDescent="0.3">
      <c r="B348" s="172" t="s">
        <v>39</v>
      </c>
      <c r="C348" s="172" t="s">
        <v>82</v>
      </c>
      <c r="D348" s="172" t="s">
        <v>221</v>
      </c>
      <c r="E348" s="172">
        <v>2.0634409286637099E-2</v>
      </c>
      <c r="F348" s="172">
        <v>1.8260084763189601E-2</v>
      </c>
      <c r="G348" s="172">
        <v>1.13002812167849</v>
      </c>
    </row>
    <row r="349" spans="2:7" hidden="1" x14ac:dyDescent="0.3">
      <c r="B349" s="172" t="s">
        <v>26</v>
      </c>
      <c r="C349" s="172" t="s">
        <v>82</v>
      </c>
      <c r="D349" s="172" t="s">
        <v>218</v>
      </c>
      <c r="E349" s="172">
        <v>4.6885580863216701E-3</v>
      </c>
      <c r="F349" s="172">
        <v>2.5217618351140699E-3</v>
      </c>
      <c r="G349" s="172">
        <v>1.8592390530446701</v>
      </c>
    </row>
    <row r="350" spans="2:7" hidden="1" x14ac:dyDescent="0.3">
      <c r="B350" s="172" t="s">
        <v>26</v>
      </c>
      <c r="C350" s="172" t="s">
        <v>82</v>
      </c>
      <c r="D350" s="172" t="s">
        <v>221</v>
      </c>
      <c r="E350" s="172">
        <v>1.65563574663944E-2</v>
      </c>
      <c r="F350" s="172">
        <v>1.4599251174981001E-2</v>
      </c>
      <c r="G350" s="172">
        <v>1.1340552517356</v>
      </c>
    </row>
    <row r="351" spans="2:7" s="172" customFormat="1" hidden="1" x14ac:dyDescent="0.3">
      <c r="B351" s="172" t="s">
        <v>25</v>
      </c>
      <c r="C351" s="172" t="s">
        <v>82</v>
      </c>
      <c r="D351" s="172" t="s">
        <v>218</v>
      </c>
      <c r="E351" s="172">
        <v>3.5618716830372798E-3</v>
      </c>
      <c r="F351" s="172">
        <v>1.8865017304979699E-3</v>
      </c>
      <c r="G351" s="172">
        <v>1.8880829131797701</v>
      </c>
    </row>
    <row r="352" spans="2:7" hidden="1" x14ac:dyDescent="0.3">
      <c r="B352" s="172" t="s">
        <v>25</v>
      </c>
      <c r="C352" s="172" t="s">
        <v>82</v>
      </c>
      <c r="D352" s="172" t="s">
        <v>221</v>
      </c>
      <c r="E352" s="172">
        <v>1.2344402925324899E-2</v>
      </c>
      <c r="F352" s="172">
        <v>1.0831165548837699E-2</v>
      </c>
      <c r="G352" s="172">
        <v>1.1397114068346501</v>
      </c>
    </row>
    <row r="353" spans="2:7" hidden="1" x14ac:dyDescent="0.3">
      <c r="B353" s="172" t="s">
        <v>24</v>
      </c>
      <c r="C353" s="172" t="s">
        <v>82</v>
      </c>
      <c r="D353" s="172" t="s">
        <v>218</v>
      </c>
      <c r="E353" s="172">
        <v>2.33533190726316E-3</v>
      </c>
      <c r="F353" s="172">
        <v>1.22538299055035E-3</v>
      </c>
      <c r="G353" s="172">
        <v>1.9057975549459001</v>
      </c>
    </row>
    <row r="354" spans="2:7" hidden="1" x14ac:dyDescent="0.3">
      <c r="B354" s="172" t="s">
        <v>24</v>
      </c>
      <c r="C354" s="172" t="s">
        <v>82</v>
      </c>
      <c r="D354" s="172" t="s">
        <v>221</v>
      </c>
      <c r="E354" s="172">
        <v>7.9284781577044893E-3</v>
      </c>
      <c r="F354" s="172">
        <v>6.92594365228647E-3</v>
      </c>
      <c r="G354" s="172">
        <v>1.1447506008927799</v>
      </c>
    </row>
    <row r="355" spans="2:7" s="172" customFormat="1" hidden="1" x14ac:dyDescent="0.3">
      <c r="B355" s="172" t="s">
        <v>22</v>
      </c>
      <c r="C355" s="172" t="s">
        <v>82</v>
      </c>
      <c r="D355" s="172" t="s">
        <v>218</v>
      </c>
      <c r="E355" s="172">
        <v>1.05899171853155E-3</v>
      </c>
      <c r="F355" s="172">
        <v>5.6066272793209402E-4</v>
      </c>
      <c r="G355" s="172">
        <v>1.8888213283544899</v>
      </c>
    </row>
    <row r="356" spans="2:7" hidden="1" x14ac:dyDescent="0.3">
      <c r="B356" s="172" t="s">
        <v>22</v>
      </c>
      <c r="C356" s="172" t="s">
        <v>82</v>
      </c>
      <c r="D356" s="172" t="s">
        <v>221</v>
      </c>
      <c r="E356" s="172">
        <v>3.5106577922674E-3</v>
      </c>
      <c r="F356" s="172">
        <v>3.0605541878549899E-3</v>
      </c>
      <c r="G356" s="172">
        <v>1.14706604646914</v>
      </c>
    </row>
    <row r="357" spans="2:7" hidden="1" x14ac:dyDescent="0.3">
      <c r="B357" s="172" t="s">
        <v>189</v>
      </c>
      <c r="C357" s="172" t="s">
        <v>246</v>
      </c>
      <c r="D357" s="172" t="s">
        <v>218</v>
      </c>
      <c r="E357" s="172">
        <v>8.7392938193075304E-4</v>
      </c>
      <c r="F357" s="172">
        <v>8.1039973545349504E-4</v>
      </c>
      <c r="G357" s="172">
        <v>1.07839297534038</v>
      </c>
    </row>
    <row r="358" spans="2:7" hidden="1" x14ac:dyDescent="0.3">
      <c r="B358" s="172" t="s">
        <v>189</v>
      </c>
      <c r="C358" s="172" t="s">
        <v>246</v>
      </c>
      <c r="D358" s="172" t="s">
        <v>221</v>
      </c>
      <c r="E358" s="172">
        <v>2.2302496363158999E-4</v>
      </c>
      <c r="F358" s="172">
        <v>1.43612905535018E-4</v>
      </c>
      <c r="G358" s="172">
        <v>1.55295906590518</v>
      </c>
    </row>
    <row r="359" spans="2:7" s="172" customFormat="1" hidden="1" x14ac:dyDescent="0.3">
      <c r="B359" s="172" t="s">
        <v>187</v>
      </c>
      <c r="C359" s="172" t="s">
        <v>246</v>
      </c>
      <c r="D359" s="172" t="s">
        <v>218</v>
      </c>
      <c r="E359" s="172">
        <v>9.0303575734491503E-4</v>
      </c>
      <c r="F359" s="172">
        <v>4.9973542156698104E-4</v>
      </c>
      <c r="G359" s="172">
        <v>1.8070277158127701</v>
      </c>
    </row>
    <row r="360" spans="2:7" hidden="1" x14ac:dyDescent="0.3">
      <c r="B360" s="172" t="s">
        <v>187</v>
      </c>
      <c r="C360" s="172" t="s">
        <v>246</v>
      </c>
      <c r="D360" s="172" t="s">
        <v>221</v>
      </c>
      <c r="E360" s="172">
        <v>6.3049549071613495E-4</v>
      </c>
      <c r="F360" s="172">
        <v>2.66224219690904E-4</v>
      </c>
      <c r="G360" s="172">
        <v>2.3682874963373499</v>
      </c>
    </row>
    <row r="361" spans="2:7" hidden="1" x14ac:dyDescent="0.3">
      <c r="B361" s="172" t="s">
        <v>185</v>
      </c>
      <c r="C361" s="172" t="s">
        <v>246</v>
      </c>
      <c r="D361" s="172" t="s">
        <v>218</v>
      </c>
      <c r="E361" s="172">
        <v>8.1649787659746997E-4</v>
      </c>
      <c r="F361" s="172">
        <v>4.5324950019678598E-4</v>
      </c>
      <c r="G361" s="172">
        <v>1.8014313887670601</v>
      </c>
    </row>
    <row r="362" spans="2:7" hidden="1" x14ac:dyDescent="0.3">
      <c r="B362" s="172" t="s">
        <v>185</v>
      </c>
      <c r="C362" s="172" t="s">
        <v>246</v>
      </c>
      <c r="D362" s="172" t="s">
        <v>221</v>
      </c>
      <c r="E362" s="172">
        <v>5.5716033641311797E-4</v>
      </c>
      <c r="F362" s="172">
        <v>2.2906502869637099E-4</v>
      </c>
      <c r="G362" s="172">
        <v>2.4323238670868501</v>
      </c>
    </row>
    <row r="363" spans="2:7" hidden="1" x14ac:dyDescent="0.3">
      <c r="B363" s="172" t="s">
        <v>183</v>
      </c>
      <c r="C363" s="172" t="s">
        <v>246</v>
      </c>
      <c r="D363" s="172" t="s">
        <v>218</v>
      </c>
      <c r="E363" s="172">
        <v>7.3108143061495403E-4</v>
      </c>
      <c r="F363" s="172">
        <v>4.0871850145921099E-4</v>
      </c>
      <c r="G363" s="172">
        <v>1.7887162631611699</v>
      </c>
    </row>
    <row r="364" spans="2:7" hidden="1" x14ac:dyDescent="0.3">
      <c r="B364" s="172" t="s">
        <v>183</v>
      </c>
      <c r="C364" s="172" t="s">
        <v>246</v>
      </c>
      <c r="D364" s="172" t="s">
        <v>221</v>
      </c>
      <c r="E364" s="172">
        <v>4.8711578660956399E-4</v>
      </c>
      <c r="F364" s="172">
        <v>1.95949269952764E-4</v>
      </c>
      <c r="G364" s="172">
        <v>2.4859280502907102</v>
      </c>
    </row>
    <row r="365" spans="2:7" hidden="1" x14ac:dyDescent="0.3">
      <c r="B365" s="172" t="s">
        <v>181</v>
      </c>
      <c r="C365" s="172" t="s">
        <v>246</v>
      </c>
      <c r="D365" s="172" t="s">
        <v>218</v>
      </c>
      <c r="E365" s="172">
        <v>6.4711193570169095E-4</v>
      </c>
      <c r="F365" s="172">
        <v>3.6492734926230302E-4</v>
      </c>
      <c r="G365" s="172">
        <v>1.7732623685504001</v>
      </c>
    </row>
    <row r="366" spans="2:7" hidden="1" x14ac:dyDescent="0.3">
      <c r="B366" s="172" t="s">
        <v>181</v>
      </c>
      <c r="C366" s="172" t="s">
        <v>246</v>
      </c>
      <c r="D366" s="172" t="s">
        <v>221</v>
      </c>
      <c r="E366" s="172">
        <v>4.1965525378846399E-4</v>
      </c>
      <c r="F366" s="172">
        <v>1.64778853133533E-4</v>
      </c>
      <c r="G366" s="172">
        <v>2.5467785811592298</v>
      </c>
    </row>
    <row r="367" spans="2:7" hidden="1" x14ac:dyDescent="0.3">
      <c r="B367" s="172" t="s">
        <v>179</v>
      </c>
      <c r="C367" s="172" t="s">
        <v>246</v>
      </c>
      <c r="D367" s="172" t="s">
        <v>218</v>
      </c>
      <c r="E367" s="172">
        <v>5.6536416058355497E-4</v>
      </c>
      <c r="F367" s="172">
        <v>3.22196384511042E-4</v>
      </c>
      <c r="G367" s="172">
        <v>1.7547191333060399</v>
      </c>
    </row>
    <row r="368" spans="2:7" hidden="1" x14ac:dyDescent="0.3">
      <c r="B368" s="172" t="s">
        <v>179</v>
      </c>
      <c r="C368" s="172" t="s">
        <v>246</v>
      </c>
      <c r="D368" s="172" t="s">
        <v>221</v>
      </c>
      <c r="E368" s="172">
        <v>3.5532742935842599E-4</v>
      </c>
      <c r="F368" s="172">
        <v>1.3569201871228501E-4</v>
      </c>
      <c r="G368" s="172">
        <v>2.6186317569041901</v>
      </c>
    </row>
    <row r="369" spans="2:7" hidden="1" x14ac:dyDescent="0.3">
      <c r="B369" s="172" t="s">
        <v>39</v>
      </c>
      <c r="C369" s="172" t="s">
        <v>246</v>
      </c>
      <c r="D369" s="172" t="s">
        <v>218</v>
      </c>
      <c r="E369" s="172">
        <v>4.8544118728852998E-4</v>
      </c>
      <c r="F369" s="172">
        <v>2.7974636031805701E-4</v>
      </c>
      <c r="G369" s="172">
        <v>1.7352904493077499</v>
      </c>
    </row>
    <row r="370" spans="2:7" hidden="1" x14ac:dyDescent="0.3">
      <c r="B370" s="172" t="s">
        <v>39</v>
      </c>
      <c r="C370" s="172" t="s">
        <v>246</v>
      </c>
      <c r="D370" s="172" t="s">
        <v>221</v>
      </c>
      <c r="E370" s="172">
        <v>2.9404246662314898E-4</v>
      </c>
      <c r="F370" s="172">
        <v>1.08253590649818E-4</v>
      </c>
      <c r="G370" s="172">
        <v>2.7162375387096902</v>
      </c>
    </row>
    <row r="371" spans="2:7" hidden="1" x14ac:dyDescent="0.3">
      <c r="B371" s="172" t="s">
        <v>26</v>
      </c>
      <c r="C371" s="172" t="s">
        <v>246</v>
      </c>
      <c r="D371" s="172" t="s">
        <v>218</v>
      </c>
      <c r="E371" s="172">
        <v>3.9941663394341598E-4</v>
      </c>
      <c r="F371" s="172">
        <v>2.30821838571612E-4</v>
      </c>
      <c r="G371" s="172">
        <v>1.73041093691617</v>
      </c>
    </row>
    <row r="372" spans="2:7" hidden="1" x14ac:dyDescent="0.3">
      <c r="B372" s="172" t="s">
        <v>26</v>
      </c>
      <c r="C372" s="172" t="s">
        <v>246</v>
      </c>
      <c r="D372" s="172" t="s">
        <v>221</v>
      </c>
      <c r="E372" s="172">
        <v>2.3203455499553799E-4</v>
      </c>
      <c r="F372" s="172">
        <v>7.9755384982296704E-5</v>
      </c>
      <c r="G372" s="172">
        <v>2.9093277531923798</v>
      </c>
    </row>
    <row r="373" spans="2:7" hidden="1" x14ac:dyDescent="0.3">
      <c r="B373" s="172" t="s">
        <v>25</v>
      </c>
      <c r="C373" s="172" t="s">
        <v>246</v>
      </c>
      <c r="D373" s="172" t="s">
        <v>218</v>
      </c>
      <c r="E373" s="172">
        <v>3.0474176831866501E-4</v>
      </c>
      <c r="F373" s="172">
        <v>1.7623645289032799E-4</v>
      </c>
      <c r="G373" s="172">
        <v>1.7291642184168701</v>
      </c>
    </row>
    <row r="374" spans="2:7" hidden="1" x14ac:dyDescent="0.3">
      <c r="B374" s="172" t="s">
        <v>25</v>
      </c>
      <c r="C374" s="172" t="s">
        <v>246</v>
      </c>
      <c r="D374" s="172" t="s">
        <v>221</v>
      </c>
      <c r="E374" s="172">
        <v>1.70072037425399E-4</v>
      </c>
      <c r="F374" s="172">
        <v>5.4002720264320201E-5</v>
      </c>
      <c r="G374" s="172">
        <v>3.1493235265366102</v>
      </c>
    </row>
    <row r="375" spans="2:7" hidden="1" x14ac:dyDescent="0.3">
      <c r="B375" s="172" t="s">
        <v>24</v>
      </c>
      <c r="C375" s="172" t="s">
        <v>246</v>
      </c>
      <c r="D375" s="172" t="s">
        <v>218</v>
      </c>
      <c r="E375" s="172">
        <v>2.1236563634679899E-4</v>
      </c>
      <c r="F375" s="172">
        <v>1.2279927056673001E-4</v>
      </c>
      <c r="G375" s="172">
        <v>1.72937213198997</v>
      </c>
    </row>
    <row r="376" spans="2:7" hidden="1" x14ac:dyDescent="0.3">
      <c r="B376" s="172" t="s">
        <v>24</v>
      </c>
      <c r="C376" s="172" t="s">
        <v>246</v>
      </c>
      <c r="D376" s="172" t="s">
        <v>221</v>
      </c>
      <c r="E376" s="172">
        <v>1.13936471228438E-4</v>
      </c>
      <c r="F376" s="172">
        <v>3.3037818265795598E-5</v>
      </c>
      <c r="G376" s="172">
        <v>3.44866813879166</v>
      </c>
    </row>
    <row r="377" spans="2:7" hidden="1" x14ac:dyDescent="0.3">
      <c r="B377" s="172" t="s">
        <v>22</v>
      </c>
      <c r="C377" s="172" t="s">
        <v>246</v>
      </c>
      <c r="D377" s="172" t="s">
        <v>218</v>
      </c>
      <c r="E377" s="172">
        <v>1.16512762400003E-4</v>
      </c>
      <c r="F377" s="172">
        <v>6.6559947176774903E-5</v>
      </c>
      <c r="G377" s="172">
        <v>1.75049361278127</v>
      </c>
    </row>
    <row r="378" spans="2:7" hidden="1" x14ac:dyDescent="0.3">
      <c r="B378" s="172" t="s">
        <v>22</v>
      </c>
      <c r="C378" s="172" t="s">
        <v>246</v>
      </c>
      <c r="D378" s="172" t="s">
        <v>221</v>
      </c>
      <c r="E378" s="172">
        <v>6.0519322449778698E-5</v>
      </c>
      <c r="F378" s="172">
        <v>1.5400650635250099E-5</v>
      </c>
      <c r="G378" s="172">
        <v>3.92966010872669</v>
      </c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2.4272016453386301E-2</v>
      </c>
      <c r="F402" s="172">
        <v>2.3708306492626698E-2</v>
      </c>
      <c r="G402" s="172">
        <v>1.0237768969679499</v>
      </c>
    </row>
    <row r="403" spans="2:7" hidden="1" x14ac:dyDescent="0.3">
      <c r="B403" s="172" t="s">
        <v>189</v>
      </c>
      <c r="C403" s="172" t="s">
        <v>79</v>
      </c>
      <c r="D403" s="172" t="s">
        <v>221</v>
      </c>
      <c r="E403" s="172">
        <v>3.0866472721884802E-3</v>
      </c>
      <c r="F403" s="172">
        <v>2.3820098212388998E-3</v>
      </c>
      <c r="G403" s="172">
        <v>1.2958163499859501</v>
      </c>
    </row>
    <row r="404" spans="2:7" hidden="1" x14ac:dyDescent="0.3">
      <c r="B404" s="172" t="s">
        <v>187</v>
      </c>
      <c r="C404" s="172" t="s">
        <v>79</v>
      </c>
      <c r="D404" s="172" t="s">
        <v>218</v>
      </c>
      <c r="E404" s="172">
        <v>3.05748600321551E-2</v>
      </c>
      <c r="F404" s="172">
        <v>2.6298550442528799E-2</v>
      </c>
      <c r="G404" s="172">
        <v>1.16260628504873</v>
      </c>
    </row>
    <row r="405" spans="2:7" hidden="1" x14ac:dyDescent="0.3">
      <c r="B405" s="172" t="s">
        <v>187</v>
      </c>
      <c r="C405" s="172" t="s">
        <v>79</v>
      </c>
      <c r="D405" s="172" t="s">
        <v>221</v>
      </c>
      <c r="E405" s="172">
        <v>9.0813034713860003E-3</v>
      </c>
      <c r="F405" s="172">
        <v>5.2188302936590197E-3</v>
      </c>
      <c r="G405" s="172">
        <v>1.74010323394113</v>
      </c>
    </row>
    <row r="406" spans="2:7" hidden="1" x14ac:dyDescent="0.3">
      <c r="B406" s="172" t="s">
        <v>185</v>
      </c>
      <c r="C406" s="172" t="s">
        <v>79</v>
      </c>
      <c r="D406" s="172" t="s">
        <v>218</v>
      </c>
      <c r="E406" s="172">
        <v>2.95293143602623E-2</v>
      </c>
      <c r="F406" s="172">
        <v>2.5238880095989701E-2</v>
      </c>
      <c r="G406" s="172">
        <v>1.1699930523048201</v>
      </c>
    </row>
    <row r="407" spans="2:7" hidden="1" x14ac:dyDescent="0.3">
      <c r="B407" s="172" t="s">
        <v>185</v>
      </c>
      <c r="C407" s="172" t="s">
        <v>79</v>
      </c>
      <c r="D407" s="172" t="s">
        <v>221</v>
      </c>
      <c r="E407" s="172">
        <v>8.85151188566001E-3</v>
      </c>
      <c r="F407" s="172">
        <v>4.9762809372847798E-3</v>
      </c>
      <c r="G407" s="172">
        <v>1.7787403880958701</v>
      </c>
    </row>
    <row r="408" spans="2:7" hidden="1" x14ac:dyDescent="0.3">
      <c r="B408" s="172" t="s">
        <v>183</v>
      </c>
      <c r="C408" s="172" t="s">
        <v>79</v>
      </c>
      <c r="D408" s="172" t="s">
        <v>218</v>
      </c>
      <c r="E408" s="172">
        <v>2.7769948154111799E-2</v>
      </c>
      <c r="F408" s="172">
        <v>2.3598295760523299E-2</v>
      </c>
      <c r="G408" s="172">
        <v>1.1767776976745501</v>
      </c>
    </row>
    <row r="409" spans="2:7" hidden="1" x14ac:dyDescent="0.3">
      <c r="B409" s="172" t="s">
        <v>183</v>
      </c>
      <c r="C409" s="172" t="s">
        <v>79</v>
      </c>
      <c r="D409" s="172" t="s">
        <v>221</v>
      </c>
      <c r="E409" s="172">
        <v>8.3892254946044704E-3</v>
      </c>
      <c r="F409" s="172">
        <v>4.6212813971697204E-3</v>
      </c>
      <c r="G409" s="172">
        <v>1.8153461721119999</v>
      </c>
    </row>
    <row r="410" spans="2:7" hidden="1" x14ac:dyDescent="0.3">
      <c r="B410" s="172" t="s">
        <v>181</v>
      </c>
      <c r="C410" s="172" t="s">
        <v>79</v>
      </c>
      <c r="D410" s="172" t="s">
        <v>218</v>
      </c>
      <c r="E410" s="172">
        <v>2.5325432732021199E-2</v>
      </c>
      <c r="F410" s="172">
        <v>2.1422908566507699E-2</v>
      </c>
      <c r="G410" s="172">
        <v>1.1821659348168401</v>
      </c>
    </row>
    <row r="411" spans="2:7" hidden="1" x14ac:dyDescent="0.3">
      <c r="B411" s="172" t="s">
        <v>181</v>
      </c>
      <c r="C411" s="172" t="s">
        <v>79</v>
      </c>
      <c r="D411" s="172" t="s">
        <v>221</v>
      </c>
      <c r="E411" s="172">
        <v>7.6911739590836701E-3</v>
      </c>
      <c r="F411" s="172">
        <v>4.1663134224908501E-3</v>
      </c>
      <c r="G411" s="172">
        <v>1.8460382547229199</v>
      </c>
    </row>
    <row r="412" spans="2:7" hidden="1" x14ac:dyDescent="0.3">
      <c r="B412" s="172" t="s">
        <v>179</v>
      </c>
      <c r="C412" s="172" t="s">
        <v>79</v>
      </c>
      <c r="D412" s="172" t="s">
        <v>218</v>
      </c>
      <c r="E412" s="172">
        <v>2.22996853191911E-2</v>
      </c>
      <c r="F412" s="172">
        <v>1.8798384081439301E-2</v>
      </c>
      <c r="G412" s="172">
        <v>1.18625543677495</v>
      </c>
    </row>
    <row r="413" spans="2:7" hidden="1" x14ac:dyDescent="0.3">
      <c r="B413" s="172" t="s">
        <v>179</v>
      </c>
      <c r="C413" s="172" t="s">
        <v>79</v>
      </c>
      <c r="D413" s="172" t="s">
        <v>221</v>
      </c>
      <c r="E413" s="172">
        <v>6.7929457252049697E-3</v>
      </c>
      <c r="F413" s="172">
        <v>3.6304800911066601E-3</v>
      </c>
      <c r="G413" s="172">
        <v>1.8710874470418399</v>
      </c>
    </row>
    <row r="414" spans="2:7" hidden="1" x14ac:dyDescent="0.3">
      <c r="B414" s="172" t="s">
        <v>39</v>
      </c>
      <c r="C414" s="172" t="s">
        <v>79</v>
      </c>
      <c r="D414" s="172" t="s">
        <v>218</v>
      </c>
      <c r="E414" s="172">
        <v>1.8819109718254502E-2</v>
      </c>
      <c r="F414" s="172">
        <v>1.58254076901925E-2</v>
      </c>
      <c r="G414" s="172">
        <v>1.18917061011435</v>
      </c>
    </row>
    <row r="415" spans="2:7" hidden="1" x14ac:dyDescent="0.3">
      <c r="B415" s="172" t="s">
        <v>39</v>
      </c>
      <c r="C415" s="172" t="s">
        <v>79</v>
      </c>
      <c r="D415" s="172" t="s">
        <v>221</v>
      </c>
      <c r="E415" s="172">
        <v>5.7389834019334098E-3</v>
      </c>
      <c r="F415" s="172">
        <v>3.0349944733612999E-3</v>
      </c>
      <c r="G415" s="172">
        <v>1.8909370189321599</v>
      </c>
    </row>
    <row r="416" spans="2:7" hidden="1" x14ac:dyDescent="0.3">
      <c r="B416" s="172" t="s">
        <v>26</v>
      </c>
      <c r="C416" s="172" t="s">
        <v>79</v>
      </c>
      <c r="D416" s="172" t="s">
        <v>218</v>
      </c>
      <c r="E416" s="172">
        <v>1.51402189021897E-2</v>
      </c>
      <c r="F416" s="172">
        <v>1.26980951008393E-2</v>
      </c>
      <c r="G416" s="172">
        <v>1.19232205948662</v>
      </c>
    </row>
    <row r="417" spans="2:7" hidden="1" x14ac:dyDescent="0.3">
      <c r="B417" s="172" t="s">
        <v>26</v>
      </c>
      <c r="C417" s="172" t="s">
        <v>79</v>
      </c>
      <c r="D417" s="172" t="s">
        <v>221</v>
      </c>
      <c r="E417" s="172">
        <v>4.6203234191984997E-3</v>
      </c>
      <c r="F417" s="172">
        <v>2.4145341792691098E-3</v>
      </c>
      <c r="G417" s="172">
        <v>1.9135464964083</v>
      </c>
    </row>
    <row r="418" spans="2:7" hidden="1" x14ac:dyDescent="0.3">
      <c r="B418" s="172" t="s">
        <v>25</v>
      </c>
      <c r="C418" s="172" t="s">
        <v>79</v>
      </c>
      <c r="D418" s="172" t="s">
        <v>218</v>
      </c>
      <c r="E418" s="172">
        <v>1.1350115429103301E-2</v>
      </c>
      <c r="F418" s="172">
        <v>9.4894552323310094E-3</v>
      </c>
      <c r="G418" s="172">
        <v>1.1960766083212999</v>
      </c>
    </row>
    <row r="419" spans="2:7" hidden="1" x14ac:dyDescent="0.3">
      <c r="B419" s="172" t="s">
        <v>25</v>
      </c>
      <c r="C419" s="172" t="s">
        <v>79</v>
      </c>
      <c r="D419" s="172" t="s">
        <v>221</v>
      </c>
      <c r="E419" s="172">
        <v>3.46242762613905E-3</v>
      </c>
      <c r="F419" s="172">
        <v>1.7818313193770101E-3</v>
      </c>
      <c r="G419" s="172">
        <v>1.94318485060058</v>
      </c>
    </row>
    <row r="420" spans="2:7" hidden="1" x14ac:dyDescent="0.3">
      <c r="B420" s="172" t="s">
        <v>24</v>
      </c>
      <c r="C420" s="172" t="s">
        <v>79</v>
      </c>
      <c r="D420" s="172" t="s">
        <v>218</v>
      </c>
      <c r="E420" s="172">
        <v>7.3723611018724298E-3</v>
      </c>
      <c r="F420" s="172">
        <v>6.1601065733771698E-3</v>
      </c>
      <c r="G420" s="172">
        <v>1.19679116165529</v>
      </c>
    </row>
    <row r="421" spans="2:7" hidden="1" x14ac:dyDescent="0.3">
      <c r="B421" s="172" t="s">
        <v>24</v>
      </c>
      <c r="C421" s="172" t="s">
        <v>79</v>
      </c>
      <c r="D421" s="172" t="s">
        <v>221</v>
      </c>
      <c r="E421" s="172">
        <v>2.2278504471669302E-3</v>
      </c>
      <c r="F421" s="172">
        <v>1.13291087304217E-3</v>
      </c>
      <c r="G421" s="172">
        <v>1.96648341911005</v>
      </c>
    </row>
    <row r="422" spans="2:7" hidden="1" x14ac:dyDescent="0.3">
      <c r="B422" s="172" t="s">
        <v>22</v>
      </c>
      <c r="C422" s="172" t="s">
        <v>79</v>
      </c>
      <c r="D422" s="172" t="s">
        <v>218</v>
      </c>
      <c r="E422" s="172">
        <v>3.3540247175554302E-3</v>
      </c>
      <c r="F422" s="172">
        <v>2.8241680711001702E-3</v>
      </c>
      <c r="G422" s="172">
        <v>1.1876151252743401</v>
      </c>
    </row>
    <row r="423" spans="2:7" hidden="1" x14ac:dyDescent="0.3">
      <c r="B423" s="172" t="s">
        <v>22</v>
      </c>
      <c r="C423" s="172" t="s">
        <v>79</v>
      </c>
      <c r="D423" s="172" t="s">
        <v>221</v>
      </c>
      <c r="E423" s="172">
        <v>9.7678834355229309E-4</v>
      </c>
      <c r="F423" s="172">
        <v>4.9820814675399598E-4</v>
      </c>
      <c r="G423" s="172">
        <v>1.9606029124903299</v>
      </c>
    </row>
    <row r="424" spans="2:7" hidden="1" x14ac:dyDescent="0.3">
      <c r="B424" s="172" t="s">
        <v>189</v>
      </c>
      <c r="C424" s="172" t="s">
        <v>80</v>
      </c>
      <c r="D424" s="172" t="s">
        <v>218</v>
      </c>
      <c r="E424" s="172">
        <v>2.8385699246985599E-2</v>
      </c>
      <c r="F424" s="172">
        <v>2.8205107174070598E-2</v>
      </c>
      <c r="G424" s="172">
        <v>1.00640281463213</v>
      </c>
    </row>
    <row r="425" spans="2:7" hidden="1" x14ac:dyDescent="0.3">
      <c r="B425" s="172" t="s">
        <v>189</v>
      </c>
      <c r="C425" s="172" t="s">
        <v>80</v>
      </c>
      <c r="D425" s="172" t="s">
        <v>221</v>
      </c>
      <c r="E425" s="172">
        <v>7.3945114611826002E-3</v>
      </c>
      <c r="F425" s="172">
        <v>7.1687713700389301E-3</v>
      </c>
      <c r="G425" s="172">
        <v>1.0314893695853</v>
      </c>
    </row>
    <row r="426" spans="2:7" hidden="1" x14ac:dyDescent="0.3">
      <c r="B426" s="172" t="s">
        <v>187</v>
      </c>
      <c r="C426" s="172" t="s">
        <v>80</v>
      </c>
      <c r="D426" s="172" t="s">
        <v>218</v>
      </c>
      <c r="E426" s="172">
        <v>2.7070800151274398E-2</v>
      </c>
      <c r="F426" s="172">
        <v>2.5690176845514001E-2</v>
      </c>
      <c r="G426" s="172">
        <v>1.0537412924038101</v>
      </c>
    </row>
    <row r="427" spans="2:7" hidden="1" x14ac:dyDescent="0.3">
      <c r="B427" s="172" t="s">
        <v>187</v>
      </c>
      <c r="C427" s="172" t="s">
        <v>80</v>
      </c>
      <c r="D427" s="172" t="s">
        <v>221</v>
      </c>
      <c r="E427" s="172">
        <v>6.8322935779473399E-3</v>
      </c>
      <c r="F427" s="172">
        <v>5.5852789791960202E-3</v>
      </c>
      <c r="G427" s="172">
        <v>1.2232680951831001</v>
      </c>
    </row>
    <row r="428" spans="2:7" hidden="1" x14ac:dyDescent="0.3">
      <c r="B428" s="172" t="s">
        <v>185</v>
      </c>
      <c r="C428" s="172" t="s">
        <v>80</v>
      </c>
      <c r="D428" s="172" t="s">
        <v>218</v>
      </c>
      <c r="E428" s="172">
        <v>2.5755918614750201E-2</v>
      </c>
      <c r="F428" s="172">
        <v>2.46362727212069E-2</v>
      </c>
      <c r="G428" s="172">
        <v>1.0454470490002099</v>
      </c>
    </row>
    <row r="429" spans="2:7" hidden="1" x14ac:dyDescent="0.3">
      <c r="B429" s="172" t="s">
        <v>185</v>
      </c>
      <c r="C429" s="172" t="s">
        <v>80</v>
      </c>
      <c r="D429" s="172" t="s">
        <v>221</v>
      </c>
      <c r="E429" s="172">
        <v>6.3047731812935796E-3</v>
      </c>
      <c r="F429" s="172">
        <v>5.2934801161577004E-3</v>
      </c>
      <c r="G429" s="172">
        <v>1.1910450295352999</v>
      </c>
    </row>
    <row r="430" spans="2:7" hidden="1" x14ac:dyDescent="0.3">
      <c r="B430" s="172" t="s">
        <v>183</v>
      </c>
      <c r="C430" s="172" t="s">
        <v>80</v>
      </c>
      <c r="D430" s="172" t="s">
        <v>218</v>
      </c>
      <c r="E430" s="172">
        <v>2.3880868882698299E-2</v>
      </c>
      <c r="F430" s="172">
        <v>2.3018234469407699E-2</v>
      </c>
      <c r="G430" s="172">
        <v>1.03747613286489</v>
      </c>
    </row>
    <row r="431" spans="2:7" hidden="1" x14ac:dyDescent="0.3">
      <c r="B431" s="172" t="s">
        <v>183</v>
      </c>
      <c r="C431" s="172" t="s">
        <v>80</v>
      </c>
      <c r="D431" s="172" t="s">
        <v>221</v>
      </c>
      <c r="E431" s="172">
        <v>5.6663583972459504E-3</v>
      </c>
      <c r="F431" s="172">
        <v>4.8872047336285902E-3</v>
      </c>
      <c r="G431" s="172">
        <v>1.15942726079308</v>
      </c>
    </row>
    <row r="432" spans="2:7" hidden="1" x14ac:dyDescent="0.3">
      <c r="B432" s="172" t="s">
        <v>181</v>
      </c>
      <c r="C432" s="172" t="s">
        <v>80</v>
      </c>
      <c r="D432" s="172" t="s">
        <v>218</v>
      </c>
      <c r="E432" s="172">
        <v>2.1524770505324298E-2</v>
      </c>
      <c r="F432" s="172">
        <v>2.08847623919407E-2</v>
      </c>
      <c r="G432" s="172">
        <v>1.03064473999621</v>
      </c>
    </row>
    <row r="433" spans="2:7" hidden="1" x14ac:dyDescent="0.3">
      <c r="B433" s="172" t="s">
        <v>181</v>
      </c>
      <c r="C433" s="172" t="s">
        <v>80</v>
      </c>
      <c r="D433" s="172" t="s">
        <v>221</v>
      </c>
      <c r="E433" s="172">
        <v>4.9624677545116796E-3</v>
      </c>
      <c r="F433" s="172">
        <v>4.3843959101652003E-3</v>
      </c>
      <c r="G433" s="172">
        <v>1.1318475466611599</v>
      </c>
    </row>
    <row r="434" spans="2:7" hidden="1" x14ac:dyDescent="0.3">
      <c r="B434" s="172" t="s">
        <v>179</v>
      </c>
      <c r="C434" s="172" t="s">
        <v>80</v>
      </c>
      <c r="D434" s="172" t="s">
        <v>218</v>
      </c>
      <c r="E434" s="172">
        <v>1.8771594071968298E-2</v>
      </c>
      <c r="F434" s="172">
        <v>1.8319219656981401E-2</v>
      </c>
      <c r="G434" s="172">
        <v>1.0246939784258</v>
      </c>
    </row>
    <row r="435" spans="2:7" hidden="1" x14ac:dyDescent="0.3">
      <c r="B435" s="172" t="s">
        <v>179</v>
      </c>
      <c r="C435" s="172" t="s">
        <v>80</v>
      </c>
      <c r="D435" s="172" t="s">
        <v>221</v>
      </c>
      <c r="E435" s="172">
        <v>4.2134693269881398E-3</v>
      </c>
      <c r="F435" s="172">
        <v>3.8048730811935101E-3</v>
      </c>
      <c r="G435" s="172">
        <v>1.1073876150598101</v>
      </c>
    </row>
    <row r="436" spans="2:7" hidden="1" x14ac:dyDescent="0.3">
      <c r="B436" s="172" t="s">
        <v>39</v>
      </c>
      <c r="C436" s="172" t="s">
        <v>80</v>
      </c>
      <c r="D436" s="172" t="s">
        <v>218</v>
      </c>
      <c r="E436" s="172">
        <v>1.57164722306396E-2</v>
      </c>
      <c r="F436" s="172">
        <v>1.54181866573433E-2</v>
      </c>
      <c r="G436" s="172">
        <v>1.01934634596956</v>
      </c>
    </row>
    <row r="437" spans="2:7" hidden="1" x14ac:dyDescent="0.3">
      <c r="B437" s="172" t="s">
        <v>39</v>
      </c>
      <c r="C437" s="172" t="s">
        <v>80</v>
      </c>
      <c r="D437" s="172" t="s">
        <v>221</v>
      </c>
      <c r="E437" s="172">
        <v>3.43838710361106E-3</v>
      </c>
      <c r="F437" s="172">
        <v>3.1689678761176701E-3</v>
      </c>
      <c r="G437" s="172">
        <v>1.0850179736827901</v>
      </c>
    </row>
    <row r="438" spans="2:7" hidden="1" x14ac:dyDescent="0.3">
      <c r="B438" s="172" t="s">
        <v>26</v>
      </c>
      <c r="C438" s="172" t="s">
        <v>80</v>
      </c>
      <c r="D438" s="172" t="s">
        <v>218</v>
      </c>
      <c r="E438" s="172">
        <v>1.2549902046726799E-2</v>
      </c>
      <c r="F438" s="172">
        <v>1.2367887159503901E-2</v>
      </c>
      <c r="G438" s="172">
        <v>1.0147167325247599</v>
      </c>
    </row>
    <row r="439" spans="2:7" hidden="1" x14ac:dyDescent="0.3">
      <c r="B439" s="172" t="s">
        <v>26</v>
      </c>
      <c r="C439" s="172" t="s">
        <v>80</v>
      </c>
      <c r="D439" s="172" t="s">
        <v>221</v>
      </c>
      <c r="E439" s="172">
        <v>2.6754072708742201E-3</v>
      </c>
      <c r="F439" s="172">
        <v>2.5110067275761899E-3</v>
      </c>
      <c r="G439" s="172">
        <v>1.0654719644884101</v>
      </c>
    </row>
    <row r="440" spans="2:7" hidden="1" x14ac:dyDescent="0.3">
      <c r="B440" s="172" t="s">
        <v>25</v>
      </c>
      <c r="C440" s="172" t="s">
        <v>80</v>
      </c>
      <c r="D440" s="172" t="s">
        <v>218</v>
      </c>
      <c r="E440" s="172">
        <v>9.3472644735148099E-3</v>
      </c>
      <c r="F440" s="172">
        <v>9.2401001318968695E-3</v>
      </c>
      <c r="G440" s="172">
        <v>1.01159774678718</v>
      </c>
    </row>
    <row r="441" spans="2:7" hidden="1" x14ac:dyDescent="0.3">
      <c r="B441" s="172" t="s">
        <v>25</v>
      </c>
      <c r="C441" s="172" t="s">
        <v>80</v>
      </c>
      <c r="D441" s="172" t="s">
        <v>221</v>
      </c>
      <c r="E441" s="172">
        <v>1.9420626615258699E-3</v>
      </c>
      <c r="F441" s="172">
        <v>1.84526906264516E-3</v>
      </c>
      <c r="G441" s="172">
        <v>1.05245500552747</v>
      </c>
    </row>
    <row r="442" spans="2:7" hidden="1" x14ac:dyDescent="0.3">
      <c r="B442" s="172" t="s">
        <v>24</v>
      </c>
      <c r="C442" s="172" t="s">
        <v>80</v>
      </c>
      <c r="D442" s="172" t="s">
        <v>218</v>
      </c>
      <c r="E442" s="172">
        <v>6.0795887508182699E-3</v>
      </c>
      <c r="F442" s="172">
        <v>5.9996576273331397E-3</v>
      </c>
      <c r="G442" s="172">
        <v>1.0133226141306799</v>
      </c>
    </row>
    <row r="443" spans="2:7" hidden="1" x14ac:dyDescent="0.3">
      <c r="B443" s="172" t="s">
        <v>24</v>
      </c>
      <c r="C443" s="172" t="s">
        <v>80</v>
      </c>
      <c r="D443" s="172" t="s">
        <v>221</v>
      </c>
      <c r="E443" s="172">
        <v>1.2433787589145901E-3</v>
      </c>
      <c r="F443" s="172">
        <v>1.17118290544415E-3</v>
      </c>
      <c r="G443" s="172">
        <v>1.06164353418654</v>
      </c>
    </row>
    <row r="444" spans="2:7" hidden="1" x14ac:dyDescent="0.3">
      <c r="B444" s="172" t="s">
        <v>22</v>
      </c>
      <c r="C444" s="172" t="s">
        <v>80</v>
      </c>
      <c r="D444" s="172" t="s">
        <v>218</v>
      </c>
      <c r="E444" s="172">
        <v>2.8391696992427799E-3</v>
      </c>
      <c r="F444" s="172">
        <v>2.7560800238638299E-3</v>
      </c>
      <c r="G444" s="172">
        <v>1.0301477731631601</v>
      </c>
    </row>
    <row r="445" spans="2:7" hidden="1" x14ac:dyDescent="0.3">
      <c r="B445" s="172" t="s">
        <v>22</v>
      </c>
      <c r="C445" s="172" t="s">
        <v>80</v>
      </c>
      <c r="D445" s="172" t="s">
        <v>221</v>
      </c>
      <c r="E445" s="172">
        <v>5.9472401036384198E-4</v>
      </c>
      <c r="F445" s="172">
        <v>5.1967527131188196E-4</v>
      </c>
      <c r="G445" s="172">
        <v>1.14441468200421</v>
      </c>
    </row>
    <row r="446" spans="2:7" hidden="1" x14ac:dyDescent="0.3">
      <c r="B446" s="172" t="s">
        <v>189</v>
      </c>
      <c r="C446" s="172" t="s">
        <v>81</v>
      </c>
      <c r="D446" s="172" t="s">
        <v>218</v>
      </c>
      <c r="E446" s="172">
        <v>6.5303838092404696E-3</v>
      </c>
      <c r="F446" s="172">
        <v>6.3049634467435998E-3</v>
      </c>
      <c r="G446" s="172">
        <v>1.0357528420903499</v>
      </c>
    </row>
    <row r="447" spans="2:7" hidden="1" x14ac:dyDescent="0.3">
      <c r="B447" s="172" t="s">
        <v>189</v>
      </c>
      <c r="C447" s="172" t="s">
        <v>81</v>
      </c>
      <c r="D447" s="172" t="s">
        <v>221</v>
      </c>
      <c r="E447" s="172">
        <v>3.3658532768934601E-2</v>
      </c>
      <c r="F447" s="172">
        <v>3.33767573158135E-2</v>
      </c>
      <c r="G447" s="172">
        <v>1.0084422656897101</v>
      </c>
    </row>
    <row r="448" spans="2:7" hidden="1" x14ac:dyDescent="0.3">
      <c r="B448" s="172" t="s">
        <v>187</v>
      </c>
      <c r="C448" s="172" t="s">
        <v>81</v>
      </c>
      <c r="D448" s="172" t="s">
        <v>218</v>
      </c>
      <c r="E448" s="172">
        <v>6.0492505183944801E-3</v>
      </c>
      <c r="F448" s="172">
        <v>4.7464455067088599E-3</v>
      </c>
      <c r="G448" s="172">
        <v>1.27448013673478</v>
      </c>
    </row>
    <row r="449" spans="2:7" hidden="1" x14ac:dyDescent="0.3">
      <c r="B449" s="172" t="s">
        <v>187</v>
      </c>
      <c r="C449" s="172" t="s">
        <v>81</v>
      </c>
      <c r="D449" s="172" t="s">
        <v>221</v>
      </c>
      <c r="E449" s="172">
        <v>3.1993805936734503E-2</v>
      </c>
      <c r="F449" s="172">
        <v>3.08170788294055E-2</v>
      </c>
      <c r="G449" s="172">
        <v>1.0381842521104301</v>
      </c>
    </row>
    <row r="450" spans="2:7" hidden="1" x14ac:dyDescent="0.3">
      <c r="B450" s="172" t="s">
        <v>185</v>
      </c>
      <c r="C450" s="172" t="s">
        <v>81</v>
      </c>
      <c r="D450" s="172" t="s">
        <v>218</v>
      </c>
      <c r="E450" s="172">
        <v>5.53460808202739E-3</v>
      </c>
      <c r="F450" s="172">
        <v>4.5369993027510299E-3</v>
      </c>
      <c r="G450" s="172">
        <v>1.2198829474519599</v>
      </c>
    </row>
    <row r="451" spans="2:7" hidden="1" x14ac:dyDescent="0.3">
      <c r="B451" s="172" t="s">
        <v>185</v>
      </c>
      <c r="C451" s="172" t="s">
        <v>81</v>
      </c>
      <c r="D451" s="172" t="s">
        <v>221</v>
      </c>
      <c r="E451" s="172">
        <v>3.0435396226547499E-2</v>
      </c>
      <c r="F451" s="172">
        <v>2.9534330232362401E-2</v>
      </c>
      <c r="G451" s="172">
        <v>1.0305091054070299</v>
      </c>
    </row>
    <row r="452" spans="2:7" hidden="1" x14ac:dyDescent="0.3">
      <c r="B452" s="172" t="s">
        <v>183</v>
      </c>
      <c r="C452" s="172" t="s">
        <v>81</v>
      </c>
      <c r="D452" s="172" t="s">
        <v>218</v>
      </c>
      <c r="E452" s="172">
        <v>4.9386705331411103E-3</v>
      </c>
      <c r="F452" s="172">
        <v>4.2239576447475596E-3</v>
      </c>
      <c r="G452" s="172">
        <v>1.16920455849795</v>
      </c>
    </row>
    <row r="453" spans="2:7" hidden="1" x14ac:dyDescent="0.3">
      <c r="B453" s="172" t="s">
        <v>183</v>
      </c>
      <c r="C453" s="172" t="s">
        <v>81</v>
      </c>
      <c r="D453" s="172" t="s">
        <v>221</v>
      </c>
      <c r="E453" s="172">
        <v>2.8216275660272301E-2</v>
      </c>
      <c r="F453" s="172">
        <v>2.7570728535271601E-2</v>
      </c>
      <c r="G453" s="172">
        <v>1.02341422078037</v>
      </c>
    </row>
    <row r="454" spans="2:7" hidden="1" x14ac:dyDescent="0.3">
      <c r="B454" s="172" t="s">
        <v>181</v>
      </c>
      <c r="C454" s="172" t="s">
        <v>81</v>
      </c>
      <c r="D454" s="172" t="s">
        <v>218</v>
      </c>
      <c r="E454" s="172">
        <v>4.3018742293130501E-3</v>
      </c>
      <c r="F454" s="172">
        <v>3.8180851988596299E-3</v>
      </c>
      <c r="G454" s="172">
        <v>1.12670985723365</v>
      </c>
    </row>
    <row r="455" spans="2:7" hidden="1" x14ac:dyDescent="0.3">
      <c r="B455" s="172" t="s">
        <v>181</v>
      </c>
      <c r="C455" s="172" t="s">
        <v>81</v>
      </c>
      <c r="D455" s="172" t="s">
        <v>221</v>
      </c>
      <c r="E455" s="172">
        <v>2.5421756159099699E-2</v>
      </c>
      <c r="F455" s="172">
        <v>2.4984785421916001E-2</v>
      </c>
      <c r="G455" s="172">
        <v>1.0174894732856301</v>
      </c>
    </row>
    <row r="456" spans="2:7" hidden="1" x14ac:dyDescent="0.3">
      <c r="B456" s="172" t="s">
        <v>179</v>
      </c>
      <c r="C456" s="172" t="s">
        <v>81</v>
      </c>
      <c r="D456" s="172" t="s">
        <v>218</v>
      </c>
      <c r="E456" s="172">
        <v>3.6405186676946098E-3</v>
      </c>
      <c r="F456" s="172">
        <v>3.3374342948225E-3</v>
      </c>
      <c r="G456" s="172">
        <v>1.09081358495725</v>
      </c>
    </row>
    <row r="457" spans="2:7" hidden="1" x14ac:dyDescent="0.3">
      <c r="B457" s="172" t="s">
        <v>179</v>
      </c>
      <c r="C457" s="172" t="s">
        <v>81</v>
      </c>
      <c r="D457" s="172" t="s">
        <v>221</v>
      </c>
      <c r="E457" s="172">
        <v>2.21533570507816E-2</v>
      </c>
      <c r="F457" s="172">
        <v>2.18796034236713E-2</v>
      </c>
      <c r="G457" s="172">
        <v>1.0125118185101201</v>
      </c>
    </row>
    <row r="458" spans="2:7" hidden="1" x14ac:dyDescent="0.3">
      <c r="B458" s="172" t="s">
        <v>39</v>
      </c>
      <c r="C458" s="172" t="s">
        <v>81</v>
      </c>
      <c r="D458" s="172" t="s">
        <v>218</v>
      </c>
      <c r="E458" s="172">
        <v>2.96724699173067E-3</v>
      </c>
      <c r="F458" s="172">
        <v>2.8006972714042398E-3</v>
      </c>
      <c r="G458" s="172">
        <v>1.0594672341159299</v>
      </c>
    </row>
    <row r="459" spans="2:7" hidden="1" x14ac:dyDescent="0.3">
      <c r="B459" s="172" t="s">
        <v>39</v>
      </c>
      <c r="C459" s="172" t="s">
        <v>81</v>
      </c>
      <c r="D459" s="172" t="s">
        <v>221</v>
      </c>
      <c r="E459" s="172">
        <v>1.8524786829636201E-2</v>
      </c>
      <c r="F459" s="172">
        <v>1.8374354824180001E-2</v>
      </c>
      <c r="G459" s="172">
        <v>1.0081870632681</v>
      </c>
    </row>
    <row r="460" spans="2:7" hidden="1" x14ac:dyDescent="0.3">
      <c r="B460" s="172" t="s">
        <v>26</v>
      </c>
      <c r="C460" s="172" t="s">
        <v>81</v>
      </c>
      <c r="D460" s="172" t="s">
        <v>218</v>
      </c>
      <c r="E460" s="172">
        <v>2.3027175977465598E-3</v>
      </c>
      <c r="F460" s="172">
        <v>2.2416732295498999E-3</v>
      </c>
      <c r="G460" s="172">
        <v>1.02723160868943</v>
      </c>
    </row>
    <row r="461" spans="2:7" hidden="1" x14ac:dyDescent="0.3">
      <c r="B461" s="172" t="s">
        <v>26</v>
      </c>
      <c r="C461" s="172" t="s">
        <v>81</v>
      </c>
      <c r="D461" s="172" t="s">
        <v>221</v>
      </c>
      <c r="E461" s="172">
        <v>1.47366474610205E-2</v>
      </c>
      <c r="F461" s="172">
        <v>1.46815106123267E-2</v>
      </c>
      <c r="G461" s="172">
        <v>1.00375552966923</v>
      </c>
    </row>
    <row r="462" spans="2:7" hidden="1" x14ac:dyDescent="0.3">
      <c r="B462" s="172" t="s">
        <v>25</v>
      </c>
      <c r="C462" s="172" t="s">
        <v>81</v>
      </c>
      <c r="D462" s="172" t="s">
        <v>218</v>
      </c>
      <c r="E462" s="172">
        <v>1.67961189076273E-3</v>
      </c>
      <c r="F462" s="172">
        <v>1.6749473301633101E-3</v>
      </c>
      <c r="G462" s="172">
        <v>1.0027848998684401</v>
      </c>
    </row>
    <row r="463" spans="2:7" hidden="1" x14ac:dyDescent="0.3">
      <c r="B463" s="172" t="s">
        <v>25</v>
      </c>
      <c r="C463" s="172" t="s">
        <v>81</v>
      </c>
      <c r="D463" s="172" t="s">
        <v>221</v>
      </c>
      <c r="E463" s="172">
        <v>1.0889447120182E-2</v>
      </c>
      <c r="F463" s="172">
        <v>1.0885233968672799E-2</v>
      </c>
      <c r="G463" s="172">
        <v>1.00038705199367</v>
      </c>
    </row>
    <row r="464" spans="2:7" hidden="1" x14ac:dyDescent="0.3">
      <c r="B464" s="172" t="s">
        <v>24</v>
      </c>
      <c r="C464" s="172" t="s">
        <v>81</v>
      </c>
      <c r="D464" s="172" t="s">
        <v>218</v>
      </c>
      <c r="E464" s="172">
        <v>1.10205410087778E-3</v>
      </c>
      <c r="F464" s="172">
        <v>1.0892266822369601E-3</v>
      </c>
      <c r="G464" s="172">
        <v>1.01177662909844</v>
      </c>
    </row>
    <row r="465" spans="2:7" hidden="1" x14ac:dyDescent="0.3">
      <c r="B465" s="172" t="s">
        <v>24</v>
      </c>
      <c r="C465" s="172" t="s">
        <v>81</v>
      </c>
      <c r="D465" s="172" t="s">
        <v>221</v>
      </c>
      <c r="E465" s="172">
        <v>6.9701199108438E-3</v>
      </c>
      <c r="F465" s="172">
        <v>6.9585338552972404E-3</v>
      </c>
      <c r="G465" s="172">
        <v>1.00166501389337</v>
      </c>
    </row>
    <row r="466" spans="2:7" hidden="1" x14ac:dyDescent="0.3">
      <c r="B466" s="172" t="s">
        <v>22</v>
      </c>
      <c r="C466" s="172" t="s">
        <v>81</v>
      </c>
      <c r="D466" s="172" t="s">
        <v>218</v>
      </c>
      <c r="E466" s="172">
        <v>5.2490943360304501E-4</v>
      </c>
      <c r="F466" s="172">
        <v>5.0287946507541104E-4</v>
      </c>
      <c r="G466" s="172">
        <v>1.0438076518482</v>
      </c>
    </row>
    <row r="467" spans="2:7" hidden="1" x14ac:dyDescent="0.3">
      <c r="B467" s="172" t="s">
        <v>22</v>
      </c>
      <c r="C467" s="172" t="s">
        <v>81</v>
      </c>
      <c r="D467" s="172" t="s">
        <v>221</v>
      </c>
      <c r="E467" s="172">
        <v>3.0987002257307499E-3</v>
      </c>
      <c r="F467" s="172">
        <v>3.07880218964127E-3</v>
      </c>
      <c r="G467" s="172">
        <v>1.00646291475186</v>
      </c>
    </row>
    <row r="468" spans="2:7" x14ac:dyDescent="0.3">
      <c r="B468" s="172" t="s">
        <v>189</v>
      </c>
      <c r="C468" s="172" t="s">
        <v>82</v>
      </c>
      <c r="D468" s="172" t="s">
        <v>221</v>
      </c>
      <c r="E468" s="172">
        <v>2.9813715418951E-2</v>
      </c>
      <c r="F468" s="172">
        <v>2.92927299158149E-2</v>
      </c>
      <c r="G468" s="172">
        <v>1.0177854882297901</v>
      </c>
    </row>
    <row r="469" spans="2:7" hidden="1" x14ac:dyDescent="0.3">
      <c r="B469" s="172" t="s">
        <v>187</v>
      </c>
      <c r="C469" s="172" t="s">
        <v>82</v>
      </c>
      <c r="D469" s="172" t="s">
        <v>218</v>
      </c>
      <c r="E469" s="172">
        <v>8.7844335904652907E-3</v>
      </c>
      <c r="F469" s="172">
        <v>5.2647025595594903E-3</v>
      </c>
      <c r="G469" s="172">
        <v>1.6685526848073799</v>
      </c>
    </row>
    <row r="470" spans="2:7" x14ac:dyDescent="0.3">
      <c r="B470" s="172" t="s">
        <v>187</v>
      </c>
      <c r="C470" s="172" t="s">
        <v>82</v>
      </c>
      <c r="D470" s="172" t="s">
        <v>221</v>
      </c>
      <c r="E470" s="172">
        <v>3.3683229105345401E-2</v>
      </c>
      <c r="F470" s="172">
        <v>3.0504117206462698E-2</v>
      </c>
      <c r="G470" s="172">
        <v>1.1042191084359301</v>
      </c>
    </row>
    <row r="471" spans="2:7" hidden="1" x14ac:dyDescent="0.3">
      <c r="B471" s="172" t="s">
        <v>185</v>
      </c>
      <c r="C471" s="172" t="s">
        <v>82</v>
      </c>
      <c r="D471" s="172" t="s">
        <v>218</v>
      </c>
      <c r="E471" s="172">
        <v>8.6607908716835793E-3</v>
      </c>
      <c r="F471" s="172">
        <v>5.0498579375926897E-3</v>
      </c>
      <c r="G471" s="172">
        <v>1.71505633994374</v>
      </c>
    </row>
    <row r="472" spans="2:7" x14ac:dyDescent="0.3">
      <c r="B472" s="172" t="s">
        <v>185</v>
      </c>
      <c r="C472" s="172" t="s">
        <v>82</v>
      </c>
      <c r="D472" s="172" t="s">
        <v>221</v>
      </c>
      <c r="E472" s="172">
        <v>3.2524997561378902E-2</v>
      </c>
      <c r="F472" s="172">
        <v>2.92635097499419E-2</v>
      </c>
      <c r="G472" s="172">
        <v>1.1114523800906499</v>
      </c>
    </row>
    <row r="473" spans="2:7" hidden="1" x14ac:dyDescent="0.3">
      <c r="B473" s="172" t="s">
        <v>183</v>
      </c>
      <c r="C473" s="172" t="s">
        <v>82</v>
      </c>
      <c r="D473" s="172" t="s">
        <v>218</v>
      </c>
      <c r="E473" s="172">
        <v>8.2865450506344595E-3</v>
      </c>
      <c r="F473" s="172">
        <v>4.7170761484313798E-3</v>
      </c>
      <c r="G473" s="172">
        <v>1.7567121644602</v>
      </c>
    </row>
    <row r="474" spans="2:7" x14ac:dyDescent="0.3">
      <c r="B474" s="172" t="s">
        <v>183</v>
      </c>
      <c r="C474" s="172" t="s">
        <v>82</v>
      </c>
      <c r="D474" s="172" t="s">
        <v>221</v>
      </c>
      <c r="E474" s="172">
        <v>3.0567786039194401E-2</v>
      </c>
      <c r="F474" s="172">
        <v>2.7343749611398099E-2</v>
      </c>
      <c r="G474" s="172">
        <v>1.1179076196065101</v>
      </c>
    </row>
    <row r="475" spans="2:7" hidden="1" x14ac:dyDescent="0.3">
      <c r="B475" s="172" t="s">
        <v>181</v>
      </c>
      <c r="C475" s="172" t="s">
        <v>82</v>
      </c>
      <c r="D475" s="172" t="s">
        <v>218</v>
      </c>
      <c r="E475" s="172">
        <v>7.6532579888408401E-3</v>
      </c>
      <c r="F475" s="172">
        <v>4.2750920194732202E-3</v>
      </c>
      <c r="G475" s="172">
        <v>1.7901972528263601</v>
      </c>
    </row>
    <row r="476" spans="2:7" x14ac:dyDescent="0.3">
      <c r="B476" s="172" t="s">
        <v>181</v>
      </c>
      <c r="C476" s="172" t="s">
        <v>82</v>
      </c>
      <c r="D476" s="172" t="s">
        <v>221</v>
      </c>
      <c r="E476" s="172">
        <v>2.7849926969251999E-2</v>
      </c>
      <c r="F476" s="172">
        <v>2.4798680287242501E-2</v>
      </c>
      <c r="G476" s="172">
        <v>1.1230406879183501</v>
      </c>
    </row>
    <row r="477" spans="2:7" hidden="1" x14ac:dyDescent="0.3">
      <c r="B477" s="172" t="s">
        <v>179</v>
      </c>
      <c r="C477" s="172" t="s">
        <v>82</v>
      </c>
      <c r="D477" s="172" t="s">
        <v>218</v>
      </c>
      <c r="E477" s="172">
        <v>6.7996548727585803E-3</v>
      </c>
      <c r="F477" s="172">
        <v>3.7440350684682299E-3</v>
      </c>
      <c r="G477" s="172">
        <v>1.81613012389344</v>
      </c>
    </row>
    <row r="478" spans="2:7" x14ac:dyDescent="0.3">
      <c r="B478" s="172" t="s">
        <v>179</v>
      </c>
      <c r="C478" s="172" t="s">
        <v>82</v>
      </c>
      <c r="D478" s="172" t="s">
        <v>221</v>
      </c>
      <c r="E478" s="172">
        <v>2.4490731773978001E-2</v>
      </c>
      <c r="F478" s="172">
        <v>2.1730817112038399E-2</v>
      </c>
      <c r="G478" s="172">
        <v>1.12700464265611</v>
      </c>
    </row>
    <row r="479" spans="2:7" hidden="1" x14ac:dyDescent="0.3">
      <c r="B479" s="172" t="s">
        <v>39</v>
      </c>
      <c r="C479" s="172" t="s">
        <v>82</v>
      </c>
      <c r="D479" s="172" t="s">
        <v>218</v>
      </c>
      <c r="E479" s="172">
        <v>5.77483016099661E-3</v>
      </c>
      <c r="F479" s="172">
        <v>3.1461137243225098E-3</v>
      </c>
      <c r="G479" s="172">
        <v>1.83554399713894</v>
      </c>
    </row>
    <row r="480" spans="2:7" x14ac:dyDescent="0.3">
      <c r="B480" s="172" t="s">
        <v>39</v>
      </c>
      <c r="C480" s="172" t="s">
        <v>82</v>
      </c>
      <c r="D480" s="172" t="s">
        <v>221</v>
      </c>
      <c r="E480" s="172">
        <v>2.0634409286637099E-2</v>
      </c>
      <c r="F480" s="172">
        <v>1.8260084763189601E-2</v>
      </c>
      <c r="G480" s="172">
        <v>1.13002812167849</v>
      </c>
    </row>
    <row r="481" spans="2:7" hidden="1" x14ac:dyDescent="0.3">
      <c r="B481" s="172" t="s">
        <v>26</v>
      </c>
      <c r="C481" s="172" t="s">
        <v>82</v>
      </c>
      <c r="D481" s="172" t="s">
        <v>218</v>
      </c>
      <c r="E481" s="172">
        <v>4.6885580863216701E-3</v>
      </c>
      <c r="F481" s="172">
        <v>2.5217618351140699E-3</v>
      </c>
      <c r="G481" s="172">
        <v>1.8592390530446701</v>
      </c>
    </row>
    <row r="482" spans="2:7" x14ac:dyDescent="0.3">
      <c r="B482" s="172" t="s">
        <v>26</v>
      </c>
      <c r="C482" s="172" t="s">
        <v>82</v>
      </c>
      <c r="D482" s="172" t="s">
        <v>221</v>
      </c>
      <c r="E482" s="172">
        <v>1.65563574663944E-2</v>
      </c>
      <c r="F482" s="172">
        <v>1.4599251174981001E-2</v>
      </c>
      <c r="G482" s="172">
        <v>1.1340552517356</v>
      </c>
    </row>
    <row r="483" spans="2:7" hidden="1" x14ac:dyDescent="0.3">
      <c r="B483" s="172" t="s">
        <v>25</v>
      </c>
      <c r="C483" s="172" t="s">
        <v>82</v>
      </c>
      <c r="D483" s="172" t="s">
        <v>218</v>
      </c>
      <c r="E483" s="172">
        <v>3.5618716830372798E-3</v>
      </c>
      <c r="F483" s="172">
        <v>1.8865017304979699E-3</v>
      </c>
      <c r="G483" s="172">
        <v>1.8880829131797701</v>
      </c>
    </row>
    <row r="484" spans="2:7" x14ac:dyDescent="0.3">
      <c r="B484" s="172" t="s">
        <v>25</v>
      </c>
      <c r="C484" s="172" t="s">
        <v>82</v>
      </c>
      <c r="D484" s="172" t="s">
        <v>221</v>
      </c>
      <c r="E484" s="172">
        <v>1.2344402925324899E-2</v>
      </c>
      <c r="F484" s="172">
        <v>1.0831165548837699E-2</v>
      </c>
      <c r="G484" s="172">
        <v>1.1397114068346501</v>
      </c>
    </row>
    <row r="485" spans="2:7" hidden="1" x14ac:dyDescent="0.3">
      <c r="B485" s="172" t="s">
        <v>24</v>
      </c>
      <c r="C485" s="172" t="s">
        <v>82</v>
      </c>
      <c r="D485" s="172" t="s">
        <v>218</v>
      </c>
      <c r="E485" s="172">
        <v>2.33533190726316E-3</v>
      </c>
      <c r="F485" s="172">
        <v>1.22538299055035E-3</v>
      </c>
      <c r="G485" s="172">
        <v>1.9057975549459001</v>
      </c>
    </row>
    <row r="486" spans="2:7" x14ac:dyDescent="0.3">
      <c r="B486" s="172" t="s">
        <v>24</v>
      </c>
      <c r="C486" s="172" t="s">
        <v>82</v>
      </c>
      <c r="D486" s="172" t="s">
        <v>221</v>
      </c>
      <c r="E486" s="172">
        <v>7.9284781577044893E-3</v>
      </c>
      <c r="F486" s="172">
        <v>6.92594365228647E-3</v>
      </c>
      <c r="G486" s="172">
        <v>1.1447506008927799</v>
      </c>
    </row>
    <row r="487" spans="2:7" hidden="1" x14ac:dyDescent="0.3">
      <c r="B487" s="172" t="s">
        <v>22</v>
      </c>
      <c r="C487" s="172" t="s">
        <v>82</v>
      </c>
      <c r="D487" s="172" t="s">
        <v>218</v>
      </c>
      <c r="E487" s="172">
        <v>1.05899171853155E-3</v>
      </c>
      <c r="F487" s="172">
        <v>5.6066272793209402E-4</v>
      </c>
      <c r="G487" s="172">
        <v>1.8888213283544899</v>
      </c>
    </row>
    <row r="488" spans="2:7" x14ac:dyDescent="0.3">
      <c r="B488" s="172" t="s">
        <v>22</v>
      </c>
      <c r="C488" s="172" t="s">
        <v>82</v>
      </c>
      <c r="D488" s="172" t="s">
        <v>221</v>
      </c>
      <c r="E488" s="172">
        <v>3.5106577922674E-3</v>
      </c>
      <c r="F488" s="172">
        <v>3.0605541878549899E-3</v>
      </c>
      <c r="G488" s="172">
        <v>1.14706604646914</v>
      </c>
    </row>
    <row r="489" spans="2:7" hidden="1" x14ac:dyDescent="0.3">
      <c r="B489" s="172" t="s">
        <v>189</v>
      </c>
      <c r="C489" s="172" t="s">
        <v>246</v>
      </c>
      <c r="D489" s="172" t="s">
        <v>218</v>
      </c>
      <c r="E489" s="172">
        <v>8.7392938193075304E-4</v>
      </c>
      <c r="F489" s="172">
        <v>8.1039973545349504E-4</v>
      </c>
      <c r="G489" s="172">
        <v>1.07839297534038</v>
      </c>
    </row>
    <row r="490" spans="2:7" hidden="1" x14ac:dyDescent="0.3">
      <c r="B490" s="172" t="s">
        <v>189</v>
      </c>
      <c r="C490" s="172" t="s">
        <v>246</v>
      </c>
      <c r="D490" s="172" t="s">
        <v>221</v>
      </c>
      <c r="E490" s="172">
        <v>2.2302496363158999E-4</v>
      </c>
      <c r="F490" s="172">
        <v>1.43612905535018E-4</v>
      </c>
      <c r="G490" s="172">
        <v>1.55295906590518</v>
      </c>
    </row>
    <row r="491" spans="2:7" hidden="1" x14ac:dyDescent="0.3">
      <c r="B491" s="172" t="s">
        <v>187</v>
      </c>
      <c r="C491" s="172" t="s">
        <v>246</v>
      </c>
      <c r="D491" s="172" t="s">
        <v>218</v>
      </c>
      <c r="E491" s="172">
        <v>9.0303575734491503E-4</v>
      </c>
      <c r="F491" s="172">
        <v>4.9973542156698104E-4</v>
      </c>
      <c r="G491" s="172">
        <v>1.8070277158127701</v>
      </c>
    </row>
    <row r="492" spans="2:7" hidden="1" x14ac:dyDescent="0.3">
      <c r="B492" s="172" t="s">
        <v>187</v>
      </c>
      <c r="C492" s="172" t="s">
        <v>246</v>
      </c>
      <c r="D492" s="172" t="s">
        <v>221</v>
      </c>
      <c r="E492" s="172">
        <v>6.3049549071613495E-4</v>
      </c>
      <c r="F492" s="172">
        <v>2.66224219690904E-4</v>
      </c>
      <c r="G492" s="172">
        <v>2.3682874963373499</v>
      </c>
    </row>
    <row r="493" spans="2:7" hidden="1" x14ac:dyDescent="0.3">
      <c r="B493" s="172" t="s">
        <v>185</v>
      </c>
      <c r="C493" s="172" t="s">
        <v>246</v>
      </c>
      <c r="D493" s="172" t="s">
        <v>218</v>
      </c>
      <c r="E493" s="172">
        <v>8.1649787659746997E-4</v>
      </c>
      <c r="F493" s="172">
        <v>4.5324950019678598E-4</v>
      </c>
      <c r="G493" s="172">
        <v>1.8014313887670601</v>
      </c>
    </row>
    <row r="494" spans="2:7" hidden="1" x14ac:dyDescent="0.3">
      <c r="B494" s="172" t="s">
        <v>185</v>
      </c>
      <c r="C494" s="172" t="s">
        <v>246</v>
      </c>
      <c r="D494" s="172" t="s">
        <v>221</v>
      </c>
      <c r="E494" s="172">
        <v>5.5716033641311797E-4</v>
      </c>
      <c r="F494" s="172">
        <v>2.2906502869637099E-4</v>
      </c>
      <c r="G494" s="172">
        <v>2.4323238670868501</v>
      </c>
    </row>
    <row r="495" spans="2:7" hidden="1" x14ac:dyDescent="0.3">
      <c r="B495" s="172" t="s">
        <v>183</v>
      </c>
      <c r="C495" s="172" t="s">
        <v>246</v>
      </c>
      <c r="D495" s="172" t="s">
        <v>218</v>
      </c>
      <c r="E495" s="172">
        <v>7.3108143061495403E-4</v>
      </c>
      <c r="F495" s="172">
        <v>4.0871850145921099E-4</v>
      </c>
      <c r="G495" s="172">
        <v>1.7887162631611699</v>
      </c>
    </row>
    <row r="496" spans="2:7" hidden="1" x14ac:dyDescent="0.3">
      <c r="B496" s="172" t="s">
        <v>183</v>
      </c>
      <c r="C496" s="172" t="s">
        <v>246</v>
      </c>
      <c r="D496" s="172" t="s">
        <v>221</v>
      </c>
      <c r="E496" s="172">
        <v>4.8711578660956399E-4</v>
      </c>
      <c r="F496" s="172">
        <v>1.95949269952764E-4</v>
      </c>
      <c r="G496" s="172">
        <v>2.4859280502907102</v>
      </c>
    </row>
    <row r="497" spans="2:7" hidden="1" x14ac:dyDescent="0.3">
      <c r="B497" s="172" t="s">
        <v>181</v>
      </c>
      <c r="C497" s="172" t="s">
        <v>246</v>
      </c>
      <c r="D497" s="172" t="s">
        <v>218</v>
      </c>
      <c r="E497" s="172">
        <v>6.4711193570169095E-4</v>
      </c>
      <c r="F497" s="172">
        <v>3.6492734926230302E-4</v>
      </c>
      <c r="G497" s="172">
        <v>1.7732623685504001</v>
      </c>
    </row>
    <row r="498" spans="2:7" hidden="1" x14ac:dyDescent="0.3">
      <c r="B498" s="172" t="s">
        <v>181</v>
      </c>
      <c r="C498" s="172" t="s">
        <v>246</v>
      </c>
      <c r="D498" s="172" t="s">
        <v>221</v>
      </c>
      <c r="E498" s="172">
        <v>4.1965525378846399E-4</v>
      </c>
      <c r="F498" s="172">
        <v>1.64778853133533E-4</v>
      </c>
      <c r="G498" s="172">
        <v>2.5467785811592298</v>
      </c>
    </row>
    <row r="499" spans="2:7" hidden="1" x14ac:dyDescent="0.3">
      <c r="B499" s="172" t="s">
        <v>179</v>
      </c>
      <c r="C499" s="172" t="s">
        <v>246</v>
      </c>
      <c r="D499" s="172" t="s">
        <v>218</v>
      </c>
      <c r="E499" s="172">
        <v>5.6536416058355497E-4</v>
      </c>
      <c r="F499" s="172">
        <v>3.22196384511042E-4</v>
      </c>
      <c r="G499" s="172">
        <v>1.7547191333060399</v>
      </c>
    </row>
    <row r="500" spans="2:7" hidden="1" x14ac:dyDescent="0.3">
      <c r="B500" s="172" t="s">
        <v>179</v>
      </c>
      <c r="C500" s="172" t="s">
        <v>246</v>
      </c>
      <c r="D500" s="172" t="s">
        <v>221</v>
      </c>
      <c r="E500" s="172">
        <v>3.5532742935842599E-4</v>
      </c>
      <c r="F500" s="172">
        <v>1.3569201871228501E-4</v>
      </c>
      <c r="G500" s="172">
        <v>2.6186317569041901</v>
      </c>
    </row>
    <row r="501" spans="2:7" hidden="1" x14ac:dyDescent="0.3">
      <c r="B501" s="172" t="s">
        <v>39</v>
      </c>
      <c r="C501" s="172" t="s">
        <v>246</v>
      </c>
      <c r="D501" s="172" t="s">
        <v>218</v>
      </c>
      <c r="E501" s="172">
        <v>4.8544118728852998E-4</v>
      </c>
      <c r="F501" s="172">
        <v>2.7974636031805701E-4</v>
      </c>
      <c r="G501" s="172">
        <v>1.7352904493077499</v>
      </c>
    </row>
    <row r="502" spans="2:7" hidden="1" x14ac:dyDescent="0.3">
      <c r="B502" s="172" t="s">
        <v>39</v>
      </c>
      <c r="C502" s="172" t="s">
        <v>246</v>
      </c>
      <c r="D502" s="172" t="s">
        <v>221</v>
      </c>
      <c r="E502" s="172">
        <v>2.9404246662314898E-4</v>
      </c>
      <c r="F502" s="172">
        <v>1.08253590649818E-4</v>
      </c>
      <c r="G502" s="172">
        <v>2.7162375387096902</v>
      </c>
    </row>
    <row r="503" spans="2:7" hidden="1" x14ac:dyDescent="0.3">
      <c r="B503" s="172" t="s">
        <v>26</v>
      </c>
      <c r="C503" s="172" t="s">
        <v>246</v>
      </c>
      <c r="D503" s="172" t="s">
        <v>218</v>
      </c>
      <c r="E503" s="172">
        <v>3.9941663394341598E-4</v>
      </c>
      <c r="F503" s="172">
        <v>2.30821838571612E-4</v>
      </c>
      <c r="G503" s="172">
        <v>1.73041093691617</v>
      </c>
    </row>
    <row r="504" spans="2:7" hidden="1" x14ac:dyDescent="0.3">
      <c r="B504" s="172" t="s">
        <v>26</v>
      </c>
      <c r="C504" s="172" t="s">
        <v>246</v>
      </c>
      <c r="D504" s="172" t="s">
        <v>221</v>
      </c>
      <c r="E504" s="172">
        <v>2.3203455499553799E-4</v>
      </c>
      <c r="F504" s="172">
        <v>7.9755384982296704E-5</v>
      </c>
      <c r="G504" s="172">
        <v>2.9093277531923798</v>
      </c>
    </row>
    <row r="505" spans="2:7" hidden="1" x14ac:dyDescent="0.3">
      <c r="B505" s="172" t="s">
        <v>25</v>
      </c>
      <c r="C505" s="172" t="s">
        <v>246</v>
      </c>
      <c r="D505" s="172" t="s">
        <v>218</v>
      </c>
      <c r="E505" s="172">
        <v>3.0474176831866501E-4</v>
      </c>
      <c r="F505" s="172">
        <v>1.7623645289032799E-4</v>
      </c>
      <c r="G505" s="172">
        <v>1.7291642184168701</v>
      </c>
    </row>
    <row r="506" spans="2:7" hidden="1" x14ac:dyDescent="0.3">
      <c r="B506" s="172" t="s">
        <v>25</v>
      </c>
      <c r="C506" s="172" t="s">
        <v>246</v>
      </c>
      <c r="D506" s="172" t="s">
        <v>221</v>
      </c>
      <c r="E506" s="172">
        <v>1.70072037425399E-4</v>
      </c>
      <c r="F506" s="172">
        <v>5.4002720264320201E-5</v>
      </c>
      <c r="G506" s="172">
        <v>3.1493235265366102</v>
      </c>
    </row>
    <row r="507" spans="2:7" hidden="1" x14ac:dyDescent="0.3">
      <c r="B507" s="172" t="s">
        <v>24</v>
      </c>
      <c r="C507" s="172" t="s">
        <v>246</v>
      </c>
      <c r="D507" s="172" t="s">
        <v>218</v>
      </c>
      <c r="E507" s="172">
        <v>2.1236563634679899E-4</v>
      </c>
      <c r="F507" s="172">
        <v>1.2279927056673001E-4</v>
      </c>
      <c r="G507" s="172">
        <v>1.72937213198997</v>
      </c>
    </row>
    <row r="508" spans="2:7" hidden="1" x14ac:dyDescent="0.3">
      <c r="B508" s="172" t="s">
        <v>24</v>
      </c>
      <c r="C508" s="172" t="s">
        <v>246</v>
      </c>
      <c r="D508" s="172" t="s">
        <v>221</v>
      </c>
      <c r="E508" s="172">
        <v>1.13936471228438E-4</v>
      </c>
      <c r="F508" s="172">
        <v>3.3037818265795598E-5</v>
      </c>
      <c r="G508" s="172">
        <v>3.44866813879166</v>
      </c>
    </row>
    <row r="509" spans="2:7" hidden="1" x14ac:dyDescent="0.3">
      <c r="B509" s="172" t="s">
        <v>22</v>
      </c>
      <c r="C509" s="172" t="s">
        <v>246</v>
      </c>
      <c r="D509" s="172" t="s">
        <v>218</v>
      </c>
      <c r="E509" s="172">
        <v>1.16512762400003E-4</v>
      </c>
      <c r="F509" s="172">
        <v>6.6559947176774903E-5</v>
      </c>
      <c r="G509" s="172">
        <v>1.75049361278127</v>
      </c>
    </row>
    <row r="510" spans="2:7" hidden="1" x14ac:dyDescent="0.3">
      <c r="B510" s="172" t="s">
        <v>22</v>
      </c>
      <c r="C510" s="172" t="s">
        <v>246</v>
      </c>
      <c r="D510" s="172" t="s">
        <v>221</v>
      </c>
      <c r="E510" s="172">
        <v>6.0519322449778698E-5</v>
      </c>
      <c r="F510" s="172">
        <v>1.5400650635250099E-5</v>
      </c>
      <c r="G510" s="172">
        <v>3.92966010872669</v>
      </c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95" workbookViewId="0">
      <selection activeCell="E409" sqref="E409:E509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3.8207061180634602E-4</v>
      </c>
      <c r="F6" s="172">
        <v>85</v>
      </c>
      <c r="G6" s="172">
        <v>28</v>
      </c>
      <c r="H6" s="172">
        <v>4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221</v>
      </c>
      <c r="E7" s="172">
        <v>1.16945149975126E-4</v>
      </c>
      <c r="F7" s="172">
        <v>20</v>
      </c>
      <c r="G7" s="172">
        <v>23</v>
      </c>
      <c r="H7" s="172">
        <v>0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218</v>
      </c>
      <c r="E8" s="172">
        <v>4.3829969857038498E-4</v>
      </c>
      <c r="F8" s="172">
        <v>20</v>
      </c>
      <c r="G8" s="172">
        <v>23</v>
      </c>
      <c r="H8" s="172">
        <v>0</v>
      </c>
      <c r="I8" s="172">
        <v>38.5</v>
      </c>
    </row>
    <row r="9" spans="2:9" s="172" customFormat="1" hidden="1" x14ac:dyDescent="0.3">
      <c r="B9" s="172" t="s">
        <v>189</v>
      </c>
      <c r="C9" s="172" t="s">
        <v>80</v>
      </c>
      <c r="D9" s="172" t="s">
        <v>221</v>
      </c>
      <c r="E9" s="172">
        <v>1.8740596107842E-4</v>
      </c>
      <c r="F9" s="172">
        <v>99</v>
      </c>
      <c r="G9" s="172">
        <v>28</v>
      </c>
      <c r="H9" s="172">
        <v>0</v>
      </c>
      <c r="I9" s="172">
        <v>38.5</v>
      </c>
    </row>
    <row r="10" spans="2:9" s="172" customFormat="1" hidden="1" x14ac:dyDescent="0.3">
      <c r="B10" s="172" t="s">
        <v>189</v>
      </c>
      <c r="C10" s="172" t="s">
        <v>81</v>
      </c>
      <c r="D10" s="172" t="s">
        <v>218</v>
      </c>
      <c r="E10" s="172">
        <v>1.60377763615331E-4</v>
      </c>
      <c r="F10" s="172">
        <v>20</v>
      </c>
      <c r="G10" s="172">
        <v>23</v>
      </c>
      <c r="H10" s="172">
        <v>0</v>
      </c>
      <c r="I10" s="172">
        <v>38.5</v>
      </c>
    </row>
    <row r="11" spans="2:9" s="172" customFormat="1" hidden="1" x14ac:dyDescent="0.3">
      <c r="B11" s="172" t="s">
        <v>189</v>
      </c>
      <c r="C11" s="172" t="s">
        <v>81</v>
      </c>
      <c r="D11" s="172" t="s">
        <v>221</v>
      </c>
      <c r="E11" s="172">
        <v>5.5490894406670405E-4</v>
      </c>
      <c r="F11" s="172">
        <v>99</v>
      </c>
      <c r="G11" s="172">
        <v>28</v>
      </c>
      <c r="H11" s="172">
        <v>0</v>
      </c>
      <c r="I11" s="172">
        <v>38.5</v>
      </c>
    </row>
    <row r="12" spans="2:9" s="172" customFormat="1" hidden="1" x14ac:dyDescent="0.3">
      <c r="B12" s="172" t="s">
        <v>189</v>
      </c>
      <c r="C12" s="172" t="s">
        <v>82</v>
      </c>
      <c r="D12" s="172" t="s">
        <v>218</v>
      </c>
      <c r="E12" s="172">
        <v>1.03135048649422E-4</v>
      </c>
      <c r="F12" s="172">
        <v>20</v>
      </c>
      <c r="G12" s="172">
        <v>23</v>
      </c>
      <c r="H12" s="172">
        <v>0</v>
      </c>
      <c r="I12" s="172">
        <v>38.5</v>
      </c>
    </row>
    <row r="13" spans="2:9" s="172" customFormat="1" hidden="1" x14ac:dyDescent="0.3">
      <c r="B13" s="172" t="s">
        <v>189</v>
      </c>
      <c r="C13" s="172" t="s">
        <v>82</v>
      </c>
      <c r="D13" s="172" t="s">
        <v>221</v>
      </c>
      <c r="E13" s="172">
        <v>4.8224636836621598E-4</v>
      </c>
      <c r="F13" s="172">
        <v>99</v>
      </c>
      <c r="G13" s="172">
        <v>28</v>
      </c>
      <c r="H13" s="172">
        <v>0</v>
      </c>
      <c r="I13" s="172">
        <v>38.5</v>
      </c>
    </row>
    <row r="14" spans="2:9" hidden="1" x14ac:dyDescent="0.3">
      <c r="B14" s="172" t="s">
        <v>189</v>
      </c>
      <c r="C14" s="172" t="s">
        <v>246</v>
      </c>
      <c r="D14" s="172" t="s">
        <v>218</v>
      </c>
      <c r="E14" s="172">
        <v>1.7362720787156199E-5</v>
      </c>
      <c r="F14" s="172">
        <v>85</v>
      </c>
      <c r="G14" s="172">
        <v>28</v>
      </c>
      <c r="H14" s="172">
        <v>4</v>
      </c>
      <c r="I14" s="172">
        <v>38.5</v>
      </c>
    </row>
    <row r="15" spans="2:9" hidden="1" x14ac:dyDescent="0.3">
      <c r="B15" s="172" t="s">
        <v>189</v>
      </c>
      <c r="C15" s="172" t="s">
        <v>246</v>
      </c>
      <c r="D15" s="172" t="s">
        <v>221</v>
      </c>
      <c r="E15" s="172">
        <v>4.1659304099087697E-5</v>
      </c>
      <c r="F15" s="172">
        <v>99</v>
      </c>
      <c r="G15" s="172">
        <v>28</v>
      </c>
      <c r="H15" s="172">
        <v>0</v>
      </c>
      <c r="I15" s="172">
        <v>38.5</v>
      </c>
    </row>
    <row r="16" spans="2:9" x14ac:dyDescent="0.3">
      <c r="B16" s="172" t="s">
        <v>187</v>
      </c>
      <c r="C16" s="172" t="s">
        <v>79</v>
      </c>
      <c r="D16" s="172" t="s">
        <v>218</v>
      </c>
      <c r="E16" s="172">
        <v>3.0686366814808698E-4</v>
      </c>
      <c r="F16" s="172">
        <v>92</v>
      </c>
      <c r="G16" s="172">
        <v>-0.25</v>
      </c>
      <c r="H16" s="172">
        <v>-0.25</v>
      </c>
      <c r="I16" s="172">
        <v>35.5</v>
      </c>
    </row>
    <row r="17" spans="2:9" hidden="1" x14ac:dyDescent="0.3">
      <c r="B17" s="172" t="s">
        <v>187</v>
      </c>
      <c r="C17" s="172" t="s">
        <v>79</v>
      </c>
      <c r="D17" s="172" t="s">
        <v>221</v>
      </c>
      <c r="E17" s="172">
        <v>7.2944893434997695E-5</v>
      </c>
      <c r="F17" s="172">
        <v>85</v>
      </c>
      <c r="G17" s="172">
        <v>28</v>
      </c>
      <c r="H17" s="172">
        <v>4</v>
      </c>
      <c r="I17" s="172">
        <v>35.5</v>
      </c>
    </row>
    <row r="18" spans="2:9" hidden="1" x14ac:dyDescent="0.3">
      <c r="B18" s="172" t="s">
        <v>187</v>
      </c>
      <c r="C18" s="172" t="s">
        <v>80</v>
      </c>
      <c r="D18" s="172" t="s">
        <v>218</v>
      </c>
      <c r="E18" s="172">
        <v>3.7688309989271899E-4</v>
      </c>
      <c r="F18" s="172">
        <v>92</v>
      </c>
      <c r="G18" s="172">
        <v>-0.25</v>
      </c>
      <c r="H18" s="172">
        <v>-0.25</v>
      </c>
      <c r="I18" s="172">
        <v>35.5</v>
      </c>
    </row>
    <row r="19" spans="2:9" hidden="1" x14ac:dyDescent="0.3">
      <c r="B19" s="172" t="s">
        <v>187</v>
      </c>
      <c r="C19" s="172" t="s">
        <v>80</v>
      </c>
      <c r="D19" s="172" t="s">
        <v>221</v>
      </c>
      <c r="E19" s="172">
        <v>1.5072011332964701E-4</v>
      </c>
      <c r="F19" s="172">
        <v>99</v>
      </c>
      <c r="G19" s="172">
        <v>28</v>
      </c>
      <c r="H19" s="172">
        <v>0</v>
      </c>
      <c r="I19" s="172">
        <v>35.5</v>
      </c>
    </row>
    <row r="20" spans="2:9" hidden="1" x14ac:dyDescent="0.3">
      <c r="B20" s="172" t="s">
        <v>187</v>
      </c>
      <c r="C20" s="172" t="s">
        <v>81</v>
      </c>
      <c r="D20" s="172" t="s">
        <v>218</v>
      </c>
      <c r="E20" s="172">
        <v>1.4844713035561599E-4</v>
      </c>
      <c r="F20" s="172">
        <v>92</v>
      </c>
      <c r="G20" s="172">
        <v>-0.25</v>
      </c>
      <c r="H20" s="172">
        <v>-0.25</v>
      </c>
      <c r="I20" s="172">
        <v>35.5</v>
      </c>
    </row>
    <row r="21" spans="2:9" hidden="1" x14ac:dyDescent="0.3">
      <c r="B21" s="172" t="s">
        <v>187</v>
      </c>
      <c r="C21" s="172" t="s">
        <v>81</v>
      </c>
      <c r="D21" s="172" t="s">
        <v>221</v>
      </c>
      <c r="E21" s="172">
        <v>4.45259917196274E-4</v>
      </c>
      <c r="F21" s="172">
        <v>99</v>
      </c>
      <c r="G21" s="172">
        <v>28</v>
      </c>
      <c r="H21" s="172">
        <v>0</v>
      </c>
      <c r="I21" s="172">
        <v>35.5</v>
      </c>
    </row>
    <row r="22" spans="2:9" hidden="1" x14ac:dyDescent="0.3">
      <c r="B22" s="172" t="s">
        <v>187</v>
      </c>
      <c r="C22" s="172" t="s">
        <v>82</v>
      </c>
      <c r="D22" s="172" t="s">
        <v>218</v>
      </c>
      <c r="E22" s="172">
        <v>8.7862149597242397E-5</v>
      </c>
      <c r="F22" s="172">
        <v>92</v>
      </c>
      <c r="G22" s="172">
        <v>-0.25</v>
      </c>
      <c r="H22" s="172">
        <v>-0.25</v>
      </c>
      <c r="I22" s="172">
        <v>35.5</v>
      </c>
    </row>
    <row r="23" spans="2:9" hidden="1" x14ac:dyDescent="0.3">
      <c r="B23" s="172" t="s">
        <v>187</v>
      </c>
      <c r="C23" s="172" t="s">
        <v>82</v>
      </c>
      <c r="D23" s="172" t="s">
        <v>221</v>
      </c>
      <c r="E23" s="172">
        <v>3.7799524830716899E-4</v>
      </c>
      <c r="F23" s="172">
        <v>99</v>
      </c>
      <c r="G23" s="172">
        <v>28</v>
      </c>
      <c r="H23" s="172">
        <v>0</v>
      </c>
      <c r="I23" s="172">
        <v>35.5</v>
      </c>
    </row>
    <row r="24" spans="2:9" hidden="1" x14ac:dyDescent="0.3">
      <c r="B24" s="172" t="s">
        <v>187</v>
      </c>
      <c r="C24" s="172" t="s">
        <v>246</v>
      </c>
      <c r="D24" s="172" t="s">
        <v>218</v>
      </c>
      <c r="E24" s="172">
        <v>2.4909680026354199E-5</v>
      </c>
      <c r="F24" s="172">
        <v>92</v>
      </c>
      <c r="G24" s="172">
        <v>-0.25</v>
      </c>
      <c r="H24" s="172">
        <v>-0.25</v>
      </c>
      <c r="I24" s="172">
        <v>35.5</v>
      </c>
    </row>
    <row r="25" spans="2:9" hidden="1" x14ac:dyDescent="0.3">
      <c r="B25" s="172" t="s">
        <v>187</v>
      </c>
      <c r="C25" s="172" t="s">
        <v>246</v>
      </c>
      <c r="D25" s="172" t="s">
        <v>221</v>
      </c>
      <c r="E25" s="172">
        <v>2.11374724708033E-5</v>
      </c>
      <c r="F25" s="172">
        <v>87</v>
      </c>
      <c r="G25" s="172">
        <v>-0.25</v>
      </c>
      <c r="H25" s="172">
        <v>31.25</v>
      </c>
      <c r="I25" s="172">
        <v>35.5</v>
      </c>
    </row>
    <row r="26" spans="2:9" x14ac:dyDescent="0.3">
      <c r="B26" s="172" t="s">
        <v>185</v>
      </c>
      <c r="C26" s="172" t="s">
        <v>79</v>
      </c>
      <c r="D26" s="172" t="s">
        <v>218</v>
      </c>
      <c r="E26" s="172">
        <v>5.0322344079270595E-4</v>
      </c>
      <c r="F26" s="172">
        <v>91</v>
      </c>
      <c r="G26" s="172">
        <v>23.25</v>
      </c>
      <c r="H26" s="172">
        <v>31.25</v>
      </c>
      <c r="I26" s="172">
        <v>32</v>
      </c>
    </row>
    <row r="27" spans="2:9" hidden="1" x14ac:dyDescent="0.3">
      <c r="B27" s="172" t="s">
        <v>185</v>
      </c>
      <c r="C27" s="172" t="s">
        <v>79</v>
      </c>
      <c r="D27" s="172" t="s">
        <v>221</v>
      </c>
      <c r="E27" s="172">
        <v>1.32629207908424E-4</v>
      </c>
      <c r="F27" s="172">
        <v>92</v>
      </c>
      <c r="G27" s="172">
        <v>-0.25</v>
      </c>
      <c r="H27" s="172">
        <v>-0.25</v>
      </c>
      <c r="I27" s="172">
        <v>32</v>
      </c>
    </row>
    <row r="28" spans="2:9" hidden="1" x14ac:dyDescent="0.3">
      <c r="B28" s="172" t="s">
        <v>185</v>
      </c>
      <c r="C28" s="172" t="s">
        <v>80</v>
      </c>
      <c r="D28" s="172" t="s">
        <v>218</v>
      </c>
      <c r="E28" s="172">
        <v>5.36912879573582E-4</v>
      </c>
      <c r="F28" s="172">
        <v>92</v>
      </c>
      <c r="G28" s="172">
        <v>-0.25</v>
      </c>
      <c r="H28" s="172">
        <v>-0.25</v>
      </c>
      <c r="I28" s="172">
        <v>32</v>
      </c>
    </row>
    <row r="29" spans="2:9" hidden="1" x14ac:dyDescent="0.3">
      <c r="B29" s="172" t="s">
        <v>185</v>
      </c>
      <c r="C29" s="172" t="s">
        <v>80</v>
      </c>
      <c r="D29" s="172" t="s">
        <v>221</v>
      </c>
      <c r="E29" s="172">
        <v>1.8240422401361001E-4</v>
      </c>
      <c r="F29" s="172">
        <v>99</v>
      </c>
      <c r="G29" s="172">
        <v>28</v>
      </c>
      <c r="H29" s="172">
        <v>0</v>
      </c>
      <c r="I29" s="172">
        <v>32</v>
      </c>
    </row>
    <row r="30" spans="2:9" hidden="1" x14ac:dyDescent="0.3">
      <c r="B30" s="172" t="s">
        <v>185</v>
      </c>
      <c r="C30" s="172" t="s">
        <v>81</v>
      </c>
      <c r="D30" s="172" t="s">
        <v>218</v>
      </c>
      <c r="E30" s="172">
        <v>1.71571538810288E-4</v>
      </c>
      <c r="F30" s="172">
        <v>92</v>
      </c>
      <c r="G30" s="172">
        <v>-0.25</v>
      </c>
      <c r="H30" s="172">
        <v>-0.25</v>
      </c>
      <c r="I30" s="172">
        <v>32</v>
      </c>
    </row>
    <row r="31" spans="2:9" hidden="1" x14ac:dyDescent="0.3">
      <c r="B31" s="172" t="s">
        <v>185</v>
      </c>
      <c r="C31" s="172" t="s">
        <v>81</v>
      </c>
      <c r="D31" s="172" t="s">
        <v>221</v>
      </c>
      <c r="E31" s="172">
        <v>6.3403444750721098E-4</v>
      </c>
      <c r="F31" s="172">
        <v>99</v>
      </c>
      <c r="G31" s="172">
        <v>28</v>
      </c>
      <c r="H31" s="172">
        <v>0</v>
      </c>
      <c r="I31" s="172">
        <v>32</v>
      </c>
    </row>
    <row r="32" spans="2:9" hidden="1" x14ac:dyDescent="0.3">
      <c r="B32" s="172" t="s">
        <v>185</v>
      </c>
      <c r="C32" s="172" t="s">
        <v>82</v>
      </c>
      <c r="D32" s="172" t="s">
        <v>218</v>
      </c>
      <c r="E32" s="172">
        <v>1.07118455930569E-4</v>
      </c>
      <c r="F32" s="172">
        <v>91</v>
      </c>
      <c r="G32" s="172">
        <v>23.25</v>
      </c>
      <c r="H32" s="172">
        <v>31.25</v>
      </c>
      <c r="I32" s="172">
        <v>32</v>
      </c>
    </row>
    <row r="33" spans="2:9" hidden="1" x14ac:dyDescent="0.3">
      <c r="B33" s="172" t="s">
        <v>185</v>
      </c>
      <c r="C33" s="172" t="s">
        <v>82</v>
      </c>
      <c r="D33" s="172" t="s">
        <v>221</v>
      </c>
      <c r="E33" s="172">
        <v>5.5939437054066201E-4</v>
      </c>
      <c r="F33" s="172">
        <v>92</v>
      </c>
      <c r="G33" s="172">
        <v>-0.25</v>
      </c>
      <c r="H33" s="172">
        <v>-0.25</v>
      </c>
      <c r="I33" s="172">
        <v>32</v>
      </c>
    </row>
    <row r="34" spans="2:9" hidden="1" x14ac:dyDescent="0.3">
      <c r="B34" s="172" t="s">
        <v>185</v>
      </c>
      <c r="C34" s="172" t="s">
        <v>246</v>
      </c>
      <c r="D34" s="172" t="s">
        <v>218</v>
      </c>
      <c r="E34" s="172">
        <v>2.4593111051432999E-5</v>
      </c>
      <c r="F34" s="172">
        <v>92</v>
      </c>
      <c r="G34" s="172">
        <v>-0.25</v>
      </c>
      <c r="H34" s="172">
        <v>-0.25</v>
      </c>
      <c r="I34" s="172">
        <v>32</v>
      </c>
    </row>
    <row r="35" spans="2:9" hidden="1" x14ac:dyDescent="0.3">
      <c r="B35" s="172" t="s">
        <v>185</v>
      </c>
      <c r="C35" s="172" t="s">
        <v>246</v>
      </c>
      <c r="D35" s="172" t="s">
        <v>221</v>
      </c>
      <c r="E35" s="172">
        <v>2.0201140714586601E-5</v>
      </c>
      <c r="F35" s="172">
        <v>92</v>
      </c>
      <c r="G35" s="172">
        <v>-0.25</v>
      </c>
      <c r="H35" s="172">
        <v>-0.25</v>
      </c>
      <c r="I35" s="172">
        <v>32</v>
      </c>
    </row>
    <row r="36" spans="2:9" x14ac:dyDescent="0.3">
      <c r="B36" s="172" t="s">
        <v>183</v>
      </c>
      <c r="C36" s="172" t="s">
        <v>79</v>
      </c>
      <c r="D36" s="172" t="s">
        <v>218</v>
      </c>
      <c r="E36" s="172">
        <v>6.9967319998935303E-4</v>
      </c>
      <c r="F36" s="172">
        <v>91</v>
      </c>
      <c r="G36" s="172">
        <v>23.25</v>
      </c>
      <c r="H36" s="172">
        <v>31.25</v>
      </c>
      <c r="I36" s="172">
        <v>28.5</v>
      </c>
    </row>
    <row r="37" spans="2:9" hidden="1" x14ac:dyDescent="0.3">
      <c r="B37" s="172" t="s">
        <v>183</v>
      </c>
      <c r="C37" s="172" t="s">
        <v>79</v>
      </c>
      <c r="D37" s="172" t="s">
        <v>221</v>
      </c>
      <c r="E37" s="172">
        <v>2.0068351811227799E-4</v>
      </c>
      <c r="F37" s="172">
        <v>92</v>
      </c>
      <c r="G37" s="172">
        <v>-0.25</v>
      </c>
      <c r="H37" s="172">
        <v>-0.25</v>
      </c>
      <c r="I37" s="172">
        <v>28.5</v>
      </c>
    </row>
    <row r="38" spans="2:9" hidden="1" x14ac:dyDescent="0.3">
      <c r="B38" s="172" t="s">
        <v>183</v>
      </c>
      <c r="C38" s="172" t="s">
        <v>80</v>
      </c>
      <c r="D38" s="172" t="s">
        <v>218</v>
      </c>
      <c r="E38" s="172">
        <v>6.7419689261335905E-4</v>
      </c>
      <c r="F38" s="172">
        <v>92</v>
      </c>
      <c r="G38" s="172">
        <v>-0.25</v>
      </c>
      <c r="H38" s="172">
        <v>-0.25</v>
      </c>
      <c r="I38" s="172">
        <v>28.5</v>
      </c>
    </row>
    <row r="39" spans="2:9" hidden="1" x14ac:dyDescent="0.3">
      <c r="B39" s="172" t="s">
        <v>183</v>
      </c>
      <c r="C39" s="172" t="s">
        <v>80</v>
      </c>
      <c r="D39" s="172" t="s">
        <v>221</v>
      </c>
      <c r="E39" s="172">
        <v>2.0111161220979099E-4</v>
      </c>
      <c r="F39" s="172">
        <v>99</v>
      </c>
      <c r="G39" s="172">
        <v>28</v>
      </c>
      <c r="H39" s="172">
        <v>0</v>
      </c>
      <c r="I39" s="172">
        <v>28.5</v>
      </c>
    </row>
    <row r="40" spans="2:9" hidden="1" x14ac:dyDescent="0.3">
      <c r="B40" s="172" t="s">
        <v>183</v>
      </c>
      <c r="C40" s="172" t="s">
        <v>81</v>
      </c>
      <c r="D40" s="172" t="s">
        <v>218</v>
      </c>
      <c r="E40" s="172">
        <v>1.83005966337695E-4</v>
      </c>
      <c r="F40" s="172">
        <v>92</v>
      </c>
      <c r="G40" s="172">
        <v>-0.25</v>
      </c>
      <c r="H40" s="172">
        <v>-0.25</v>
      </c>
      <c r="I40" s="172">
        <v>28.5</v>
      </c>
    </row>
    <row r="41" spans="2:9" hidden="1" x14ac:dyDescent="0.3">
      <c r="B41" s="172" t="s">
        <v>183</v>
      </c>
      <c r="C41" s="172" t="s">
        <v>81</v>
      </c>
      <c r="D41" s="172" t="s">
        <v>221</v>
      </c>
      <c r="E41" s="172">
        <v>7.9843414319214899E-4</v>
      </c>
      <c r="F41" s="172">
        <v>99</v>
      </c>
      <c r="G41" s="172">
        <v>28</v>
      </c>
      <c r="H41" s="172">
        <v>0</v>
      </c>
      <c r="I41" s="172">
        <v>28.5</v>
      </c>
    </row>
    <row r="42" spans="2:9" hidden="1" x14ac:dyDescent="0.3">
      <c r="B42" s="172" t="s">
        <v>183</v>
      </c>
      <c r="C42" s="172" t="s">
        <v>82</v>
      </c>
      <c r="D42" s="172" t="s">
        <v>218</v>
      </c>
      <c r="E42" s="172">
        <v>1.8182074084811001E-4</v>
      </c>
      <c r="F42" s="172">
        <v>91</v>
      </c>
      <c r="G42" s="172">
        <v>23.25</v>
      </c>
      <c r="H42" s="172">
        <v>31.25</v>
      </c>
      <c r="I42" s="172">
        <v>28.5</v>
      </c>
    </row>
    <row r="43" spans="2:9" hidden="1" x14ac:dyDescent="0.3">
      <c r="B43" s="172" t="s">
        <v>183</v>
      </c>
      <c r="C43" s="172" t="s">
        <v>82</v>
      </c>
      <c r="D43" s="172" t="s">
        <v>221</v>
      </c>
      <c r="E43" s="172">
        <v>7.7741274317633395E-4</v>
      </c>
      <c r="F43" s="172">
        <v>92</v>
      </c>
      <c r="G43" s="172">
        <v>-0.25</v>
      </c>
      <c r="H43" s="172">
        <v>-0.25</v>
      </c>
      <c r="I43" s="172">
        <v>28.5</v>
      </c>
    </row>
    <row r="44" spans="2:9" hidden="1" x14ac:dyDescent="0.3">
      <c r="B44" s="172" t="s">
        <v>183</v>
      </c>
      <c r="C44" s="172" t="s">
        <v>246</v>
      </c>
      <c r="D44" s="172" t="s">
        <v>218</v>
      </c>
      <c r="E44" s="172">
        <v>2.4176437914002901E-5</v>
      </c>
      <c r="F44" s="172">
        <v>92</v>
      </c>
      <c r="G44" s="172">
        <v>-0.25</v>
      </c>
      <c r="H44" s="172">
        <v>-0.25</v>
      </c>
      <c r="I44" s="172">
        <v>28.5</v>
      </c>
    </row>
    <row r="45" spans="2:9" hidden="1" x14ac:dyDescent="0.3">
      <c r="B45" s="172" t="s">
        <v>183</v>
      </c>
      <c r="C45" s="172" t="s">
        <v>246</v>
      </c>
      <c r="D45" s="172" t="s">
        <v>221</v>
      </c>
      <c r="E45" s="172">
        <v>1.9459591601956501E-5</v>
      </c>
      <c r="F45" s="172">
        <v>92</v>
      </c>
      <c r="G45" s="172">
        <v>-0.25</v>
      </c>
      <c r="H45" s="172">
        <v>-0.25</v>
      </c>
      <c r="I45" s="172">
        <v>28.5</v>
      </c>
    </row>
    <row r="46" spans="2:9" x14ac:dyDescent="0.3">
      <c r="B46" s="172" t="s">
        <v>181</v>
      </c>
      <c r="C46" s="172" t="s">
        <v>79</v>
      </c>
      <c r="D46" s="172" t="s">
        <v>218</v>
      </c>
      <c r="E46" s="172">
        <v>8.6634821439277596E-4</v>
      </c>
      <c r="F46" s="172">
        <v>91</v>
      </c>
      <c r="G46" s="172">
        <v>23.25</v>
      </c>
      <c r="H46" s="172">
        <v>31.25</v>
      </c>
      <c r="I46" s="172">
        <v>25</v>
      </c>
    </row>
    <row r="47" spans="2:9" hidden="1" x14ac:dyDescent="0.3">
      <c r="B47" s="172" t="s">
        <v>181</v>
      </c>
      <c r="C47" s="172" t="s">
        <v>79</v>
      </c>
      <c r="D47" s="172" t="s">
        <v>221</v>
      </c>
      <c r="E47" s="172">
        <v>2.58485591835212E-4</v>
      </c>
      <c r="F47" s="172">
        <v>92</v>
      </c>
      <c r="G47" s="172">
        <v>-0.25</v>
      </c>
      <c r="H47" s="172">
        <v>-0.25</v>
      </c>
      <c r="I47" s="172">
        <v>25</v>
      </c>
    </row>
    <row r="48" spans="2:9" hidden="1" x14ac:dyDescent="0.3">
      <c r="B48" s="172" t="s">
        <v>181</v>
      </c>
      <c r="C48" s="172" t="s">
        <v>80</v>
      </c>
      <c r="D48" s="172" t="s">
        <v>218</v>
      </c>
      <c r="E48" s="172">
        <v>7.8748650952288797E-4</v>
      </c>
      <c r="F48" s="172">
        <v>92</v>
      </c>
      <c r="G48" s="172">
        <v>-0.25</v>
      </c>
      <c r="H48" s="172">
        <v>-0.25</v>
      </c>
      <c r="I48" s="172">
        <v>25</v>
      </c>
    </row>
    <row r="49" spans="2:9" hidden="1" x14ac:dyDescent="0.3">
      <c r="B49" s="172" t="s">
        <v>181</v>
      </c>
      <c r="C49" s="172" t="s">
        <v>80</v>
      </c>
      <c r="D49" s="172" t="s">
        <v>221</v>
      </c>
      <c r="E49" s="172">
        <v>2.1399955072101101E-4</v>
      </c>
      <c r="F49" s="172">
        <v>99</v>
      </c>
      <c r="G49" s="172">
        <v>28</v>
      </c>
      <c r="H49" s="172">
        <v>0</v>
      </c>
      <c r="I49" s="172">
        <v>25</v>
      </c>
    </row>
    <row r="50" spans="2:9" hidden="1" x14ac:dyDescent="0.3">
      <c r="B50" s="172" t="s">
        <v>181</v>
      </c>
      <c r="C50" s="172" t="s">
        <v>81</v>
      </c>
      <c r="D50" s="172" t="s">
        <v>218</v>
      </c>
      <c r="E50" s="172">
        <v>1.8979147224850099E-4</v>
      </c>
      <c r="F50" s="172">
        <v>92</v>
      </c>
      <c r="G50" s="172">
        <v>-0.25</v>
      </c>
      <c r="H50" s="172">
        <v>-0.25</v>
      </c>
      <c r="I50" s="172">
        <v>25</v>
      </c>
    </row>
    <row r="51" spans="2:9" hidden="1" x14ac:dyDescent="0.3">
      <c r="B51" s="172" t="s">
        <v>181</v>
      </c>
      <c r="C51" s="172" t="s">
        <v>81</v>
      </c>
      <c r="D51" s="172" t="s">
        <v>221</v>
      </c>
      <c r="E51" s="172">
        <v>9.3382831666233897E-4</v>
      </c>
      <c r="F51" s="172">
        <v>99</v>
      </c>
      <c r="G51" s="172">
        <v>28</v>
      </c>
      <c r="H51" s="172">
        <v>0</v>
      </c>
      <c r="I51" s="172">
        <v>25</v>
      </c>
    </row>
    <row r="52" spans="2:9" hidden="1" x14ac:dyDescent="0.3">
      <c r="B52" s="172" t="s">
        <v>181</v>
      </c>
      <c r="C52" s="172" t="s">
        <v>82</v>
      </c>
      <c r="D52" s="172" t="s">
        <v>218</v>
      </c>
      <c r="E52" s="172">
        <v>2.4537299245243002E-4</v>
      </c>
      <c r="F52" s="172">
        <v>91</v>
      </c>
      <c r="G52" s="172">
        <v>23.25</v>
      </c>
      <c r="H52" s="172">
        <v>31.25</v>
      </c>
      <c r="I52" s="172">
        <v>25</v>
      </c>
    </row>
    <row r="53" spans="2:9" hidden="1" x14ac:dyDescent="0.3">
      <c r="B53" s="172" t="s">
        <v>181</v>
      </c>
      <c r="C53" s="172" t="s">
        <v>82</v>
      </c>
      <c r="D53" s="172" t="s">
        <v>221</v>
      </c>
      <c r="E53" s="172">
        <v>9.6125644365005795E-4</v>
      </c>
      <c r="F53" s="172">
        <v>92</v>
      </c>
      <c r="G53" s="172">
        <v>-0.25</v>
      </c>
      <c r="H53" s="172">
        <v>-0.25</v>
      </c>
      <c r="I53" s="172">
        <v>25</v>
      </c>
    </row>
    <row r="54" spans="2:9" hidden="1" x14ac:dyDescent="0.3">
      <c r="B54" s="172" t="s">
        <v>181</v>
      </c>
      <c r="C54" s="172" t="s">
        <v>246</v>
      </c>
      <c r="D54" s="172" t="s">
        <v>218</v>
      </c>
      <c r="E54" s="172">
        <v>2.3536308146042699E-5</v>
      </c>
      <c r="F54" s="172">
        <v>92</v>
      </c>
      <c r="G54" s="172">
        <v>-0.25</v>
      </c>
      <c r="H54" s="172">
        <v>-0.25</v>
      </c>
      <c r="I54" s="172">
        <v>25</v>
      </c>
    </row>
    <row r="55" spans="2:9" hidden="1" x14ac:dyDescent="0.3">
      <c r="B55" s="172" t="s">
        <v>181</v>
      </c>
      <c r="C55" s="172" t="s">
        <v>246</v>
      </c>
      <c r="D55" s="172" t="s">
        <v>221</v>
      </c>
      <c r="E55" s="172">
        <v>1.85591793780147E-5</v>
      </c>
      <c r="F55" s="172">
        <v>87</v>
      </c>
      <c r="G55" s="172">
        <v>-0.25</v>
      </c>
      <c r="H55" s="172">
        <v>31.25</v>
      </c>
      <c r="I55" s="172">
        <v>25</v>
      </c>
    </row>
    <row r="56" spans="2:9" x14ac:dyDescent="0.3">
      <c r="B56" s="172" t="s">
        <v>179</v>
      </c>
      <c r="C56" s="172" t="s">
        <v>79</v>
      </c>
      <c r="D56" s="172" t="s">
        <v>218</v>
      </c>
      <c r="E56" s="172">
        <v>9.9678933856109592E-4</v>
      </c>
      <c r="F56" s="172">
        <v>91</v>
      </c>
      <c r="G56" s="172">
        <v>23.25</v>
      </c>
      <c r="H56" s="172">
        <v>31.25</v>
      </c>
      <c r="I56" s="172">
        <v>21.5</v>
      </c>
    </row>
    <row r="57" spans="2:9" hidden="1" x14ac:dyDescent="0.3">
      <c r="B57" s="172" t="s">
        <v>179</v>
      </c>
      <c r="C57" s="172" t="s">
        <v>79</v>
      </c>
      <c r="D57" s="172" t="s">
        <v>221</v>
      </c>
      <c r="E57" s="172">
        <v>3.03471259228235E-4</v>
      </c>
      <c r="F57" s="172">
        <v>87</v>
      </c>
      <c r="G57" s="172">
        <v>-0.25</v>
      </c>
      <c r="H57" s="172">
        <v>31.25</v>
      </c>
      <c r="I57" s="172">
        <v>21.5</v>
      </c>
    </row>
    <row r="58" spans="2:9" hidden="1" x14ac:dyDescent="0.3">
      <c r="B58" s="172" t="s">
        <v>179</v>
      </c>
      <c r="C58" s="172" t="s">
        <v>80</v>
      </c>
      <c r="D58" s="172" t="s">
        <v>218</v>
      </c>
      <c r="E58" s="172">
        <v>8.7360204149341798E-4</v>
      </c>
      <c r="F58" s="172">
        <v>92</v>
      </c>
      <c r="G58" s="172">
        <v>-0.25</v>
      </c>
      <c r="H58" s="172">
        <v>-0.25</v>
      </c>
      <c r="I58" s="172">
        <v>21.5</v>
      </c>
    </row>
    <row r="59" spans="2:9" hidden="1" x14ac:dyDescent="0.3">
      <c r="B59" s="172" t="s">
        <v>179</v>
      </c>
      <c r="C59" s="172" t="s">
        <v>80</v>
      </c>
      <c r="D59" s="172" t="s">
        <v>221</v>
      </c>
      <c r="E59" s="172">
        <v>2.2145206382202299E-4</v>
      </c>
      <c r="F59" s="172">
        <v>99</v>
      </c>
      <c r="G59" s="172">
        <v>28</v>
      </c>
      <c r="H59" s="172">
        <v>0</v>
      </c>
      <c r="I59" s="172">
        <v>21.5</v>
      </c>
    </row>
    <row r="60" spans="2:9" hidden="1" x14ac:dyDescent="0.3">
      <c r="B60" s="172" t="s">
        <v>179</v>
      </c>
      <c r="C60" s="172" t="s">
        <v>81</v>
      </c>
      <c r="D60" s="172" t="s">
        <v>218</v>
      </c>
      <c r="E60" s="172">
        <v>1.9299252793690999E-4</v>
      </c>
      <c r="F60" s="172">
        <v>92</v>
      </c>
      <c r="G60" s="172">
        <v>-0.25</v>
      </c>
      <c r="H60" s="172">
        <v>-0.25</v>
      </c>
      <c r="I60" s="172">
        <v>21.5</v>
      </c>
    </row>
    <row r="61" spans="2:9" hidden="1" x14ac:dyDescent="0.3">
      <c r="B61" s="172" t="s">
        <v>179</v>
      </c>
      <c r="C61" s="172" t="s">
        <v>81</v>
      </c>
      <c r="D61" s="172" t="s">
        <v>221</v>
      </c>
      <c r="E61" s="172">
        <v>1.03673434889868E-3</v>
      </c>
      <c r="F61" s="172">
        <v>99</v>
      </c>
      <c r="G61" s="172">
        <v>28</v>
      </c>
      <c r="H61" s="172">
        <v>0</v>
      </c>
      <c r="I61" s="172">
        <v>21.5</v>
      </c>
    </row>
    <row r="62" spans="2:9" hidden="1" x14ac:dyDescent="0.3">
      <c r="B62" s="172" t="s">
        <v>179</v>
      </c>
      <c r="C62" s="172" t="s">
        <v>82</v>
      </c>
      <c r="D62" s="172" t="s">
        <v>218</v>
      </c>
      <c r="E62" s="172">
        <v>2.9477435712838002E-4</v>
      </c>
      <c r="F62" s="172">
        <v>91</v>
      </c>
      <c r="G62" s="172">
        <v>23.25</v>
      </c>
      <c r="H62" s="172">
        <v>31.25</v>
      </c>
      <c r="I62" s="172">
        <v>21.5</v>
      </c>
    </row>
    <row r="63" spans="2:9" hidden="1" x14ac:dyDescent="0.3">
      <c r="B63" s="172" t="s">
        <v>179</v>
      </c>
      <c r="C63" s="172" t="s">
        <v>82</v>
      </c>
      <c r="D63" s="172" t="s">
        <v>221</v>
      </c>
      <c r="E63" s="172">
        <v>1.1037737215795001E-3</v>
      </c>
      <c r="F63" s="172">
        <v>92</v>
      </c>
      <c r="G63" s="172">
        <v>-0.25</v>
      </c>
      <c r="H63" s="172">
        <v>-0.25</v>
      </c>
      <c r="I63" s="172">
        <v>21.5</v>
      </c>
    </row>
    <row r="64" spans="2:9" hidden="1" x14ac:dyDescent="0.3">
      <c r="B64" s="172" t="s">
        <v>179</v>
      </c>
      <c r="C64" s="172" t="s">
        <v>246</v>
      </c>
      <c r="D64" s="172" t="s">
        <v>218</v>
      </c>
      <c r="E64" s="172">
        <v>2.3007821628542101E-5</v>
      </c>
      <c r="F64" s="172">
        <v>92</v>
      </c>
      <c r="G64" s="172">
        <v>-0.25</v>
      </c>
      <c r="H64" s="172">
        <v>-0.25</v>
      </c>
      <c r="I64" s="172">
        <v>21.5</v>
      </c>
    </row>
    <row r="65" spans="2:9" hidden="1" x14ac:dyDescent="0.3">
      <c r="B65" s="172" t="s">
        <v>179</v>
      </c>
      <c r="C65" s="172" t="s">
        <v>246</v>
      </c>
      <c r="D65" s="172" t="s">
        <v>221</v>
      </c>
      <c r="E65" s="172">
        <v>1.7682675754328401E-5</v>
      </c>
      <c r="F65" s="172">
        <v>92</v>
      </c>
      <c r="G65" s="172">
        <v>-0.25</v>
      </c>
      <c r="H65" s="172">
        <v>-0.25</v>
      </c>
      <c r="I65" s="172">
        <v>21.5</v>
      </c>
    </row>
    <row r="66" spans="2:9" x14ac:dyDescent="0.3">
      <c r="B66" s="172" t="s">
        <v>39</v>
      </c>
      <c r="C66" s="172" t="s">
        <v>79</v>
      </c>
      <c r="D66" s="172" t="s">
        <v>218</v>
      </c>
      <c r="E66" s="172">
        <v>1.0536534968789201E-3</v>
      </c>
      <c r="F66" s="172">
        <v>91</v>
      </c>
      <c r="G66" s="172">
        <v>23.25</v>
      </c>
      <c r="H66" s="172">
        <v>31.25</v>
      </c>
      <c r="I66" s="172">
        <v>18</v>
      </c>
    </row>
    <row r="67" spans="2:9" hidden="1" x14ac:dyDescent="0.3">
      <c r="B67" s="172" t="s">
        <v>39</v>
      </c>
      <c r="C67" s="172" t="s">
        <v>79</v>
      </c>
      <c r="D67" s="172" t="s">
        <v>221</v>
      </c>
      <c r="E67" s="172">
        <v>3.2215897307039598E-4</v>
      </c>
      <c r="F67" s="172">
        <v>92</v>
      </c>
      <c r="G67" s="172">
        <v>-0.25</v>
      </c>
      <c r="H67" s="172">
        <v>-0.25</v>
      </c>
      <c r="I67" s="172">
        <v>18</v>
      </c>
    </row>
    <row r="68" spans="2:9" hidden="1" x14ac:dyDescent="0.3">
      <c r="B68" s="172" t="s">
        <v>39</v>
      </c>
      <c r="C68" s="172" t="s">
        <v>80</v>
      </c>
      <c r="D68" s="172" t="s">
        <v>218</v>
      </c>
      <c r="E68" s="172">
        <v>9.0527014787404397E-4</v>
      </c>
      <c r="F68" s="172">
        <v>92</v>
      </c>
      <c r="G68" s="172">
        <v>-0.25</v>
      </c>
      <c r="H68" s="172">
        <v>-0.25</v>
      </c>
      <c r="I68" s="172">
        <v>18</v>
      </c>
    </row>
    <row r="69" spans="2:9" hidden="1" x14ac:dyDescent="0.3">
      <c r="B69" s="172" t="s">
        <v>39</v>
      </c>
      <c r="C69" s="172" t="s">
        <v>80</v>
      </c>
      <c r="D69" s="172" t="s">
        <v>221</v>
      </c>
      <c r="E69" s="172">
        <v>2.1799423792481101E-4</v>
      </c>
      <c r="F69" s="172">
        <v>99</v>
      </c>
      <c r="G69" s="172">
        <v>28</v>
      </c>
      <c r="H69" s="172">
        <v>0</v>
      </c>
      <c r="I69" s="172">
        <v>18</v>
      </c>
    </row>
    <row r="70" spans="2:9" hidden="1" x14ac:dyDescent="0.3">
      <c r="B70" s="172" t="s">
        <v>39</v>
      </c>
      <c r="C70" s="172" t="s">
        <v>81</v>
      </c>
      <c r="D70" s="172" t="s">
        <v>218</v>
      </c>
      <c r="E70" s="172">
        <v>1.90351740917717E-4</v>
      </c>
      <c r="F70" s="172">
        <v>92</v>
      </c>
      <c r="G70" s="172">
        <v>-0.25</v>
      </c>
      <c r="H70" s="172">
        <v>-0.25</v>
      </c>
      <c r="I70" s="172">
        <v>18</v>
      </c>
    </row>
    <row r="71" spans="2:9" hidden="1" x14ac:dyDescent="0.3">
      <c r="B71" s="172" t="s">
        <v>39</v>
      </c>
      <c r="C71" s="172" t="s">
        <v>81</v>
      </c>
      <c r="D71" s="172" t="s">
        <v>221</v>
      </c>
      <c r="E71" s="172">
        <v>1.0823255338901999E-3</v>
      </c>
      <c r="F71" s="172">
        <v>99</v>
      </c>
      <c r="G71" s="172">
        <v>28</v>
      </c>
      <c r="H71" s="172">
        <v>0</v>
      </c>
      <c r="I71" s="172">
        <v>18</v>
      </c>
    </row>
    <row r="72" spans="2:9" hidden="1" x14ac:dyDescent="0.3">
      <c r="B72" s="172" t="s">
        <v>39</v>
      </c>
      <c r="C72" s="172" t="s">
        <v>82</v>
      </c>
      <c r="D72" s="172" t="s">
        <v>218</v>
      </c>
      <c r="E72" s="172">
        <v>3.1249211435627899E-4</v>
      </c>
      <c r="F72" s="172">
        <v>91</v>
      </c>
      <c r="G72" s="172">
        <v>23.25</v>
      </c>
      <c r="H72" s="172">
        <v>31.25</v>
      </c>
      <c r="I72" s="172">
        <v>18</v>
      </c>
    </row>
    <row r="73" spans="2:9" hidden="1" x14ac:dyDescent="0.3">
      <c r="B73" s="172" t="s">
        <v>39</v>
      </c>
      <c r="C73" s="172" t="s">
        <v>82</v>
      </c>
      <c r="D73" s="172" t="s">
        <v>221</v>
      </c>
      <c r="E73" s="172">
        <v>1.16728632737566E-3</v>
      </c>
      <c r="F73" s="172">
        <v>92</v>
      </c>
      <c r="G73" s="172">
        <v>-0.25</v>
      </c>
      <c r="H73" s="172">
        <v>-0.25</v>
      </c>
      <c r="I73" s="172">
        <v>18</v>
      </c>
    </row>
    <row r="74" spans="2:9" hidden="1" x14ac:dyDescent="0.3">
      <c r="B74" s="172" t="s">
        <v>39</v>
      </c>
      <c r="C74" s="172" t="s">
        <v>246</v>
      </c>
      <c r="D74" s="172" t="s">
        <v>218</v>
      </c>
      <c r="E74" s="172">
        <v>2.4749411700441201E-5</v>
      </c>
      <c r="F74" s="172">
        <v>92</v>
      </c>
      <c r="G74" s="172">
        <v>-0.25</v>
      </c>
      <c r="H74" s="172">
        <v>-0.25</v>
      </c>
      <c r="I74" s="172">
        <v>18</v>
      </c>
    </row>
    <row r="75" spans="2:9" hidden="1" x14ac:dyDescent="0.3">
      <c r="B75" s="172" t="s">
        <v>39</v>
      </c>
      <c r="C75" s="172" t="s">
        <v>246</v>
      </c>
      <c r="D75" s="172" t="s">
        <v>221</v>
      </c>
      <c r="E75" s="172">
        <v>1.78875140668687E-5</v>
      </c>
      <c r="F75" s="172">
        <v>92</v>
      </c>
      <c r="G75" s="172">
        <v>-0.25</v>
      </c>
      <c r="H75" s="172">
        <v>-0.25</v>
      </c>
      <c r="I75" s="172">
        <v>18</v>
      </c>
    </row>
    <row r="76" spans="2:9" x14ac:dyDescent="0.3">
      <c r="B76" s="172" t="s">
        <v>26</v>
      </c>
      <c r="C76" s="172" t="s">
        <v>79</v>
      </c>
      <c r="D76" s="172" t="s">
        <v>218</v>
      </c>
      <c r="E76" s="172">
        <v>1.0855662623775999E-3</v>
      </c>
      <c r="F76" s="172">
        <v>91</v>
      </c>
      <c r="G76" s="172">
        <v>23.25</v>
      </c>
      <c r="H76" s="172">
        <v>31.25</v>
      </c>
      <c r="I76" s="172">
        <v>14.5</v>
      </c>
    </row>
    <row r="77" spans="2:9" hidden="1" x14ac:dyDescent="0.3">
      <c r="B77" s="172" t="s">
        <v>26</v>
      </c>
      <c r="C77" s="172" t="s">
        <v>79</v>
      </c>
      <c r="D77" s="172" t="s">
        <v>221</v>
      </c>
      <c r="E77" s="172">
        <v>3.3350692522702202E-4</v>
      </c>
      <c r="F77" s="172">
        <v>92</v>
      </c>
      <c r="G77" s="172">
        <v>-0.25</v>
      </c>
      <c r="H77" s="172">
        <v>-0.25</v>
      </c>
      <c r="I77" s="172">
        <v>14.5</v>
      </c>
    </row>
    <row r="78" spans="2:9" hidden="1" x14ac:dyDescent="0.3">
      <c r="B78" s="172" t="s">
        <v>26</v>
      </c>
      <c r="C78" s="172" t="s">
        <v>80</v>
      </c>
      <c r="D78" s="172" t="s">
        <v>218</v>
      </c>
      <c r="E78" s="172">
        <v>9.1538424002186901E-4</v>
      </c>
      <c r="F78" s="172">
        <v>92</v>
      </c>
      <c r="G78" s="172">
        <v>-0.25</v>
      </c>
      <c r="H78" s="172">
        <v>-0.25</v>
      </c>
      <c r="I78" s="172">
        <v>14.5</v>
      </c>
    </row>
    <row r="79" spans="2:9" hidden="1" x14ac:dyDescent="0.3">
      <c r="B79" s="172" t="s">
        <v>26</v>
      </c>
      <c r="C79" s="172" t="s">
        <v>80</v>
      </c>
      <c r="D79" s="172" t="s">
        <v>221</v>
      </c>
      <c r="E79" s="172">
        <v>2.09527031242385E-4</v>
      </c>
      <c r="F79" s="172">
        <v>99</v>
      </c>
      <c r="G79" s="172">
        <v>28</v>
      </c>
      <c r="H79" s="172">
        <v>0</v>
      </c>
      <c r="I79" s="172">
        <v>14.5</v>
      </c>
    </row>
    <row r="80" spans="2:9" hidden="1" x14ac:dyDescent="0.3">
      <c r="B80" s="172" t="s">
        <v>26</v>
      </c>
      <c r="C80" s="172" t="s">
        <v>81</v>
      </c>
      <c r="D80" s="172" t="s">
        <v>218</v>
      </c>
      <c r="E80" s="172">
        <v>1.8099847131853401E-4</v>
      </c>
      <c r="F80" s="172">
        <v>92</v>
      </c>
      <c r="G80" s="172">
        <v>-0.25</v>
      </c>
      <c r="H80" s="172">
        <v>-0.25</v>
      </c>
      <c r="I80" s="172">
        <v>14.5</v>
      </c>
    </row>
    <row r="81" spans="2:9" hidden="1" x14ac:dyDescent="0.3">
      <c r="B81" s="172" t="s">
        <v>26</v>
      </c>
      <c r="C81" s="172" t="s">
        <v>81</v>
      </c>
      <c r="D81" s="172" t="s">
        <v>221</v>
      </c>
      <c r="E81" s="172">
        <v>1.1016076125305099E-3</v>
      </c>
      <c r="F81" s="172">
        <v>99</v>
      </c>
      <c r="G81" s="172">
        <v>28</v>
      </c>
      <c r="H81" s="172">
        <v>0</v>
      </c>
      <c r="I81" s="172">
        <v>14.5</v>
      </c>
    </row>
    <row r="82" spans="2:9" hidden="1" x14ac:dyDescent="0.3">
      <c r="B82" s="172" t="s">
        <v>26</v>
      </c>
      <c r="C82" s="172" t="s">
        <v>82</v>
      </c>
      <c r="D82" s="172" t="s">
        <v>218</v>
      </c>
      <c r="E82" s="172">
        <v>3.24175038259449E-4</v>
      </c>
      <c r="F82" s="172">
        <v>91</v>
      </c>
      <c r="G82" s="172">
        <v>23.25</v>
      </c>
      <c r="H82" s="172">
        <v>31.25</v>
      </c>
      <c r="I82" s="172">
        <v>14.5</v>
      </c>
    </row>
    <row r="83" spans="2:9" hidden="1" x14ac:dyDescent="0.3">
      <c r="B83" s="172" t="s">
        <v>26</v>
      </c>
      <c r="C83" s="172" t="s">
        <v>82</v>
      </c>
      <c r="D83" s="172" t="s">
        <v>221</v>
      </c>
      <c r="E83" s="172">
        <v>1.2056802204837699E-3</v>
      </c>
      <c r="F83" s="172">
        <v>92</v>
      </c>
      <c r="G83" s="172">
        <v>-0.25</v>
      </c>
      <c r="H83" s="172">
        <v>-0.25</v>
      </c>
      <c r="I83" s="172">
        <v>14.5</v>
      </c>
    </row>
    <row r="84" spans="2:9" hidden="1" x14ac:dyDescent="0.3">
      <c r="B84" s="172" t="s">
        <v>26</v>
      </c>
      <c r="C84" s="172" t="s">
        <v>246</v>
      </c>
      <c r="D84" s="172" t="s">
        <v>218</v>
      </c>
      <c r="E84" s="172">
        <v>2.7234705754276499E-5</v>
      </c>
      <c r="F84" s="172">
        <v>92</v>
      </c>
      <c r="G84" s="172">
        <v>-0.25</v>
      </c>
      <c r="H84" s="172">
        <v>-0.25</v>
      </c>
      <c r="I84" s="172">
        <v>14.5</v>
      </c>
    </row>
    <row r="85" spans="2:9" hidden="1" x14ac:dyDescent="0.3">
      <c r="B85" s="172" t="s">
        <v>26</v>
      </c>
      <c r="C85" s="172" t="s">
        <v>246</v>
      </c>
      <c r="D85" s="172" t="s">
        <v>221</v>
      </c>
      <c r="E85" s="172">
        <v>1.7888320595816301E-5</v>
      </c>
      <c r="F85" s="172">
        <v>87</v>
      </c>
      <c r="G85" s="172">
        <v>-0.25</v>
      </c>
      <c r="H85" s="172">
        <v>31.25</v>
      </c>
      <c r="I85" s="172">
        <v>14.5</v>
      </c>
    </row>
    <row r="86" spans="2:9" x14ac:dyDescent="0.3">
      <c r="B86" s="172" t="s">
        <v>25</v>
      </c>
      <c r="C86" s="172" t="s">
        <v>79</v>
      </c>
      <c r="D86" s="172" t="s">
        <v>218</v>
      </c>
      <c r="E86" s="172">
        <v>1.13948928090594E-3</v>
      </c>
      <c r="F86" s="172">
        <v>91</v>
      </c>
      <c r="G86" s="172">
        <v>23.25</v>
      </c>
      <c r="H86" s="172">
        <v>31.25</v>
      </c>
      <c r="I86" s="172">
        <v>11</v>
      </c>
    </row>
    <row r="87" spans="2:9" hidden="1" x14ac:dyDescent="0.3">
      <c r="B87" s="172" t="s">
        <v>25</v>
      </c>
      <c r="C87" s="172" t="s">
        <v>79</v>
      </c>
      <c r="D87" s="172" t="s">
        <v>221</v>
      </c>
      <c r="E87" s="172">
        <v>3.55724381403451E-4</v>
      </c>
      <c r="F87" s="172">
        <v>87</v>
      </c>
      <c r="G87" s="172">
        <v>-0.25</v>
      </c>
      <c r="H87" s="172">
        <v>31.25</v>
      </c>
      <c r="I87" s="172">
        <v>11</v>
      </c>
    </row>
    <row r="88" spans="2:9" hidden="1" x14ac:dyDescent="0.3">
      <c r="B88" s="172" t="s">
        <v>25</v>
      </c>
      <c r="C88" s="172" t="s">
        <v>80</v>
      </c>
      <c r="D88" s="172" t="s">
        <v>218</v>
      </c>
      <c r="E88" s="172">
        <v>9.3374713375722802E-4</v>
      </c>
      <c r="F88" s="172">
        <v>92</v>
      </c>
      <c r="G88" s="172">
        <v>-0.25</v>
      </c>
      <c r="H88" s="172">
        <v>-0.25</v>
      </c>
      <c r="I88" s="172">
        <v>11</v>
      </c>
    </row>
    <row r="89" spans="2:9" hidden="1" x14ac:dyDescent="0.3">
      <c r="B89" s="172" t="s">
        <v>25</v>
      </c>
      <c r="C89" s="172" t="s">
        <v>80</v>
      </c>
      <c r="D89" s="172" t="s">
        <v>221</v>
      </c>
      <c r="E89" s="172">
        <v>1.9962397217465299E-4</v>
      </c>
      <c r="F89" s="172">
        <v>99</v>
      </c>
      <c r="G89" s="172">
        <v>28</v>
      </c>
      <c r="H89" s="172">
        <v>0</v>
      </c>
      <c r="I89" s="172">
        <v>11</v>
      </c>
    </row>
    <row r="90" spans="2:9" hidden="1" x14ac:dyDescent="0.3">
      <c r="B90" s="172" t="s">
        <v>25</v>
      </c>
      <c r="C90" s="172" t="s">
        <v>81</v>
      </c>
      <c r="D90" s="172" t="s">
        <v>218</v>
      </c>
      <c r="E90" s="172">
        <v>1.6971861856240699E-4</v>
      </c>
      <c r="F90" s="172">
        <v>92</v>
      </c>
      <c r="G90" s="172">
        <v>-0.25</v>
      </c>
      <c r="H90" s="172">
        <v>-0.25</v>
      </c>
      <c r="I90" s="172">
        <v>11</v>
      </c>
    </row>
    <row r="91" spans="2:9" hidden="1" x14ac:dyDescent="0.3">
      <c r="B91" s="172" t="s">
        <v>25</v>
      </c>
      <c r="C91" s="172" t="s">
        <v>81</v>
      </c>
      <c r="D91" s="172" t="s">
        <v>221</v>
      </c>
      <c r="E91" s="172">
        <v>1.1240208621179999E-3</v>
      </c>
      <c r="F91" s="172">
        <v>99</v>
      </c>
      <c r="G91" s="172">
        <v>28</v>
      </c>
      <c r="H91" s="172">
        <v>0</v>
      </c>
      <c r="I91" s="172">
        <v>11</v>
      </c>
    </row>
    <row r="92" spans="2:9" hidden="1" x14ac:dyDescent="0.3">
      <c r="B92" s="172" t="s">
        <v>25</v>
      </c>
      <c r="C92" s="172" t="s">
        <v>82</v>
      </c>
      <c r="D92" s="172" t="s">
        <v>218</v>
      </c>
      <c r="E92" s="172">
        <v>3.5304556282867399E-4</v>
      </c>
      <c r="F92" s="172">
        <v>91</v>
      </c>
      <c r="G92" s="172">
        <v>23.25</v>
      </c>
      <c r="H92" s="172">
        <v>31.25</v>
      </c>
      <c r="I92" s="172">
        <v>11</v>
      </c>
    </row>
    <row r="93" spans="2:9" hidden="1" x14ac:dyDescent="0.3">
      <c r="B93" s="172" t="s">
        <v>25</v>
      </c>
      <c r="C93" s="172" t="s">
        <v>82</v>
      </c>
      <c r="D93" s="172" t="s">
        <v>221</v>
      </c>
      <c r="E93" s="172">
        <v>1.2642984176418799E-3</v>
      </c>
      <c r="F93" s="172">
        <v>92</v>
      </c>
      <c r="G93" s="172">
        <v>-0.25</v>
      </c>
      <c r="H93" s="172">
        <v>-0.25</v>
      </c>
      <c r="I93" s="172">
        <v>11</v>
      </c>
    </row>
    <row r="94" spans="2:9" hidden="1" x14ac:dyDescent="0.3">
      <c r="B94" s="172" t="s">
        <v>25</v>
      </c>
      <c r="C94" s="172" t="s">
        <v>246</v>
      </c>
      <c r="D94" s="172" t="s">
        <v>218</v>
      </c>
      <c r="E94" s="172">
        <v>2.6572622727668099E-5</v>
      </c>
      <c r="F94" s="172">
        <v>92</v>
      </c>
      <c r="G94" s="172">
        <v>-0.25</v>
      </c>
      <c r="H94" s="172">
        <v>-0.25</v>
      </c>
      <c r="I94" s="172">
        <v>11</v>
      </c>
    </row>
    <row r="95" spans="2:9" hidden="1" x14ac:dyDescent="0.3">
      <c r="B95" s="172" t="s">
        <v>25</v>
      </c>
      <c r="C95" s="172" t="s">
        <v>246</v>
      </c>
      <c r="D95" s="172" t="s">
        <v>221</v>
      </c>
      <c r="E95" s="172">
        <v>1.62181753634093E-5</v>
      </c>
      <c r="F95" s="172">
        <v>92</v>
      </c>
      <c r="G95" s="172">
        <v>-0.25</v>
      </c>
      <c r="H95" s="172">
        <v>-0.25</v>
      </c>
      <c r="I95" s="172">
        <v>11</v>
      </c>
    </row>
    <row r="96" spans="2:9" x14ac:dyDescent="0.3">
      <c r="B96" s="172" t="s">
        <v>24</v>
      </c>
      <c r="C96" s="172" t="s">
        <v>79</v>
      </c>
      <c r="D96" s="172" t="s">
        <v>218</v>
      </c>
      <c r="E96" s="172">
        <v>1.1512408005055E-3</v>
      </c>
      <c r="F96" s="172">
        <v>91</v>
      </c>
      <c r="G96" s="172">
        <v>23.25</v>
      </c>
      <c r="H96" s="172">
        <v>31.25</v>
      </c>
      <c r="I96" s="172">
        <v>7.5</v>
      </c>
    </row>
    <row r="97" spans="2:9" hidden="1" x14ac:dyDescent="0.3">
      <c r="B97" s="172" t="s">
        <v>24</v>
      </c>
      <c r="C97" s="172" t="s">
        <v>79</v>
      </c>
      <c r="D97" s="172" t="s">
        <v>221</v>
      </c>
      <c r="E97" s="172">
        <v>3.6059100601911202E-4</v>
      </c>
      <c r="F97" s="172">
        <v>92</v>
      </c>
      <c r="G97" s="172">
        <v>-0.25</v>
      </c>
      <c r="H97" s="172">
        <v>-0.25</v>
      </c>
      <c r="I97" s="172">
        <v>7.5</v>
      </c>
    </row>
    <row r="98" spans="2:9" hidden="1" x14ac:dyDescent="0.3">
      <c r="B98" s="172" t="s">
        <v>24</v>
      </c>
      <c r="C98" s="172" t="s">
        <v>80</v>
      </c>
      <c r="D98" s="172" t="s">
        <v>218</v>
      </c>
      <c r="E98" s="172">
        <v>9.2765345707100904E-4</v>
      </c>
      <c r="F98" s="172">
        <v>91</v>
      </c>
      <c r="G98" s="172">
        <v>23.25</v>
      </c>
      <c r="H98" s="172">
        <v>31.25</v>
      </c>
      <c r="I98" s="172">
        <v>7.5</v>
      </c>
    </row>
    <row r="99" spans="2:9" hidden="1" x14ac:dyDescent="0.3">
      <c r="B99" s="172" t="s">
        <v>24</v>
      </c>
      <c r="C99" s="172" t="s">
        <v>80</v>
      </c>
      <c r="D99" s="172" t="s">
        <v>221</v>
      </c>
      <c r="E99" s="172">
        <v>1.86974704028337E-4</v>
      </c>
      <c r="F99" s="172">
        <v>92</v>
      </c>
      <c r="G99" s="172">
        <v>-0.25</v>
      </c>
      <c r="H99" s="172">
        <v>-0.25</v>
      </c>
      <c r="I99" s="172">
        <v>7.5</v>
      </c>
    </row>
    <row r="100" spans="2:9" hidden="1" x14ac:dyDescent="0.3">
      <c r="B100" s="172" t="s">
        <v>24</v>
      </c>
      <c r="C100" s="172" t="s">
        <v>81</v>
      </c>
      <c r="D100" s="172" t="s">
        <v>218</v>
      </c>
      <c r="E100" s="172">
        <v>1.77647662929165E-4</v>
      </c>
      <c r="F100" s="172">
        <v>91</v>
      </c>
      <c r="G100" s="172">
        <v>23.25</v>
      </c>
      <c r="H100" s="172">
        <v>31.25</v>
      </c>
      <c r="I100" s="172">
        <v>7.5</v>
      </c>
    </row>
    <row r="101" spans="2:9" hidden="1" x14ac:dyDescent="0.3">
      <c r="B101" s="172" t="s">
        <v>24</v>
      </c>
      <c r="C101" s="172" t="s">
        <v>81</v>
      </c>
      <c r="D101" s="172" t="s">
        <v>221</v>
      </c>
      <c r="E101" s="172">
        <v>1.11765084948974E-3</v>
      </c>
      <c r="F101" s="172">
        <v>92</v>
      </c>
      <c r="G101" s="172">
        <v>-0.25</v>
      </c>
      <c r="H101" s="172">
        <v>-0.25</v>
      </c>
      <c r="I101" s="172">
        <v>7.5</v>
      </c>
    </row>
    <row r="102" spans="2:9" hidden="1" x14ac:dyDescent="0.3">
      <c r="B102" s="172" t="s">
        <v>24</v>
      </c>
      <c r="C102" s="172" t="s">
        <v>82</v>
      </c>
      <c r="D102" s="172" t="s">
        <v>218</v>
      </c>
      <c r="E102" s="172">
        <v>3.6748715035701899E-4</v>
      </c>
      <c r="F102" s="172">
        <v>91</v>
      </c>
      <c r="G102" s="172">
        <v>23.25</v>
      </c>
      <c r="H102" s="172">
        <v>31.25</v>
      </c>
      <c r="I102" s="172">
        <v>7.5</v>
      </c>
    </row>
    <row r="103" spans="2:9" hidden="1" x14ac:dyDescent="0.3">
      <c r="B103" s="172" t="s">
        <v>24</v>
      </c>
      <c r="C103" s="172" t="s">
        <v>82</v>
      </c>
      <c r="D103" s="172" t="s">
        <v>221</v>
      </c>
      <c r="E103" s="172">
        <v>1.26505291513001E-3</v>
      </c>
      <c r="F103" s="172">
        <v>92</v>
      </c>
      <c r="G103" s="172">
        <v>-0.25</v>
      </c>
      <c r="H103" s="172">
        <v>-0.25</v>
      </c>
      <c r="I103" s="172">
        <v>7.5</v>
      </c>
    </row>
    <row r="104" spans="2:9" hidden="1" x14ac:dyDescent="0.3">
      <c r="B104" s="172" t="s">
        <v>24</v>
      </c>
      <c r="C104" s="172" t="s">
        <v>246</v>
      </c>
      <c r="D104" s="172" t="s">
        <v>218</v>
      </c>
      <c r="E104" s="172">
        <v>2.7569086337595201E-5</v>
      </c>
      <c r="F104" s="172">
        <v>92</v>
      </c>
      <c r="G104" s="172">
        <v>-0.25</v>
      </c>
      <c r="H104" s="172">
        <v>-0.25</v>
      </c>
      <c r="I104" s="172">
        <v>7.5</v>
      </c>
    </row>
    <row r="105" spans="2:9" hidden="1" x14ac:dyDescent="0.3">
      <c r="B105" s="172" t="s">
        <v>24</v>
      </c>
      <c r="C105" s="172" t="s">
        <v>246</v>
      </c>
      <c r="D105" s="172" t="s">
        <v>221</v>
      </c>
      <c r="E105" s="172">
        <v>1.5444593432413601E-5</v>
      </c>
      <c r="F105" s="172">
        <v>87</v>
      </c>
      <c r="G105" s="172">
        <v>-0.25</v>
      </c>
      <c r="H105" s="172">
        <v>31.25</v>
      </c>
      <c r="I105" s="172">
        <v>7.5</v>
      </c>
    </row>
    <row r="106" spans="2:9" x14ac:dyDescent="0.3">
      <c r="B106" s="172" t="s">
        <v>22</v>
      </c>
      <c r="C106" s="172" t="s">
        <v>79</v>
      </c>
      <c r="D106" s="172" t="s">
        <v>218</v>
      </c>
      <c r="E106" s="172">
        <v>8.3850617938885797E-4</v>
      </c>
      <c r="F106" s="172">
        <v>28</v>
      </c>
      <c r="G106" s="172">
        <v>19</v>
      </c>
      <c r="H106" s="172">
        <v>31</v>
      </c>
      <c r="I106" s="172">
        <v>4</v>
      </c>
    </row>
    <row r="107" spans="2:9" hidden="1" x14ac:dyDescent="0.3">
      <c r="B107" s="172" t="s">
        <v>22</v>
      </c>
      <c r="C107" s="172" t="s">
        <v>79</v>
      </c>
      <c r="D107" s="172" t="s">
        <v>221</v>
      </c>
      <c r="E107" s="172">
        <v>2.44197085888073E-4</v>
      </c>
      <c r="F107" s="172">
        <v>32</v>
      </c>
      <c r="G107" s="172">
        <v>0</v>
      </c>
      <c r="H107" s="172">
        <v>25</v>
      </c>
      <c r="I107" s="172">
        <v>4</v>
      </c>
    </row>
    <row r="108" spans="2:9" hidden="1" x14ac:dyDescent="0.3">
      <c r="B108" s="172" t="s">
        <v>22</v>
      </c>
      <c r="C108" s="172" t="s">
        <v>80</v>
      </c>
      <c r="D108" s="172" t="s">
        <v>218</v>
      </c>
      <c r="E108" s="172">
        <v>7.0979242481069595E-4</v>
      </c>
      <c r="F108" s="172">
        <v>99</v>
      </c>
      <c r="G108" s="172">
        <v>28</v>
      </c>
      <c r="H108" s="172">
        <v>0</v>
      </c>
      <c r="I108" s="172">
        <v>4</v>
      </c>
    </row>
    <row r="109" spans="2:9" hidden="1" x14ac:dyDescent="0.3">
      <c r="B109" s="172" t="s">
        <v>22</v>
      </c>
      <c r="C109" s="172" t="s">
        <v>80</v>
      </c>
      <c r="D109" s="172" t="s">
        <v>221</v>
      </c>
      <c r="E109" s="172">
        <v>1.4868100259096001E-4</v>
      </c>
      <c r="F109" s="172">
        <v>99</v>
      </c>
      <c r="G109" s="172">
        <v>28</v>
      </c>
      <c r="H109" s="172">
        <v>0</v>
      </c>
      <c r="I109" s="172">
        <v>4</v>
      </c>
    </row>
    <row r="110" spans="2:9" hidden="1" x14ac:dyDescent="0.3">
      <c r="B110" s="172" t="s">
        <v>22</v>
      </c>
      <c r="C110" s="172" t="s">
        <v>81</v>
      </c>
      <c r="D110" s="172" t="s">
        <v>218</v>
      </c>
      <c r="E110" s="172">
        <v>1.3122735840076101E-4</v>
      </c>
      <c r="F110" s="172">
        <v>99</v>
      </c>
      <c r="G110" s="172">
        <v>28</v>
      </c>
      <c r="H110" s="172">
        <v>0</v>
      </c>
      <c r="I110" s="172">
        <v>4</v>
      </c>
    </row>
    <row r="111" spans="2:9" hidden="1" x14ac:dyDescent="0.3">
      <c r="B111" s="172" t="s">
        <v>22</v>
      </c>
      <c r="C111" s="172" t="s">
        <v>81</v>
      </c>
      <c r="D111" s="172" t="s">
        <v>221</v>
      </c>
      <c r="E111" s="172">
        <v>7.7467505643268703E-4</v>
      </c>
      <c r="F111" s="172">
        <v>99</v>
      </c>
      <c r="G111" s="172">
        <v>28</v>
      </c>
      <c r="H111" s="172">
        <v>0</v>
      </c>
      <c r="I111" s="172">
        <v>4</v>
      </c>
    </row>
    <row r="112" spans="2:9" hidden="1" x14ac:dyDescent="0.3">
      <c r="B112" s="172" t="s">
        <v>22</v>
      </c>
      <c r="C112" s="172" t="s">
        <v>82</v>
      </c>
      <c r="D112" s="172" t="s">
        <v>218</v>
      </c>
      <c r="E112" s="172">
        <v>2.6474792963288702E-4</v>
      </c>
      <c r="F112" s="172">
        <v>28</v>
      </c>
      <c r="G112" s="172">
        <v>19</v>
      </c>
      <c r="H112" s="172">
        <v>31</v>
      </c>
      <c r="I112" s="172">
        <v>4</v>
      </c>
    </row>
    <row r="113" spans="2:9" hidden="1" x14ac:dyDescent="0.3">
      <c r="B113" s="172" t="s">
        <v>22</v>
      </c>
      <c r="C113" s="172" t="s">
        <v>82</v>
      </c>
      <c r="D113" s="172" t="s">
        <v>221</v>
      </c>
      <c r="E113" s="172">
        <v>8.7766444806685099E-4</v>
      </c>
      <c r="F113" s="172">
        <v>32</v>
      </c>
      <c r="G113" s="172">
        <v>0</v>
      </c>
      <c r="H113" s="172">
        <v>25</v>
      </c>
      <c r="I113" s="172">
        <v>4</v>
      </c>
    </row>
    <row r="114" spans="2:9" hidden="1" x14ac:dyDescent="0.3">
      <c r="B114" s="172" t="s">
        <v>22</v>
      </c>
      <c r="C114" s="172" t="s">
        <v>246</v>
      </c>
      <c r="D114" s="172" t="s">
        <v>218</v>
      </c>
      <c r="E114" s="172">
        <v>2.9128190600000799E-5</v>
      </c>
      <c r="F114" s="172">
        <v>99</v>
      </c>
      <c r="G114" s="172">
        <v>28</v>
      </c>
      <c r="H114" s="172">
        <v>0</v>
      </c>
      <c r="I114" s="172">
        <v>4</v>
      </c>
    </row>
    <row r="115" spans="2:9" s="172" customFormat="1" hidden="1" x14ac:dyDescent="0.3">
      <c r="B115" s="172" t="s">
        <v>22</v>
      </c>
      <c r="C115" s="172" t="s">
        <v>246</v>
      </c>
      <c r="D115" s="172" t="s">
        <v>221</v>
      </c>
      <c r="E115" s="172">
        <v>1.51298306124447E-5</v>
      </c>
      <c r="F115" s="172">
        <v>32</v>
      </c>
      <c r="G115" s="172">
        <v>0</v>
      </c>
      <c r="H115" s="172">
        <v>25</v>
      </c>
      <c r="I115" s="172">
        <v>4</v>
      </c>
    </row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3.8207061180634602E-4</v>
      </c>
      <c r="F138" s="172">
        <v>85</v>
      </c>
      <c r="G138" s="172">
        <v>28</v>
      </c>
      <c r="H138" s="172">
        <v>4</v>
      </c>
      <c r="I138" s="172">
        <v>38.5</v>
      </c>
    </row>
    <row r="139" spans="2:9" hidden="1" x14ac:dyDescent="0.3">
      <c r="B139" s="172" t="s">
        <v>189</v>
      </c>
      <c r="C139" s="172" t="s">
        <v>79</v>
      </c>
      <c r="D139" s="172" t="s">
        <v>221</v>
      </c>
      <c r="E139" s="172">
        <v>1.16945149975126E-4</v>
      </c>
      <c r="F139" s="172">
        <v>20</v>
      </c>
      <c r="G139" s="172">
        <v>23</v>
      </c>
      <c r="H139" s="172">
        <v>0</v>
      </c>
      <c r="I139" s="172">
        <v>38.5</v>
      </c>
    </row>
    <row r="140" spans="2:9" x14ac:dyDescent="0.3">
      <c r="B140" s="172" t="s">
        <v>189</v>
      </c>
      <c r="C140" s="172" t="s">
        <v>80</v>
      </c>
      <c r="D140" s="172" t="s">
        <v>218</v>
      </c>
      <c r="E140" s="172">
        <v>4.3829969857038498E-4</v>
      </c>
      <c r="F140" s="172">
        <v>20</v>
      </c>
      <c r="G140" s="172">
        <v>23</v>
      </c>
      <c r="H140" s="172">
        <v>0</v>
      </c>
      <c r="I140" s="172">
        <v>38.5</v>
      </c>
    </row>
    <row r="141" spans="2:9" hidden="1" x14ac:dyDescent="0.3">
      <c r="B141" s="172" t="s">
        <v>189</v>
      </c>
      <c r="C141" s="172" t="s">
        <v>80</v>
      </c>
      <c r="D141" s="172" t="s">
        <v>221</v>
      </c>
      <c r="E141" s="172">
        <v>1.8740596107842E-4</v>
      </c>
      <c r="F141" s="172">
        <v>99</v>
      </c>
      <c r="G141" s="172">
        <v>28</v>
      </c>
      <c r="H141" s="172">
        <v>0</v>
      </c>
      <c r="I141" s="172">
        <v>38.5</v>
      </c>
    </row>
    <row r="142" spans="2:9" hidden="1" x14ac:dyDescent="0.3">
      <c r="B142" s="172" t="s">
        <v>189</v>
      </c>
      <c r="C142" s="172" t="s">
        <v>81</v>
      </c>
      <c r="D142" s="172" t="s">
        <v>218</v>
      </c>
      <c r="E142" s="172">
        <v>1.60377763615331E-4</v>
      </c>
      <c r="F142" s="172">
        <v>20</v>
      </c>
      <c r="G142" s="172">
        <v>23</v>
      </c>
      <c r="H142" s="172">
        <v>0</v>
      </c>
      <c r="I142" s="172">
        <v>38.5</v>
      </c>
    </row>
    <row r="143" spans="2:9" hidden="1" x14ac:dyDescent="0.3">
      <c r="B143" s="172" t="s">
        <v>189</v>
      </c>
      <c r="C143" s="172" t="s">
        <v>81</v>
      </c>
      <c r="D143" s="172" t="s">
        <v>221</v>
      </c>
      <c r="E143" s="172">
        <v>5.5490894406670405E-4</v>
      </c>
      <c r="F143" s="172">
        <v>99</v>
      </c>
      <c r="G143" s="172">
        <v>28</v>
      </c>
      <c r="H143" s="172">
        <v>0</v>
      </c>
      <c r="I143" s="172">
        <v>38.5</v>
      </c>
    </row>
    <row r="144" spans="2:9" hidden="1" x14ac:dyDescent="0.3">
      <c r="B144" s="172" t="s">
        <v>189</v>
      </c>
      <c r="C144" s="172" t="s">
        <v>82</v>
      </c>
      <c r="D144" s="172" t="s">
        <v>218</v>
      </c>
      <c r="E144" s="172">
        <v>1.03135048649422E-4</v>
      </c>
      <c r="F144" s="172">
        <v>20</v>
      </c>
      <c r="G144" s="172">
        <v>23</v>
      </c>
      <c r="H144" s="172">
        <v>0</v>
      </c>
      <c r="I144" s="172">
        <v>38.5</v>
      </c>
    </row>
    <row r="145" spans="2:9" hidden="1" x14ac:dyDescent="0.3">
      <c r="B145" s="172" t="s">
        <v>189</v>
      </c>
      <c r="C145" s="172" t="s">
        <v>82</v>
      </c>
      <c r="D145" s="172" t="s">
        <v>221</v>
      </c>
      <c r="E145" s="172">
        <v>4.8224636836621598E-4</v>
      </c>
      <c r="F145" s="172">
        <v>99</v>
      </c>
      <c r="G145" s="172">
        <v>28</v>
      </c>
      <c r="H145" s="172">
        <v>0</v>
      </c>
      <c r="I145" s="172">
        <v>38.5</v>
      </c>
    </row>
    <row r="146" spans="2:9" hidden="1" x14ac:dyDescent="0.3">
      <c r="B146" s="172" t="s">
        <v>189</v>
      </c>
      <c r="C146" s="172" t="s">
        <v>246</v>
      </c>
      <c r="D146" s="172" t="s">
        <v>218</v>
      </c>
      <c r="E146" s="172">
        <v>1.7362720787156199E-5</v>
      </c>
      <c r="F146" s="172">
        <v>85</v>
      </c>
      <c r="G146" s="172">
        <v>28</v>
      </c>
      <c r="H146" s="172">
        <v>4</v>
      </c>
      <c r="I146" s="172">
        <v>38.5</v>
      </c>
    </row>
    <row r="147" spans="2:9" hidden="1" x14ac:dyDescent="0.3">
      <c r="B147" s="172" t="s">
        <v>189</v>
      </c>
      <c r="C147" s="172" t="s">
        <v>246</v>
      </c>
      <c r="D147" s="172" t="s">
        <v>221</v>
      </c>
      <c r="E147" s="172">
        <v>4.1659304099087697E-5</v>
      </c>
      <c r="F147" s="172">
        <v>99</v>
      </c>
      <c r="G147" s="172">
        <v>28</v>
      </c>
      <c r="H147" s="172">
        <v>0</v>
      </c>
      <c r="I147" s="172">
        <v>38.5</v>
      </c>
    </row>
    <row r="148" spans="2:9" hidden="1" x14ac:dyDescent="0.3">
      <c r="B148" s="172" t="s">
        <v>187</v>
      </c>
      <c r="C148" s="172" t="s">
        <v>79</v>
      </c>
      <c r="D148" s="172" t="s">
        <v>218</v>
      </c>
      <c r="E148" s="172">
        <v>3.0686366814808698E-4</v>
      </c>
      <c r="F148" s="172">
        <v>92</v>
      </c>
      <c r="G148" s="172">
        <v>-0.25</v>
      </c>
      <c r="H148" s="172">
        <v>-0.25</v>
      </c>
      <c r="I148" s="172">
        <v>35.5</v>
      </c>
    </row>
    <row r="149" spans="2:9" hidden="1" x14ac:dyDescent="0.3">
      <c r="B149" s="172" t="s">
        <v>187</v>
      </c>
      <c r="C149" s="172" t="s">
        <v>79</v>
      </c>
      <c r="D149" s="172" t="s">
        <v>221</v>
      </c>
      <c r="E149" s="172">
        <v>7.2944893434997695E-5</v>
      </c>
      <c r="F149" s="172">
        <v>85</v>
      </c>
      <c r="G149" s="172">
        <v>28</v>
      </c>
      <c r="H149" s="172">
        <v>4</v>
      </c>
      <c r="I149" s="172">
        <v>35.5</v>
      </c>
    </row>
    <row r="150" spans="2:9" x14ac:dyDescent="0.3">
      <c r="B150" s="172" t="s">
        <v>187</v>
      </c>
      <c r="C150" s="172" t="s">
        <v>80</v>
      </c>
      <c r="D150" s="172" t="s">
        <v>218</v>
      </c>
      <c r="E150" s="172">
        <v>3.7688309989271899E-4</v>
      </c>
      <c r="F150" s="172">
        <v>92</v>
      </c>
      <c r="G150" s="172">
        <v>-0.25</v>
      </c>
      <c r="H150" s="172">
        <v>-0.25</v>
      </c>
      <c r="I150" s="172">
        <v>35.5</v>
      </c>
    </row>
    <row r="151" spans="2:9" hidden="1" x14ac:dyDescent="0.3">
      <c r="B151" s="172" t="s">
        <v>187</v>
      </c>
      <c r="C151" s="172" t="s">
        <v>80</v>
      </c>
      <c r="D151" s="172" t="s">
        <v>221</v>
      </c>
      <c r="E151" s="172">
        <v>1.5072011332964701E-4</v>
      </c>
      <c r="F151" s="172">
        <v>99</v>
      </c>
      <c r="G151" s="172">
        <v>28</v>
      </c>
      <c r="H151" s="172">
        <v>0</v>
      </c>
      <c r="I151" s="172">
        <v>35.5</v>
      </c>
    </row>
    <row r="152" spans="2:9" hidden="1" x14ac:dyDescent="0.3">
      <c r="B152" s="172" t="s">
        <v>187</v>
      </c>
      <c r="C152" s="172" t="s">
        <v>81</v>
      </c>
      <c r="D152" s="172" t="s">
        <v>218</v>
      </c>
      <c r="E152" s="172">
        <v>1.4844713035561599E-4</v>
      </c>
      <c r="F152" s="172">
        <v>92</v>
      </c>
      <c r="G152" s="172">
        <v>-0.25</v>
      </c>
      <c r="H152" s="172">
        <v>-0.25</v>
      </c>
      <c r="I152" s="172">
        <v>35.5</v>
      </c>
    </row>
    <row r="153" spans="2:9" hidden="1" x14ac:dyDescent="0.3">
      <c r="B153" s="172" t="s">
        <v>187</v>
      </c>
      <c r="C153" s="172" t="s">
        <v>81</v>
      </c>
      <c r="D153" s="172" t="s">
        <v>221</v>
      </c>
      <c r="E153" s="172">
        <v>4.45259917196274E-4</v>
      </c>
      <c r="F153" s="172">
        <v>99</v>
      </c>
      <c r="G153" s="172">
        <v>28</v>
      </c>
      <c r="H153" s="172">
        <v>0</v>
      </c>
      <c r="I153" s="172">
        <v>35.5</v>
      </c>
    </row>
    <row r="154" spans="2:9" hidden="1" x14ac:dyDescent="0.3">
      <c r="B154" s="172" t="s">
        <v>187</v>
      </c>
      <c r="C154" s="172" t="s">
        <v>82</v>
      </c>
      <c r="D154" s="172" t="s">
        <v>218</v>
      </c>
      <c r="E154" s="172">
        <v>8.7862149597242397E-5</v>
      </c>
      <c r="F154" s="172">
        <v>92</v>
      </c>
      <c r="G154" s="172">
        <v>-0.25</v>
      </c>
      <c r="H154" s="172">
        <v>-0.25</v>
      </c>
      <c r="I154" s="172">
        <v>35.5</v>
      </c>
    </row>
    <row r="155" spans="2:9" hidden="1" x14ac:dyDescent="0.3">
      <c r="B155" s="172" t="s">
        <v>187</v>
      </c>
      <c r="C155" s="172" t="s">
        <v>82</v>
      </c>
      <c r="D155" s="172" t="s">
        <v>221</v>
      </c>
      <c r="E155" s="172">
        <v>3.7799524830716899E-4</v>
      </c>
      <c r="F155" s="172">
        <v>99</v>
      </c>
      <c r="G155" s="172">
        <v>28</v>
      </c>
      <c r="H155" s="172">
        <v>0</v>
      </c>
      <c r="I155" s="172">
        <v>35.5</v>
      </c>
    </row>
    <row r="156" spans="2:9" hidden="1" x14ac:dyDescent="0.3">
      <c r="B156" s="172" t="s">
        <v>187</v>
      </c>
      <c r="C156" s="172" t="s">
        <v>246</v>
      </c>
      <c r="D156" s="172" t="s">
        <v>218</v>
      </c>
      <c r="E156" s="172">
        <v>2.4909680026354199E-5</v>
      </c>
      <c r="F156" s="172">
        <v>92</v>
      </c>
      <c r="G156" s="172">
        <v>-0.25</v>
      </c>
      <c r="H156" s="172">
        <v>-0.25</v>
      </c>
      <c r="I156" s="172">
        <v>35.5</v>
      </c>
    </row>
    <row r="157" spans="2:9" hidden="1" x14ac:dyDescent="0.3">
      <c r="B157" s="172" t="s">
        <v>187</v>
      </c>
      <c r="C157" s="172" t="s">
        <v>246</v>
      </c>
      <c r="D157" s="172" t="s">
        <v>221</v>
      </c>
      <c r="E157" s="172">
        <v>2.11374724708033E-5</v>
      </c>
      <c r="F157" s="172">
        <v>87</v>
      </c>
      <c r="G157" s="172">
        <v>-0.25</v>
      </c>
      <c r="H157" s="172">
        <v>31.25</v>
      </c>
      <c r="I157" s="172">
        <v>35.5</v>
      </c>
    </row>
    <row r="158" spans="2:9" hidden="1" x14ac:dyDescent="0.3">
      <c r="B158" s="172" t="s">
        <v>185</v>
      </c>
      <c r="C158" s="172" t="s">
        <v>79</v>
      </c>
      <c r="D158" s="172" t="s">
        <v>218</v>
      </c>
      <c r="E158" s="172">
        <v>5.0322344079270595E-4</v>
      </c>
      <c r="F158" s="172">
        <v>91</v>
      </c>
      <c r="G158" s="172">
        <v>23.25</v>
      </c>
      <c r="H158" s="172">
        <v>31.25</v>
      </c>
      <c r="I158" s="172">
        <v>32</v>
      </c>
    </row>
    <row r="159" spans="2:9" hidden="1" x14ac:dyDescent="0.3">
      <c r="B159" s="172" t="s">
        <v>185</v>
      </c>
      <c r="C159" s="172" t="s">
        <v>79</v>
      </c>
      <c r="D159" s="172" t="s">
        <v>221</v>
      </c>
      <c r="E159" s="172">
        <v>1.32629207908424E-4</v>
      </c>
      <c r="F159" s="172">
        <v>92</v>
      </c>
      <c r="G159" s="172">
        <v>-0.25</v>
      </c>
      <c r="H159" s="172">
        <v>-0.25</v>
      </c>
      <c r="I159" s="172">
        <v>32</v>
      </c>
    </row>
    <row r="160" spans="2:9" x14ac:dyDescent="0.3">
      <c r="B160" s="172" t="s">
        <v>185</v>
      </c>
      <c r="C160" s="172" t="s">
        <v>80</v>
      </c>
      <c r="D160" s="172" t="s">
        <v>218</v>
      </c>
      <c r="E160" s="172">
        <v>5.36912879573582E-4</v>
      </c>
      <c r="F160" s="172">
        <v>92</v>
      </c>
      <c r="G160" s="172">
        <v>-0.25</v>
      </c>
      <c r="H160" s="172">
        <v>-0.25</v>
      </c>
      <c r="I160" s="172">
        <v>32</v>
      </c>
    </row>
    <row r="161" spans="2:9" hidden="1" x14ac:dyDescent="0.3">
      <c r="B161" s="172" t="s">
        <v>185</v>
      </c>
      <c r="C161" s="172" t="s">
        <v>80</v>
      </c>
      <c r="D161" s="172" t="s">
        <v>221</v>
      </c>
      <c r="E161" s="172">
        <v>1.8240422401361001E-4</v>
      </c>
      <c r="F161" s="172">
        <v>99</v>
      </c>
      <c r="G161" s="172">
        <v>28</v>
      </c>
      <c r="H161" s="172">
        <v>0</v>
      </c>
      <c r="I161" s="172">
        <v>32</v>
      </c>
    </row>
    <row r="162" spans="2:9" hidden="1" x14ac:dyDescent="0.3">
      <c r="B162" s="172" t="s">
        <v>185</v>
      </c>
      <c r="C162" s="172" t="s">
        <v>81</v>
      </c>
      <c r="D162" s="172" t="s">
        <v>218</v>
      </c>
      <c r="E162" s="172">
        <v>1.71571538810288E-4</v>
      </c>
      <c r="F162" s="172">
        <v>92</v>
      </c>
      <c r="G162" s="172">
        <v>-0.25</v>
      </c>
      <c r="H162" s="172">
        <v>-0.25</v>
      </c>
      <c r="I162" s="172">
        <v>32</v>
      </c>
    </row>
    <row r="163" spans="2:9" hidden="1" x14ac:dyDescent="0.3">
      <c r="B163" s="172" t="s">
        <v>185</v>
      </c>
      <c r="C163" s="172" t="s">
        <v>81</v>
      </c>
      <c r="D163" s="172" t="s">
        <v>221</v>
      </c>
      <c r="E163" s="172">
        <v>6.3403444750721098E-4</v>
      </c>
      <c r="F163" s="172">
        <v>99</v>
      </c>
      <c r="G163" s="172">
        <v>28</v>
      </c>
      <c r="H163" s="172">
        <v>0</v>
      </c>
      <c r="I163" s="172">
        <v>32</v>
      </c>
    </row>
    <row r="164" spans="2:9" hidden="1" x14ac:dyDescent="0.3">
      <c r="B164" s="172" t="s">
        <v>185</v>
      </c>
      <c r="C164" s="172" t="s">
        <v>82</v>
      </c>
      <c r="D164" s="172" t="s">
        <v>218</v>
      </c>
      <c r="E164" s="172">
        <v>1.07118455930569E-4</v>
      </c>
      <c r="F164" s="172">
        <v>91</v>
      </c>
      <c r="G164" s="172">
        <v>23.25</v>
      </c>
      <c r="H164" s="172">
        <v>31.25</v>
      </c>
      <c r="I164" s="172">
        <v>32</v>
      </c>
    </row>
    <row r="165" spans="2:9" hidden="1" x14ac:dyDescent="0.3">
      <c r="B165" s="172" t="s">
        <v>185</v>
      </c>
      <c r="C165" s="172" t="s">
        <v>82</v>
      </c>
      <c r="D165" s="172" t="s">
        <v>221</v>
      </c>
      <c r="E165" s="172">
        <v>5.5939437054066201E-4</v>
      </c>
      <c r="F165" s="172">
        <v>92</v>
      </c>
      <c r="G165" s="172">
        <v>-0.25</v>
      </c>
      <c r="H165" s="172">
        <v>-0.25</v>
      </c>
      <c r="I165" s="172">
        <v>32</v>
      </c>
    </row>
    <row r="166" spans="2:9" hidden="1" x14ac:dyDescent="0.3">
      <c r="B166" s="172" t="s">
        <v>185</v>
      </c>
      <c r="C166" s="172" t="s">
        <v>246</v>
      </c>
      <c r="D166" s="172" t="s">
        <v>218</v>
      </c>
      <c r="E166" s="172">
        <v>2.4593111051432999E-5</v>
      </c>
      <c r="F166" s="172">
        <v>92</v>
      </c>
      <c r="G166" s="172">
        <v>-0.25</v>
      </c>
      <c r="H166" s="172">
        <v>-0.25</v>
      </c>
      <c r="I166" s="172">
        <v>32</v>
      </c>
    </row>
    <row r="167" spans="2:9" hidden="1" x14ac:dyDescent="0.3">
      <c r="B167" s="172" t="s">
        <v>185</v>
      </c>
      <c r="C167" s="172" t="s">
        <v>246</v>
      </c>
      <c r="D167" s="172" t="s">
        <v>221</v>
      </c>
      <c r="E167" s="172">
        <v>2.0201140714586601E-5</v>
      </c>
      <c r="F167" s="172">
        <v>92</v>
      </c>
      <c r="G167" s="172">
        <v>-0.25</v>
      </c>
      <c r="H167" s="172">
        <v>-0.25</v>
      </c>
      <c r="I167" s="172">
        <v>32</v>
      </c>
    </row>
    <row r="168" spans="2:9" hidden="1" x14ac:dyDescent="0.3">
      <c r="B168" s="172" t="s">
        <v>183</v>
      </c>
      <c r="C168" s="172" t="s">
        <v>79</v>
      </c>
      <c r="D168" s="172" t="s">
        <v>218</v>
      </c>
      <c r="E168" s="172">
        <v>6.9967319998935303E-4</v>
      </c>
      <c r="F168" s="172">
        <v>91</v>
      </c>
      <c r="G168" s="172">
        <v>23.25</v>
      </c>
      <c r="H168" s="172">
        <v>31.25</v>
      </c>
      <c r="I168" s="172">
        <v>28.5</v>
      </c>
    </row>
    <row r="169" spans="2:9" hidden="1" x14ac:dyDescent="0.3">
      <c r="B169" s="172" t="s">
        <v>183</v>
      </c>
      <c r="C169" s="172" t="s">
        <v>79</v>
      </c>
      <c r="D169" s="172" t="s">
        <v>221</v>
      </c>
      <c r="E169" s="172">
        <v>2.0068351811227799E-4</v>
      </c>
      <c r="F169" s="172">
        <v>92</v>
      </c>
      <c r="G169" s="172">
        <v>-0.25</v>
      </c>
      <c r="H169" s="172">
        <v>-0.25</v>
      </c>
      <c r="I169" s="172">
        <v>28.5</v>
      </c>
    </row>
    <row r="170" spans="2:9" x14ac:dyDescent="0.3">
      <c r="B170" s="172" t="s">
        <v>183</v>
      </c>
      <c r="C170" s="172" t="s">
        <v>80</v>
      </c>
      <c r="D170" s="172" t="s">
        <v>218</v>
      </c>
      <c r="E170" s="172">
        <v>6.7419689261335905E-4</v>
      </c>
      <c r="F170" s="172">
        <v>92</v>
      </c>
      <c r="G170" s="172">
        <v>-0.25</v>
      </c>
      <c r="H170" s="172">
        <v>-0.25</v>
      </c>
      <c r="I170" s="172">
        <v>28.5</v>
      </c>
    </row>
    <row r="171" spans="2:9" hidden="1" x14ac:dyDescent="0.3">
      <c r="B171" s="172" t="s">
        <v>183</v>
      </c>
      <c r="C171" s="172" t="s">
        <v>80</v>
      </c>
      <c r="D171" s="172" t="s">
        <v>221</v>
      </c>
      <c r="E171" s="172">
        <v>2.0111161220979099E-4</v>
      </c>
      <c r="F171" s="172">
        <v>99</v>
      </c>
      <c r="G171" s="172">
        <v>28</v>
      </c>
      <c r="H171" s="172">
        <v>0</v>
      </c>
      <c r="I171" s="172">
        <v>28.5</v>
      </c>
    </row>
    <row r="172" spans="2:9" hidden="1" x14ac:dyDescent="0.3">
      <c r="B172" s="172" t="s">
        <v>183</v>
      </c>
      <c r="C172" s="172" t="s">
        <v>81</v>
      </c>
      <c r="D172" s="172" t="s">
        <v>218</v>
      </c>
      <c r="E172" s="172">
        <v>1.83005966337695E-4</v>
      </c>
      <c r="F172" s="172">
        <v>92</v>
      </c>
      <c r="G172" s="172">
        <v>-0.25</v>
      </c>
      <c r="H172" s="172">
        <v>-0.25</v>
      </c>
      <c r="I172" s="172">
        <v>28.5</v>
      </c>
    </row>
    <row r="173" spans="2:9" hidden="1" x14ac:dyDescent="0.3">
      <c r="B173" s="172" t="s">
        <v>183</v>
      </c>
      <c r="C173" s="172" t="s">
        <v>81</v>
      </c>
      <c r="D173" s="172" t="s">
        <v>221</v>
      </c>
      <c r="E173" s="172">
        <v>7.9843414319214899E-4</v>
      </c>
      <c r="F173" s="172">
        <v>99</v>
      </c>
      <c r="G173" s="172">
        <v>28</v>
      </c>
      <c r="H173" s="172">
        <v>0</v>
      </c>
      <c r="I173" s="172">
        <v>28.5</v>
      </c>
    </row>
    <row r="174" spans="2:9" hidden="1" x14ac:dyDescent="0.3">
      <c r="B174" s="172" t="s">
        <v>183</v>
      </c>
      <c r="C174" s="172" t="s">
        <v>82</v>
      </c>
      <c r="D174" s="172" t="s">
        <v>218</v>
      </c>
      <c r="E174" s="172">
        <v>1.8182074084811001E-4</v>
      </c>
      <c r="F174" s="172">
        <v>91</v>
      </c>
      <c r="G174" s="172">
        <v>23.25</v>
      </c>
      <c r="H174" s="172">
        <v>31.25</v>
      </c>
      <c r="I174" s="172">
        <v>28.5</v>
      </c>
    </row>
    <row r="175" spans="2:9" hidden="1" x14ac:dyDescent="0.3">
      <c r="B175" s="172" t="s">
        <v>183</v>
      </c>
      <c r="C175" s="172" t="s">
        <v>82</v>
      </c>
      <c r="D175" s="172" t="s">
        <v>221</v>
      </c>
      <c r="E175" s="172">
        <v>7.7741274317633395E-4</v>
      </c>
      <c r="F175" s="172">
        <v>92</v>
      </c>
      <c r="G175" s="172">
        <v>-0.25</v>
      </c>
      <c r="H175" s="172">
        <v>-0.25</v>
      </c>
      <c r="I175" s="172">
        <v>28.5</v>
      </c>
    </row>
    <row r="176" spans="2:9" hidden="1" x14ac:dyDescent="0.3">
      <c r="B176" s="172" t="s">
        <v>183</v>
      </c>
      <c r="C176" s="172" t="s">
        <v>246</v>
      </c>
      <c r="D176" s="172" t="s">
        <v>218</v>
      </c>
      <c r="E176" s="172">
        <v>2.4176437914002901E-5</v>
      </c>
      <c r="F176" s="172">
        <v>92</v>
      </c>
      <c r="G176" s="172">
        <v>-0.25</v>
      </c>
      <c r="H176" s="172">
        <v>-0.25</v>
      </c>
      <c r="I176" s="172">
        <v>28.5</v>
      </c>
    </row>
    <row r="177" spans="2:9" hidden="1" x14ac:dyDescent="0.3">
      <c r="B177" s="172" t="s">
        <v>183</v>
      </c>
      <c r="C177" s="172" t="s">
        <v>246</v>
      </c>
      <c r="D177" s="172" t="s">
        <v>221</v>
      </c>
      <c r="E177" s="172">
        <v>1.9459591601956501E-5</v>
      </c>
      <c r="F177" s="172">
        <v>92</v>
      </c>
      <c r="G177" s="172">
        <v>-0.25</v>
      </c>
      <c r="H177" s="172">
        <v>-0.25</v>
      </c>
      <c r="I177" s="172">
        <v>28.5</v>
      </c>
    </row>
    <row r="178" spans="2:9" hidden="1" x14ac:dyDescent="0.3">
      <c r="B178" s="172" t="s">
        <v>181</v>
      </c>
      <c r="C178" s="172" t="s">
        <v>79</v>
      </c>
      <c r="D178" s="172" t="s">
        <v>218</v>
      </c>
      <c r="E178" s="172">
        <v>8.6634821439277596E-4</v>
      </c>
      <c r="F178" s="172">
        <v>91</v>
      </c>
      <c r="G178" s="172">
        <v>23.25</v>
      </c>
      <c r="H178" s="172">
        <v>31.25</v>
      </c>
      <c r="I178" s="172">
        <v>25</v>
      </c>
    </row>
    <row r="179" spans="2:9" hidden="1" x14ac:dyDescent="0.3">
      <c r="B179" s="172" t="s">
        <v>181</v>
      </c>
      <c r="C179" s="172" t="s">
        <v>79</v>
      </c>
      <c r="D179" s="172" t="s">
        <v>221</v>
      </c>
      <c r="E179" s="172">
        <v>2.58485591835212E-4</v>
      </c>
      <c r="F179" s="172">
        <v>92</v>
      </c>
      <c r="G179" s="172">
        <v>-0.25</v>
      </c>
      <c r="H179" s="172">
        <v>-0.25</v>
      </c>
      <c r="I179" s="172">
        <v>25</v>
      </c>
    </row>
    <row r="180" spans="2:9" x14ac:dyDescent="0.3">
      <c r="B180" s="172" t="s">
        <v>181</v>
      </c>
      <c r="C180" s="172" t="s">
        <v>80</v>
      </c>
      <c r="D180" s="172" t="s">
        <v>218</v>
      </c>
      <c r="E180" s="172">
        <v>7.8748650952288797E-4</v>
      </c>
      <c r="F180" s="172">
        <v>92</v>
      </c>
      <c r="G180" s="172">
        <v>-0.25</v>
      </c>
      <c r="H180" s="172">
        <v>-0.25</v>
      </c>
      <c r="I180" s="172">
        <v>25</v>
      </c>
    </row>
    <row r="181" spans="2:9" hidden="1" x14ac:dyDescent="0.3">
      <c r="B181" s="172" t="s">
        <v>181</v>
      </c>
      <c r="C181" s="172" t="s">
        <v>80</v>
      </c>
      <c r="D181" s="172" t="s">
        <v>221</v>
      </c>
      <c r="E181" s="172">
        <v>2.1399955072101101E-4</v>
      </c>
      <c r="F181" s="172">
        <v>99</v>
      </c>
      <c r="G181" s="172">
        <v>28</v>
      </c>
      <c r="H181" s="172">
        <v>0</v>
      </c>
      <c r="I181" s="172">
        <v>25</v>
      </c>
    </row>
    <row r="182" spans="2:9" hidden="1" x14ac:dyDescent="0.3">
      <c r="B182" s="172" t="s">
        <v>181</v>
      </c>
      <c r="C182" s="172" t="s">
        <v>81</v>
      </c>
      <c r="D182" s="172" t="s">
        <v>218</v>
      </c>
      <c r="E182" s="172">
        <v>1.8979147224850099E-4</v>
      </c>
      <c r="F182" s="172">
        <v>92</v>
      </c>
      <c r="G182" s="172">
        <v>-0.25</v>
      </c>
      <c r="H182" s="172">
        <v>-0.25</v>
      </c>
      <c r="I182" s="172">
        <v>25</v>
      </c>
    </row>
    <row r="183" spans="2:9" hidden="1" x14ac:dyDescent="0.3">
      <c r="B183" s="172" t="s">
        <v>181</v>
      </c>
      <c r="C183" s="172" t="s">
        <v>81</v>
      </c>
      <c r="D183" s="172" t="s">
        <v>221</v>
      </c>
      <c r="E183" s="172">
        <v>9.3382831666233897E-4</v>
      </c>
      <c r="F183" s="172">
        <v>99</v>
      </c>
      <c r="G183" s="172">
        <v>28</v>
      </c>
      <c r="H183" s="172">
        <v>0</v>
      </c>
      <c r="I183" s="172">
        <v>25</v>
      </c>
    </row>
    <row r="184" spans="2:9" hidden="1" x14ac:dyDescent="0.3">
      <c r="B184" s="172" t="s">
        <v>181</v>
      </c>
      <c r="C184" s="172" t="s">
        <v>82</v>
      </c>
      <c r="D184" s="172" t="s">
        <v>218</v>
      </c>
      <c r="E184" s="172">
        <v>2.4537299245243002E-4</v>
      </c>
      <c r="F184" s="172">
        <v>91</v>
      </c>
      <c r="G184" s="172">
        <v>23.25</v>
      </c>
      <c r="H184" s="172">
        <v>31.25</v>
      </c>
      <c r="I184" s="172">
        <v>25</v>
      </c>
    </row>
    <row r="185" spans="2:9" hidden="1" x14ac:dyDescent="0.3">
      <c r="B185" s="172" t="s">
        <v>181</v>
      </c>
      <c r="C185" s="172" t="s">
        <v>82</v>
      </c>
      <c r="D185" s="172" t="s">
        <v>221</v>
      </c>
      <c r="E185" s="172">
        <v>9.6125644365005795E-4</v>
      </c>
      <c r="F185" s="172">
        <v>92</v>
      </c>
      <c r="G185" s="172">
        <v>-0.25</v>
      </c>
      <c r="H185" s="172">
        <v>-0.25</v>
      </c>
      <c r="I185" s="172">
        <v>25</v>
      </c>
    </row>
    <row r="186" spans="2:9" hidden="1" x14ac:dyDescent="0.3">
      <c r="B186" s="172" t="s">
        <v>181</v>
      </c>
      <c r="C186" s="172" t="s">
        <v>246</v>
      </c>
      <c r="D186" s="172" t="s">
        <v>218</v>
      </c>
      <c r="E186" s="172">
        <v>2.3536308146042699E-5</v>
      </c>
      <c r="F186" s="172">
        <v>92</v>
      </c>
      <c r="G186" s="172">
        <v>-0.25</v>
      </c>
      <c r="H186" s="172">
        <v>-0.25</v>
      </c>
      <c r="I186" s="172">
        <v>25</v>
      </c>
    </row>
    <row r="187" spans="2:9" hidden="1" x14ac:dyDescent="0.3">
      <c r="B187" s="172" t="s">
        <v>181</v>
      </c>
      <c r="C187" s="172" t="s">
        <v>246</v>
      </c>
      <c r="D187" s="172" t="s">
        <v>221</v>
      </c>
      <c r="E187" s="172">
        <v>1.85591793780147E-5</v>
      </c>
      <c r="F187" s="172">
        <v>87</v>
      </c>
      <c r="G187" s="172">
        <v>-0.25</v>
      </c>
      <c r="H187" s="172">
        <v>31.25</v>
      </c>
      <c r="I187" s="172">
        <v>25</v>
      </c>
    </row>
    <row r="188" spans="2:9" hidden="1" x14ac:dyDescent="0.3">
      <c r="B188" s="172" t="s">
        <v>179</v>
      </c>
      <c r="C188" s="172" t="s">
        <v>79</v>
      </c>
      <c r="D188" s="172" t="s">
        <v>218</v>
      </c>
      <c r="E188" s="172">
        <v>9.9678933856109592E-4</v>
      </c>
      <c r="F188" s="172">
        <v>91</v>
      </c>
      <c r="G188" s="172">
        <v>23.25</v>
      </c>
      <c r="H188" s="172">
        <v>31.25</v>
      </c>
      <c r="I188" s="172">
        <v>21.5</v>
      </c>
    </row>
    <row r="189" spans="2:9" hidden="1" x14ac:dyDescent="0.3">
      <c r="B189" s="172" t="s">
        <v>179</v>
      </c>
      <c r="C189" s="172" t="s">
        <v>79</v>
      </c>
      <c r="D189" s="172" t="s">
        <v>221</v>
      </c>
      <c r="E189" s="172">
        <v>3.03471259228235E-4</v>
      </c>
      <c r="F189" s="172">
        <v>87</v>
      </c>
      <c r="G189" s="172">
        <v>-0.25</v>
      </c>
      <c r="H189" s="172">
        <v>31.25</v>
      </c>
      <c r="I189" s="172">
        <v>21.5</v>
      </c>
    </row>
    <row r="190" spans="2:9" x14ac:dyDescent="0.3">
      <c r="B190" s="172" t="s">
        <v>179</v>
      </c>
      <c r="C190" s="172" t="s">
        <v>80</v>
      </c>
      <c r="D190" s="172" t="s">
        <v>218</v>
      </c>
      <c r="E190" s="172">
        <v>8.7360204149341798E-4</v>
      </c>
      <c r="F190" s="172">
        <v>92</v>
      </c>
      <c r="G190" s="172">
        <v>-0.25</v>
      </c>
      <c r="H190" s="172">
        <v>-0.25</v>
      </c>
      <c r="I190" s="172">
        <v>21.5</v>
      </c>
    </row>
    <row r="191" spans="2:9" hidden="1" x14ac:dyDescent="0.3">
      <c r="B191" s="172" t="s">
        <v>179</v>
      </c>
      <c r="C191" s="172" t="s">
        <v>80</v>
      </c>
      <c r="D191" s="172" t="s">
        <v>221</v>
      </c>
      <c r="E191" s="172">
        <v>2.2145206382202299E-4</v>
      </c>
      <c r="F191" s="172">
        <v>99</v>
      </c>
      <c r="G191" s="172">
        <v>28</v>
      </c>
      <c r="H191" s="172">
        <v>0</v>
      </c>
      <c r="I191" s="172">
        <v>21.5</v>
      </c>
    </row>
    <row r="192" spans="2:9" hidden="1" x14ac:dyDescent="0.3">
      <c r="B192" s="172" t="s">
        <v>179</v>
      </c>
      <c r="C192" s="172" t="s">
        <v>81</v>
      </c>
      <c r="D192" s="172" t="s">
        <v>218</v>
      </c>
      <c r="E192" s="172">
        <v>1.9299252793690999E-4</v>
      </c>
      <c r="F192" s="172">
        <v>92</v>
      </c>
      <c r="G192" s="172">
        <v>-0.25</v>
      </c>
      <c r="H192" s="172">
        <v>-0.25</v>
      </c>
      <c r="I192" s="172">
        <v>21.5</v>
      </c>
    </row>
    <row r="193" spans="2:9" hidden="1" x14ac:dyDescent="0.3">
      <c r="B193" s="172" t="s">
        <v>179</v>
      </c>
      <c r="C193" s="172" t="s">
        <v>81</v>
      </c>
      <c r="D193" s="172" t="s">
        <v>221</v>
      </c>
      <c r="E193" s="172">
        <v>1.03673434889868E-3</v>
      </c>
      <c r="F193" s="172">
        <v>99</v>
      </c>
      <c r="G193" s="172">
        <v>28</v>
      </c>
      <c r="H193" s="172">
        <v>0</v>
      </c>
      <c r="I193" s="172">
        <v>21.5</v>
      </c>
    </row>
    <row r="194" spans="2:9" hidden="1" x14ac:dyDescent="0.3">
      <c r="B194" s="172" t="s">
        <v>179</v>
      </c>
      <c r="C194" s="172" t="s">
        <v>82</v>
      </c>
      <c r="D194" s="172" t="s">
        <v>218</v>
      </c>
      <c r="E194" s="172">
        <v>2.9477435712838002E-4</v>
      </c>
      <c r="F194" s="172">
        <v>91</v>
      </c>
      <c r="G194" s="172">
        <v>23.25</v>
      </c>
      <c r="H194" s="172">
        <v>31.25</v>
      </c>
      <c r="I194" s="172">
        <v>21.5</v>
      </c>
    </row>
    <row r="195" spans="2:9" hidden="1" x14ac:dyDescent="0.3">
      <c r="B195" s="172" t="s">
        <v>179</v>
      </c>
      <c r="C195" s="172" t="s">
        <v>82</v>
      </c>
      <c r="D195" s="172" t="s">
        <v>221</v>
      </c>
      <c r="E195" s="172">
        <v>1.1037737215795001E-3</v>
      </c>
      <c r="F195" s="172">
        <v>92</v>
      </c>
      <c r="G195" s="172">
        <v>-0.25</v>
      </c>
      <c r="H195" s="172">
        <v>-0.25</v>
      </c>
      <c r="I195" s="172">
        <v>21.5</v>
      </c>
    </row>
    <row r="196" spans="2:9" hidden="1" x14ac:dyDescent="0.3">
      <c r="B196" s="172" t="s">
        <v>179</v>
      </c>
      <c r="C196" s="172" t="s">
        <v>246</v>
      </c>
      <c r="D196" s="172" t="s">
        <v>218</v>
      </c>
      <c r="E196" s="172">
        <v>2.3007821628542101E-5</v>
      </c>
      <c r="F196" s="172">
        <v>92</v>
      </c>
      <c r="G196" s="172">
        <v>-0.25</v>
      </c>
      <c r="H196" s="172">
        <v>-0.25</v>
      </c>
      <c r="I196" s="172">
        <v>21.5</v>
      </c>
    </row>
    <row r="197" spans="2:9" hidden="1" x14ac:dyDescent="0.3">
      <c r="B197" s="172" t="s">
        <v>179</v>
      </c>
      <c r="C197" s="172" t="s">
        <v>246</v>
      </c>
      <c r="D197" s="172" t="s">
        <v>221</v>
      </c>
      <c r="E197" s="172">
        <v>1.7682675754328401E-5</v>
      </c>
      <c r="F197" s="172">
        <v>92</v>
      </c>
      <c r="G197" s="172">
        <v>-0.25</v>
      </c>
      <c r="H197" s="172">
        <v>-0.25</v>
      </c>
      <c r="I197" s="172">
        <v>21.5</v>
      </c>
    </row>
    <row r="198" spans="2:9" hidden="1" x14ac:dyDescent="0.3">
      <c r="B198" s="172" t="s">
        <v>39</v>
      </c>
      <c r="C198" s="172" t="s">
        <v>79</v>
      </c>
      <c r="D198" s="172" t="s">
        <v>218</v>
      </c>
      <c r="E198" s="172">
        <v>1.0536534968789201E-3</v>
      </c>
      <c r="F198" s="172">
        <v>91</v>
      </c>
      <c r="G198" s="172">
        <v>23.25</v>
      </c>
      <c r="H198" s="172">
        <v>31.25</v>
      </c>
      <c r="I198" s="172">
        <v>18</v>
      </c>
    </row>
    <row r="199" spans="2:9" hidden="1" x14ac:dyDescent="0.3">
      <c r="B199" s="172" t="s">
        <v>39</v>
      </c>
      <c r="C199" s="172" t="s">
        <v>79</v>
      </c>
      <c r="D199" s="172" t="s">
        <v>221</v>
      </c>
      <c r="E199" s="172">
        <v>3.2215897307039598E-4</v>
      </c>
      <c r="F199" s="172">
        <v>92</v>
      </c>
      <c r="G199" s="172">
        <v>-0.25</v>
      </c>
      <c r="H199" s="172">
        <v>-0.25</v>
      </c>
      <c r="I199" s="172">
        <v>18</v>
      </c>
    </row>
    <row r="200" spans="2:9" x14ac:dyDescent="0.3">
      <c r="B200" s="172" t="s">
        <v>39</v>
      </c>
      <c r="C200" s="172" t="s">
        <v>80</v>
      </c>
      <c r="D200" s="172" t="s">
        <v>218</v>
      </c>
      <c r="E200" s="172">
        <v>9.0527014787404397E-4</v>
      </c>
      <c r="F200" s="172">
        <v>92</v>
      </c>
      <c r="G200" s="172">
        <v>-0.25</v>
      </c>
      <c r="H200" s="172">
        <v>-0.25</v>
      </c>
      <c r="I200" s="172">
        <v>18</v>
      </c>
    </row>
    <row r="201" spans="2:9" hidden="1" x14ac:dyDescent="0.3">
      <c r="B201" s="172" t="s">
        <v>39</v>
      </c>
      <c r="C201" s="172" t="s">
        <v>80</v>
      </c>
      <c r="D201" s="172" t="s">
        <v>221</v>
      </c>
      <c r="E201" s="172">
        <v>2.1799423792481101E-4</v>
      </c>
      <c r="F201" s="172">
        <v>99</v>
      </c>
      <c r="G201" s="172">
        <v>28</v>
      </c>
      <c r="H201" s="172">
        <v>0</v>
      </c>
      <c r="I201" s="172">
        <v>18</v>
      </c>
    </row>
    <row r="202" spans="2:9" hidden="1" x14ac:dyDescent="0.3">
      <c r="B202" s="172" t="s">
        <v>39</v>
      </c>
      <c r="C202" s="172" t="s">
        <v>81</v>
      </c>
      <c r="D202" s="172" t="s">
        <v>218</v>
      </c>
      <c r="E202" s="172">
        <v>1.90351740917717E-4</v>
      </c>
      <c r="F202" s="172">
        <v>92</v>
      </c>
      <c r="G202" s="172">
        <v>-0.25</v>
      </c>
      <c r="H202" s="172">
        <v>-0.25</v>
      </c>
      <c r="I202" s="172">
        <v>18</v>
      </c>
    </row>
    <row r="203" spans="2:9" hidden="1" x14ac:dyDescent="0.3">
      <c r="B203" s="172" t="s">
        <v>39</v>
      </c>
      <c r="C203" s="172" t="s">
        <v>81</v>
      </c>
      <c r="D203" s="172" t="s">
        <v>221</v>
      </c>
      <c r="E203" s="172">
        <v>1.0823255338901999E-3</v>
      </c>
      <c r="F203" s="172">
        <v>99</v>
      </c>
      <c r="G203" s="172">
        <v>28</v>
      </c>
      <c r="H203" s="172">
        <v>0</v>
      </c>
      <c r="I203" s="172">
        <v>18</v>
      </c>
    </row>
    <row r="204" spans="2:9" hidden="1" x14ac:dyDescent="0.3">
      <c r="B204" s="172" t="s">
        <v>39</v>
      </c>
      <c r="C204" s="172" t="s">
        <v>82</v>
      </c>
      <c r="D204" s="172" t="s">
        <v>218</v>
      </c>
      <c r="E204" s="172">
        <v>3.1249211435627899E-4</v>
      </c>
      <c r="F204" s="172">
        <v>91</v>
      </c>
      <c r="G204" s="172">
        <v>23.25</v>
      </c>
      <c r="H204" s="172">
        <v>31.25</v>
      </c>
      <c r="I204" s="172">
        <v>18</v>
      </c>
    </row>
    <row r="205" spans="2:9" hidden="1" x14ac:dyDescent="0.3">
      <c r="B205" s="172" t="s">
        <v>39</v>
      </c>
      <c r="C205" s="172" t="s">
        <v>82</v>
      </c>
      <c r="D205" s="172" t="s">
        <v>221</v>
      </c>
      <c r="E205" s="172">
        <v>1.16728632737566E-3</v>
      </c>
      <c r="F205" s="172">
        <v>92</v>
      </c>
      <c r="G205" s="172">
        <v>-0.25</v>
      </c>
      <c r="H205" s="172">
        <v>-0.25</v>
      </c>
      <c r="I205" s="172">
        <v>18</v>
      </c>
    </row>
    <row r="206" spans="2:9" hidden="1" x14ac:dyDescent="0.3">
      <c r="B206" s="172" t="s">
        <v>39</v>
      </c>
      <c r="C206" s="172" t="s">
        <v>246</v>
      </c>
      <c r="D206" s="172" t="s">
        <v>218</v>
      </c>
      <c r="E206" s="172">
        <v>2.4749411700441201E-5</v>
      </c>
      <c r="F206" s="172">
        <v>92</v>
      </c>
      <c r="G206" s="172">
        <v>-0.25</v>
      </c>
      <c r="H206" s="172">
        <v>-0.25</v>
      </c>
      <c r="I206" s="172">
        <v>18</v>
      </c>
    </row>
    <row r="207" spans="2:9" hidden="1" x14ac:dyDescent="0.3">
      <c r="B207" s="172" t="s">
        <v>39</v>
      </c>
      <c r="C207" s="172" t="s">
        <v>246</v>
      </c>
      <c r="D207" s="172" t="s">
        <v>221</v>
      </c>
      <c r="E207" s="172">
        <v>1.78875140668687E-5</v>
      </c>
      <c r="F207" s="172">
        <v>92</v>
      </c>
      <c r="G207" s="172">
        <v>-0.25</v>
      </c>
      <c r="H207" s="172">
        <v>-0.25</v>
      </c>
      <c r="I207" s="172">
        <v>18</v>
      </c>
    </row>
    <row r="208" spans="2:9" hidden="1" x14ac:dyDescent="0.3">
      <c r="B208" s="172" t="s">
        <v>26</v>
      </c>
      <c r="C208" s="172" t="s">
        <v>79</v>
      </c>
      <c r="D208" s="172" t="s">
        <v>218</v>
      </c>
      <c r="E208" s="172">
        <v>1.0855662623775999E-3</v>
      </c>
      <c r="F208" s="172">
        <v>91</v>
      </c>
      <c r="G208" s="172">
        <v>23.25</v>
      </c>
      <c r="H208" s="172">
        <v>31.25</v>
      </c>
      <c r="I208" s="172">
        <v>14.5</v>
      </c>
    </row>
    <row r="209" spans="2:9" hidden="1" x14ac:dyDescent="0.3">
      <c r="B209" s="172" t="s">
        <v>26</v>
      </c>
      <c r="C209" s="172" t="s">
        <v>79</v>
      </c>
      <c r="D209" s="172" t="s">
        <v>221</v>
      </c>
      <c r="E209" s="172">
        <v>3.3350692522702202E-4</v>
      </c>
      <c r="F209" s="172">
        <v>92</v>
      </c>
      <c r="G209" s="172">
        <v>-0.25</v>
      </c>
      <c r="H209" s="172">
        <v>-0.25</v>
      </c>
      <c r="I209" s="172">
        <v>14.5</v>
      </c>
    </row>
    <row r="210" spans="2:9" x14ac:dyDescent="0.3">
      <c r="B210" s="172" t="s">
        <v>26</v>
      </c>
      <c r="C210" s="172" t="s">
        <v>80</v>
      </c>
      <c r="D210" s="172" t="s">
        <v>218</v>
      </c>
      <c r="E210" s="172">
        <v>9.1538424002186901E-4</v>
      </c>
      <c r="F210" s="172">
        <v>92</v>
      </c>
      <c r="G210" s="172">
        <v>-0.25</v>
      </c>
      <c r="H210" s="172">
        <v>-0.25</v>
      </c>
      <c r="I210" s="172">
        <v>14.5</v>
      </c>
    </row>
    <row r="211" spans="2:9" hidden="1" x14ac:dyDescent="0.3">
      <c r="B211" s="172" t="s">
        <v>26</v>
      </c>
      <c r="C211" s="172" t="s">
        <v>80</v>
      </c>
      <c r="D211" s="172" t="s">
        <v>221</v>
      </c>
      <c r="E211" s="172">
        <v>2.09527031242385E-4</v>
      </c>
      <c r="F211" s="172">
        <v>99</v>
      </c>
      <c r="G211" s="172">
        <v>28</v>
      </c>
      <c r="H211" s="172">
        <v>0</v>
      </c>
      <c r="I211" s="172">
        <v>14.5</v>
      </c>
    </row>
    <row r="212" spans="2:9" hidden="1" x14ac:dyDescent="0.3">
      <c r="B212" s="172" t="s">
        <v>26</v>
      </c>
      <c r="C212" s="172" t="s">
        <v>81</v>
      </c>
      <c r="D212" s="172" t="s">
        <v>218</v>
      </c>
      <c r="E212" s="172">
        <v>1.8099847131853401E-4</v>
      </c>
      <c r="F212" s="172">
        <v>92</v>
      </c>
      <c r="G212" s="172">
        <v>-0.25</v>
      </c>
      <c r="H212" s="172">
        <v>-0.25</v>
      </c>
      <c r="I212" s="172">
        <v>14.5</v>
      </c>
    </row>
    <row r="213" spans="2:9" hidden="1" x14ac:dyDescent="0.3">
      <c r="B213" s="172" t="s">
        <v>26</v>
      </c>
      <c r="C213" s="172" t="s">
        <v>81</v>
      </c>
      <c r="D213" s="172" t="s">
        <v>221</v>
      </c>
      <c r="E213" s="172">
        <v>1.1016076125305099E-3</v>
      </c>
      <c r="F213" s="172">
        <v>99</v>
      </c>
      <c r="G213" s="172">
        <v>28</v>
      </c>
      <c r="H213" s="172">
        <v>0</v>
      </c>
      <c r="I213" s="172">
        <v>14.5</v>
      </c>
    </row>
    <row r="214" spans="2:9" hidden="1" x14ac:dyDescent="0.3">
      <c r="B214" s="172" t="s">
        <v>26</v>
      </c>
      <c r="C214" s="172" t="s">
        <v>82</v>
      </c>
      <c r="D214" s="172" t="s">
        <v>218</v>
      </c>
      <c r="E214" s="172">
        <v>3.24175038259449E-4</v>
      </c>
      <c r="F214" s="172">
        <v>91</v>
      </c>
      <c r="G214" s="172">
        <v>23.25</v>
      </c>
      <c r="H214" s="172">
        <v>31.25</v>
      </c>
      <c r="I214" s="172">
        <v>14.5</v>
      </c>
    </row>
    <row r="215" spans="2:9" hidden="1" x14ac:dyDescent="0.3">
      <c r="B215" s="172" t="s">
        <v>26</v>
      </c>
      <c r="C215" s="172" t="s">
        <v>82</v>
      </c>
      <c r="D215" s="172" t="s">
        <v>221</v>
      </c>
      <c r="E215" s="172">
        <v>1.2056802204837699E-3</v>
      </c>
      <c r="F215" s="172">
        <v>92</v>
      </c>
      <c r="G215" s="172">
        <v>-0.25</v>
      </c>
      <c r="H215" s="172">
        <v>-0.25</v>
      </c>
      <c r="I215" s="172">
        <v>14.5</v>
      </c>
    </row>
    <row r="216" spans="2:9" hidden="1" x14ac:dyDescent="0.3">
      <c r="B216" s="172" t="s">
        <v>26</v>
      </c>
      <c r="C216" s="172" t="s">
        <v>246</v>
      </c>
      <c r="D216" s="172" t="s">
        <v>218</v>
      </c>
      <c r="E216" s="172">
        <v>2.7234705754276499E-5</v>
      </c>
      <c r="F216" s="172">
        <v>92</v>
      </c>
      <c r="G216" s="172">
        <v>-0.25</v>
      </c>
      <c r="H216" s="172">
        <v>-0.25</v>
      </c>
      <c r="I216" s="172">
        <v>14.5</v>
      </c>
    </row>
    <row r="217" spans="2:9" hidden="1" x14ac:dyDescent="0.3">
      <c r="B217" s="172" t="s">
        <v>26</v>
      </c>
      <c r="C217" s="172" t="s">
        <v>246</v>
      </c>
      <c r="D217" s="172" t="s">
        <v>221</v>
      </c>
      <c r="E217" s="172">
        <v>1.7888320595816301E-5</v>
      </c>
      <c r="F217" s="172">
        <v>87</v>
      </c>
      <c r="G217" s="172">
        <v>-0.25</v>
      </c>
      <c r="H217" s="172">
        <v>31.25</v>
      </c>
      <c r="I217" s="172">
        <v>14.5</v>
      </c>
    </row>
    <row r="218" spans="2:9" hidden="1" x14ac:dyDescent="0.3">
      <c r="B218" s="172" t="s">
        <v>25</v>
      </c>
      <c r="C218" s="172" t="s">
        <v>79</v>
      </c>
      <c r="D218" s="172" t="s">
        <v>218</v>
      </c>
      <c r="E218" s="172">
        <v>1.13948928090594E-3</v>
      </c>
      <c r="F218" s="172">
        <v>91</v>
      </c>
      <c r="G218" s="172">
        <v>23.25</v>
      </c>
      <c r="H218" s="172">
        <v>31.25</v>
      </c>
      <c r="I218" s="172">
        <v>11</v>
      </c>
    </row>
    <row r="219" spans="2:9" hidden="1" x14ac:dyDescent="0.3">
      <c r="B219" s="172" t="s">
        <v>25</v>
      </c>
      <c r="C219" s="172" t="s">
        <v>79</v>
      </c>
      <c r="D219" s="172" t="s">
        <v>221</v>
      </c>
      <c r="E219" s="172">
        <v>3.55724381403451E-4</v>
      </c>
      <c r="F219" s="172">
        <v>87</v>
      </c>
      <c r="G219" s="172">
        <v>-0.25</v>
      </c>
      <c r="H219" s="172">
        <v>31.25</v>
      </c>
      <c r="I219" s="172">
        <v>11</v>
      </c>
    </row>
    <row r="220" spans="2:9" x14ac:dyDescent="0.3">
      <c r="B220" s="172" t="s">
        <v>25</v>
      </c>
      <c r="C220" s="172" t="s">
        <v>80</v>
      </c>
      <c r="D220" s="172" t="s">
        <v>218</v>
      </c>
      <c r="E220" s="172">
        <v>9.3374713375722802E-4</v>
      </c>
      <c r="F220" s="172">
        <v>92</v>
      </c>
      <c r="G220" s="172">
        <v>-0.25</v>
      </c>
      <c r="H220" s="172">
        <v>-0.25</v>
      </c>
      <c r="I220" s="172">
        <v>11</v>
      </c>
    </row>
    <row r="221" spans="2:9" hidden="1" x14ac:dyDescent="0.3">
      <c r="B221" s="172" t="s">
        <v>25</v>
      </c>
      <c r="C221" s="172" t="s">
        <v>80</v>
      </c>
      <c r="D221" s="172" t="s">
        <v>221</v>
      </c>
      <c r="E221" s="172">
        <v>1.9962397217465299E-4</v>
      </c>
      <c r="F221" s="172">
        <v>99</v>
      </c>
      <c r="G221" s="172">
        <v>28</v>
      </c>
      <c r="H221" s="172">
        <v>0</v>
      </c>
      <c r="I221" s="172">
        <v>11</v>
      </c>
    </row>
    <row r="222" spans="2:9" hidden="1" x14ac:dyDescent="0.3">
      <c r="B222" s="172" t="s">
        <v>25</v>
      </c>
      <c r="C222" s="172" t="s">
        <v>81</v>
      </c>
      <c r="D222" s="172" t="s">
        <v>218</v>
      </c>
      <c r="E222" s="172">
        <v>1.6971861856240699E-4</v>
      </c>
      <c r="F222" s="172">
        <v>92</v>
      </c>
      <c r="G222" s="172">
        <v>-0.25</v>
      </c>
      <c r="H222" s="172">
        <v>-0.25</v>
      </c>
      <c r="I222" s="172">
        <v>11</v>
      </c>
    </row>
    <row r="223" spans="2:9" hidden="1" x14ac:dyDescent="0.3">
      <c r="B223" s="172" t="s">
        <v>25</v>
      </c>
      <c r="C223" s="172" t="s">
        <v>81</v>
      </c>
      <c r="D223" s="172" t="s">
        <v>221</v>
      </c>
      <c r="E223" s="172">
        <v>1.1240208621179999E-3</v>
      </c>
      <c r="F223" s="172">
        <v>99</v>
      </c>
      <c r="G223" s="172">
        <v>28</v>
      </c>
      <c r="H223" s="172">
        <v>0</v>
      </c>
      <c r="I223" s="172">
        <v>11</v>
      </c>
    </row>
    <row r="224" spans="2:9" hidden="1" x14ac:dyDescent="0.3">
      <c r="B224" s="172" t="s">
        <v>25</v>
      </c>
      <c r="C224" s="172" t="s">
        <v>82</v>
      </c>
      <c r="D224" s="172" t="s">
        <v>218</v>
      </c>
      <c r="E224" s="172">
        <v>3.5304556282867399E-4</v>
      </c>
      <c r="F224" s="172">
        <v>91</v>
      </c>
      <c r="G224" s="172">
        <v>23.25</v>
      </c>
      <c r="H224" s="172">
        <v>31.25</v>
      </c>
      <c r="I224" s="172">
        <v>11</v>
      </c>
    </row>
    <row r="225" spans="2:9" hidden="1" x14ac:dyDescent="0.3">
      <c r="B225" s="172" t="s">
        <v>25</v>
      </c>
      <c r="C225" s="172" t="s">
        <v>82</v>
      </c>
      <c r="D225" s="172" t="s">
        <v>221</v>
      </c>
      <c r="E225" s="172">
        <v>1.2642984176418799E-3</v>
      </c>
      <c r="F225" s="172">
        <v>92</v>
      </c>
      <c r="G225" s="172">
        <v>-0.25</v>
      </c>
      <c r="H225" s="172">
        <v>-0.25</v>
      </c>
      <c r="I225" s="172">
        <v>11</v>
      </c>
    </row>
    <row r="226" spans="2:9" hidden="1" x14ac:dyDescent="0.3">
      <c r="B226" s="172" t="s">
        <v>25</v>
      </c>
      <c r="C226" s="172" t="s">
        <v>246</v>
      </c>
      <c r="D226" s="172" t="s">
        <v>218</v>
      </c>
      <c r="E226" s="172">
        <v>2.6572622727668099E-5</v>
      </c>
      <c r="F226" s="172">
        <v>92</v>
      </c>
      <c r="G226" s="172">
        <v>-0.25</v>
      </c>
      <c r="H226" s="172">
        <v>-0.25</v>
      </c>
      <c r="I226" s="172">
        <v>11</v>
      </c>
    </row>
    <row r="227" spans="2:9" s="172" customFormat="1" hidden="1" x14ac:dyDescent="0.3">
      <c r="B227" s="172" t="s">
        <v>25</v>
      </c>
      <c r="C227" s="172" t="s">
        <v>246</v>
      </c>
      <c r="D227" s="172" t="s">
        <v>221</v>
      </c>
      <c r="E227" s="172">
        <v>1.62181753634093E-5</v>
      </c>
      <c r="F227" s="172">
        <v>92</v>
      </c>
      <c r="G227" s="172">
        <v>-0.25</v>
      </c>
      <c r="H227" s="172">
        <v>-0.25</v>
      </c>
      <c r="I227" s="172">
        <v>11</v>
      </c>
    </row>
    <row r="228" spans="2:9" hidden="1" x14ac:dyDescent="0.3">
      <c r="B228" s="172" t="s">
        <v>24</v>
      </c>
      <c r="C228" s="172" t="s">
        <v>79</v>
      </c>
      <c r="D228" s="172" t="s">
        <v>218</v>
      </c>
      <c r="E228" s="172">
        <v>1.1512408005055E-3</v>
      </c>
      <c r="F228" s="172">
        <v>91</v>
      </c>
      <c r="G228" s="172">
        <v>23.25</v>
      </c>
      <c r="H228" s="172">
        <v>31.25</v>
      </c>
      <c r="I228" s="172">
        <v>7.5</v>
      </c>
    </row>
    <row r="229" spans="2:9" hidden="1" x14ac:dyDescent="0.3">
      <c r="B229" s="172" t="s">
        <v>24</v>
      </c>
      <c r="C229" s="172" t="s">
        <v>79</v>
      </c>
      <c r="D229" s="172" t="s">
        <v>221</v>
      </c>
      <c r="E229" s="172">
        <v>3.6059100601911202E-4</v>
      </c>
      <c r="F229" s="172">
        <v>92</v>
      </c>
      <c r="G229" s="172">
        <v>-0.25</v>
      </c>
      <c r="H229" s="172">
        <v>-0.25</v>
      </c>
      <c r="I229" s="172">
        <v>7.5</v>
      </c>
    </row>
    <row r="230" spans="2:9" s="172" customFormat="1" x14ac:dyDescent="0.3">
      <c r="B230" s="172" t="s">
        <v>24</v>
      </c>
      <c r="C230" s="172" t="s">
        <v>80</v>
      </c>
      <c r="D230" s="172" t="s">
        <v>218</v>
      </c>
      <c r="E230" s="172">
        <v>9.2765345707100904E-4</v>
      </c>
      <c r="F230" s="172">
        <v>91</v>
      </c>
      <c r="G230" s="172">
        <v>23.25</v>
      </c>
      <c r="H230" s="172">
        <v>31.25</v>
      </c>
      <c r="I230" s="172">
        <v>7.5</v>
      </c>
    </row>
    <row r="231" spans="2:9" hidden="1" x14ac:dyDescent="0.3">
      <c r="B231" s="172" t="s">
        <v>24</v>
      </c>
      <c r="C231" s="172" t="s">
        <v>80</v>
      </c>
      <c r="D231" s="172" t="s">
        <v>221</v>
      </c>
      <c r="E231" s="172">
        <v>1.86974704028337E-4</v>
      </c>
      <c r="F231" s="172">
        <v>92</v>
      </c>
      <c r="G231" s="172">
        <v>-0.25</v>
      </c>
      <c r="H231" s="172">
        <v>-0.25</v>
      </c>
      <c r="I231" s="172">
        <v>7.5</v>
      </c>
    </row>
    <row r="232" spans="2:9" hidden="1" x14ac:dyDescent="0.3">
      <c r="B232" s="172" t="s">
        <v>24</v>
      </c>
      <c r="C232" s="172" t="s">
        <v>81</v>
      </c>
      <c r="D232" s="172" t="s">
        <v>218</v>
      </c>
      <c r="E232" s="172">
        <v>1.77647662929165E-4</v>
      </c>
      <c r="F232" s="172">
        <v>91</v>
      </c>
      <c r="G232" s="172">
        <v>23.25</v>
      </c>
      <c r="H232" s="172">
        <v>31.25</v>
      </c>
      <c r="I232" s="172">
        <v>7.5</v>
      </c>
    </row>
    <row r="233" spans="2:9" s="172" customFormat="1" hidden="1" x14ac:dyDescent="0.3">
      <c r="B233" s="172" t="s">
        <v>24</v>
      </c>
      <c r="C233" s="172" t="s">
        <v>81</v>
      </c>
      <c r="D233" s="172" t="s">
        <v>221</v>
      </c>
      <c r="E233" s="172">
        <v>1.11765084948974E-3</v>
      </c>
      <c r="F233" s="172">
        <v>92</v>
      </c>
      <c r="G233" s="172">
        <v>-0.25</v>
      </c>
      <c r="H233" s="172">
        <v>-0.25</v>
      </c>
      <c r="I233" s="172">
        <v>7.5</v>
      </c>
    </row>
    <row r="234" spans="2:9" hidden="1" x14ac:dyDescent="0.3">
      <c r="B234" s="172" t="s">
        <v>24</v>
      </c>
      <c r="C234" s="172" t="s">
        <v>82</v>
      </c>
      <c r="D234" s="172" t="s">
        <v>218</v>
      </c>
      <c r="E234" s="172">
        <v>3.6748715035701899E-4</v>
      </c>
      <c r="F234" s="172">
        <v>91</v>
      </c>
      <c r="G234" s="172">
        <v>23.25</v>
      </c>
      <c r="H234" s="172">
        <v>31.25</v>
      </c>
      <c r="I234" s="172">
        <v>7.5</v>
      </c>
    </row>
    <row r="235" spans="2:9" hidden="1" x14ac:dyDescent="0.3">
      <c r="B235" s="172" t="s">
        <v>24</v>
      </c>
      <c r="C235" s="172" t="s">
        <v>82</v>
      </c>
      <c r="D235" s="172" t="s">
        <v>221</v>
      </c>
      <c r="E235" s="172">
        <v>1.26505291513001E-3</v>
      </c>
      <c r="F235" s="172">
        <v>92</v>
      </c>
      <c r="G235" s="172">
        <v>-0.25</v>
      </c>
      <c r="H235" s="172">
        <v>-0.25</v>
      </c>
      <c r="I235" s="172">
        <v>7.5</v>
      </c>
    </row>
    <row r="236" spans="2:9" s="172" customFormat="1" hidden="1" x14ac:dyDescent="0.3">
      <c r="B236" s="172" t="s">
        <v>24</v>
      </c>
      <c r="C236" s="172" t="s">
        <v>246</v>
      </c>
      <c r="D236" s="172" t="s">
        <v>218</v>
      </c>
      <c r="E236" s="172">
        <v>2.7569086337595201E-5</v>
      </c>
      <c r="F236" s="172">
        <v>92</v>
      </c>
      <c r="G236" s="172">
        <v>-0.25</v>
      </c>
      <c r="H236" s="172">
        <v>-0.25</v>
      </c>
      <c r="I236" s="172">
        <v>7.5</v>
      </c>
    </row>
    <row r="237" spans="2:9" hidden="1" x14ac:dyDescent="0.3">
      <c r="B237" s="172" t="s">
        <v>24</v>
      </c>
      <c r="C237" s="172" t="s">
        <v>246</v>
      </c>
      <c r="D237" s="172" t="s">
        <v>221</v>
      </c>
      <c r="E237" s="172">
        <v>1.5444593432413601E-5</v>
      </c>
      <c r="F237" s="172">
        <v>87</v>
      </c>
      <c r="G237" s="172">
        <v>-0.25</v>
      </c>
      <c r="H237" s="172">
        <v>31.25</v>
      </c>
      <c r="I237" s="172">
        <v>7.5</v>
      </c>
    </row>
    <row r="238" spans="2:9" hidden="1" x14ac:dyDescent="0.3">
      <c r="B238" s="172" t="s">
        <v>22</v>
      </c>
      <c r="C238" s="172" t="s">
        <v>79</v>
      </c>
      <c r="D238" s="172" t="s">
        <v>218</v>
      </c>
      <c r="E238" s="172">
        <v>8.3850617938885797E-4</v>
      </c>
      <c r="F238" s="172">
        <v>28</v>
      </c>
      <c r="G238" s="172">
        <v>19</v>
      </c>
      <c r="H238" s="172">
        <v>31</v>
      </c>
      <c r="I238" s="172">
        <v>4</v>
      </c>
    </row>
    <row r="239" spans="2:9" s="172" customFormat="1" hidden="1" x14ac:dyDescent="0.3">
      <c r="B239" s="172" t="s">
        <v>22</v>
      </c>
      <c r="C239" s="172" t="s">
        <v>79</v>
      </c>
      <c r="D239" s="172" t="s">
        <v>221</v>
      </c>
      <c r="E239" s="172">
        <v>2.44197085888073E-4</v>
      </c>
      <c r="F239" s="172">
        <v>32</v>
      </c>
      <c r="G239" s="172">
        <v>0</v>
      </c>
      <c r="H239" s="172">
        <v>25</v>
      </c>
      <c r="I239" s="172">
        <v>4</v>
      </c>
    </row>
    <row r="240" spans="2:9" x14ac:dyDescent="0.3">
      <c r="B240" s="172" t="s">
        <v>22</v>
      </c>
      <c r="C240" s="172" t="s">
        <v>80</v>
      </c>
      <c r="D240" s="172" t="s">
        <v>218</v>
      </c>
      <c r="E240" s="172">
        <v>7.0979242481069595E-4</v>
      </c>
      <c r="F240" s="172">
        <v>99</v>
      </c>
      <c r="G240" s="172">
        <v>28</v>
      </c>
      <c r="H240" s="172">
        <v>0</v>
      </c>
      <c r="I240" s="172">
        <v>4</v>
      </c>
    </row>
    <row r="241" spans="2:9" hidden="1" x14ac:dyDescent="0.3">
      <c r="B241" s="172" t="s">
        <v>22</v>
      </c>
      <c r="C241" s="172" t="s">
        <v>80</v>
      </c>
      <c r="D241" s="172" t="s">
        <v>221</v>
      </c>
      <c r="E241" s="172">
        <v>1.4868100259096001E-4</v>
      </c>
      <c r="F241" s="172">
        <v>99</v>
      </c>
      <c r="G241" s="172">
        <v>28</v>
      </c>
      <c r="H241" s="172">
        <v>0</v>
      </c>
      <c r="I241" s="172">
        <v>4</v>
      </c>
    </row>
    <row r="242" spans="2:9" s="172" customFormat="1" hidden="1" x14ac:dyDescent="0.3">
      <c r="B242" s="172" t="s">
        <v>22</v>
      </c>
      <c r="C242" s="172" t="s">
        <v>81</v>
      </c>
      <c r="D242" s="172" t="s">
        <v>218</v>
      </c>
      <c r="E242" s="172">
        <v>1.3122735840076101E-4</v>
      </c>
      <c r="F242" s="172">
        <v>99</v>
      </c>
      <c r="G242" s="172">
        <v>28</v>
      </c>
      <c r="H242" s="172">
        <v>0</v>
      </c>
      <c r="I242" s="172">
        <v>4</v>
      </c>
    </row>
    <row r="243" spans="2:9" hidden="1" x14ac:dyDescent="0.3">
      <c r="B243" s="172" t="s">
        <v>22</v>
      </c>
      <c r="C243" s="172" t="s">
        <v>81</v>
      </c>
      <c r="D243" s="172" t="s">
        <v>221</v>
      </c>
      <c r="E243" s="172">
        <v>7.7467505643268703E-4</v>
      </c>
      <c r="F243" s="172">
        <v>99</v>
      </c>
      <c r="G243" s="172">
        <v>28</v>
      </c>
      <c r="H243" s="172">
        <v>0</v>
      </c>
      <c r="I243" s="172">
        <v>4</v>
      </c>
    </row>
    <row r="244" spans="2:9" hidden="1" x14ac:dyDescent="0.3">
      <c r="B244" s="172" t="s">
        <v>22</v>
      </c>
      <c r="C244" s="172" t="s">
        <v>82</v>
      </c>
      <c r="D244" s="172" t="s">
        <v>218</v>
      </c>
      <c r="E244" s="172">
        <v>2.6474792963288702E-4</v>
      </c>
      <c r="F244" s="172">
        <v>28</v>
      </c>
      <c r="G244" s="172">
        <v>19</v>
      </c>
      <c r="H244" s="172">
        <v>31</v>
      </c>
      <c r="I244" s="172">
        <v>4</v>
      </c>
    </row>
    <row r="245" spans="2:9" hidden="1" x14ac:dyDescent="0.3">
      <c r="B245" s="172" t="s">
        <v>22</v>
      </c>
      <c r="C245" s="172" t="s">
        <v>82</v>
      </c>
      <c r="D245" s="172" t="s">
        <v>221</v>
      </c>
      <c r="E245" s="172">
        <v>8.7766444806685099E-4</v>
      </c>
      <c r="F245" s="172">
        <v>32</v>
      </c>
      <c r="G245" s="172">
        <v>0</v>
      </c>
      <c r="H245" s="172">
        <v>25</v>
      </c>
      <c r="I245" s="172">
        <v>4</v>
      </c>
    </row>
    <row r="246" spans="2:9" hidden="1" x14ac:dyDescent="0.3">
      <c r="B246" s="172" t="s">
        <v>22</v>
      </c>
      <c r="C246" s="172" t="s">
        <v>246</v>
      </c>
      <c r="D246" s="172" t="s">
        <v>218</v>
      </c>
      <c r="E246" s="172">
        <v>2.9128190600000799E-5</v>
      </c>
      <c r="F246" s="172">
        <v>99</v>
      </c>
      <c r="G246" s="172">
        <v>28</v>
      </c>
      <c r="H246" s="172">
        <v>0</v>
      </c>
      <c r="I246" s="172">
        <v>4</v>
      </c>
    </row>
    <row r="247" spans="2:9" hidden="1" x14ac:dyDescent="0.3">
      <c r="B247" s="172" t="s">
        <v>22</v>
      </c>
      <c r="C247" s="172" t="s">
        <v>246</v>
      </c>
      <c r="D247" s="172" t="s">
        <v>221</v>
      </c>
      <c r="E247" s="172">
        <v>1.51298306124447E-5</v>
      </c>
      <c r="F247" s="172">
        <v>32</v>
      </c>
      <c r="G247" s="172">
        <v>0</v>
      </c>
      <c r="H247" s="172">
        <v>25</v>
      </c>
      <c r="I247" s="172">
        <v>4</v>
      </c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3.8207061180634602E-4</v>
      </c>
      <c r="F270" s="172">
        <v>85</v>
      </c>
      <c r="G270" s="172">
        <v>28</v>
      </c>
      <c r="H270" s="172">
        <v>4</v>
      </c>
      <c r="I270" s="172">
        <v>38.5</v>
      </c>
    </row>
    <row r="271" spans="2:9" hidden="1" x14ac:dyDescent="0.3">
      <c r="B271" s="172" t="s">
        <v>189</v>
      </c>
      <c r="C271" s="172" t="s">
        <v>79</v>
      </c>
      <c r="D271" s="172" t="s">
        <v>221</v>
      </c>
      <c r="E271" s="172">
        <v>1.16945149975126E-4</v>
      </c>
      <c r="F271" s="172">
        <v>20</v>
      </c>
      <c r="G271" s="172">
        <v>23</v>
      </c>
      <c r="H271" s="172">
        <v>0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218</v>
      </c>
      <c r="E272" s="172">
        <v>4.3829969857038498E-4</v>
      </c>
      <c r="F272" s="172">
        <v>20</v>
      </c>
      <c r="G272" s="172">
        <v>23</v>
      </c>
      <c r="H272" s="172">
        <v>0</v>
      </c>
      <c r="I272" s="172">
        <v>38.5</v>
      </c>
    </row>
    <row r="273" spans="2:9" hidden="1" x14ac:dyDescent="0.3">
      <c r="B273" s="172" t="s">
        <v>189</v>
      </c>
      <c r="C273" s="172" t="s">
        <v>80</v>
      </c>
      <c r="D273" s="172" t="s">
        <v>221</v>
      </c>
      <c r="E273" s="172">
        <v>1.8740596107842E-4</v>
      </c>
      <c r="F273" s="172">
        <v>99</v>
      </c>
      <c r="G273" s="172">
        <v>28</v>
      </c>
      <c r="H273" s="172">
        <v>0</v>
      </c>
      <c r="I273" s="172">
        <v>38.5</v>
      </c>
    </row>
    <row r="274" spans="2:9" hidden="1" x14ac:dyDescent="0.3">
      <c r="B274" s="172" t="s">
        <v>189</v>
      </c>
      <c r="C274" s="172" t="s">
        <v>81</v>
      </c>
      <c r="D274" s="172" t="s">
        <v>218</v>
      </c>
      <c r="E274" s="172">
        <v>1.60377763615331E-4</v>
      </c>
      <c r="F274" s="172">
        <v>20</v>
      </c>
      <c r="G274" s="172">
        <v>23</v>
      </c>
      <c r="H274" s="172">
        <v>0</v>
      </c>
      <c r="I274" s="172">
        <v>38.5</v>
      </c>
    </row>
    <row r="275" spans="2:9" x14ac:dyDescent="0.3">
      <c r="B275" s="172" t="s">
        <v>189</v>
      </c>
      <c r="C275" s="172" t="s">
        <v>81</v>
      </c>
      <c r="D275" s="172" t="s">
        <v>221</v>
      </c>
      <c r="E275" s="172">
        <v>5.5490894406670405E-4</v>
      </c>
      <c r="F275" s="172">
        <v>99</v>
      </c>
      <c r="G275" s="172">
        <v>28</v>
      </c>
      <c r="H275" s="172">
        <v>0</v>
      </c>
      <c r="I275" s="172">
        <v>38.5</v>
      </c>
    </row>
    <row r="276" spans="2:9" hidden="1" x14ac:dyDescent="0.3">
      <c r="B276" s="172" t="s">
        <v>189</v>
      </c>
      <c r="C276" s="172" t="s">
        <v>82</v>
      </c>
      <c r="D276" s="172" t="s">
        <v>218</v>
      </c>
      <c r="E276" s="172">
        <v>1.03135048649422E-4</v>
      </c>
      <c r="F276" s="172">
        <v>20</v>
      </c>
      <c r="G276" s="172">
        <v>23</v>
      </c>
      <c r="H276" s="172">
        <v>0</v>
      </c>
      <c r="I276" s="172">
        <v>38.5</v>
      </c>
    </row>
    <row r="277" spans="2:9" hidden="1" x14ac:dyDescent="0.3">
      <c r="B277" s="172" t="s">
        <v>189</v>
      </c>
      <c r="C277" s="172" t="s">
        <v>82</v>
      </c>
      <c r="D277" s="172" t="s">
        <v>221</v>
      </c>
      <c r="E277" s="172">
        <v>4.8224636836621598E-4</v>
      </c>
      <c r="F277" s="172">
        <v>99</v>
      </c>
      <c r="G277" s="172">
        <v>28</v>
      </c>
      <c r="H277" s="172">
        <v>0</v>
      </c>
      <c r="I277" s="172">
        <v>38.5</v>
      </c>
    </row>
    <row r="278" spans="2:9" hidden="1" x14ac:dyDescent="0.3">
      <c r="B278" s="172" t="s">
        <v>189</v>
      </c>
      <c r="C278" s="172" t="s">
        <v>246</v>
      </c>
      <c r="D278" s="172" t="s">
        <v>218</v>
      </c>
      <c r="E278" s="172">
        <v>1.7362720787156199E-5</v>
      </c>
      <c r="F278" s="172">
        <v>85</v>
      </c>
      <c r="G278" s="172">
        <v>28</v>
      </c>
      <c r="H278" s="172">
        <v>4</v>
      </c>
      <c r="I278" s="172">
        <v>38.5</v>
      </c>
    </row>
    <row r="279" spans="2:9" hidden="1" x14ac:dyDescent="0.3">
      <c r="B279" s="172" t="s">
        <v>189</v>
      </c>
      <c r="C279" s="172" t="s">
        <v>246</v>
      </c>
      <c r="D279" s="172" t="s">
        <v>221</v>
      </c>
      <c r="E279" s="172">
        <v>4.1659304099087697E-5</v>
      </c>
      <c r="F279" s="172">
        <v>99</v>
      </c>
      <c r="G279" s="172">
        <v>28</v>
      </c>
      <c r="H279" s="172">
        <v>0</v>
      </c>
      <c r="I279" s="172">
        <v>38.5</v>
      </c>
    </row>
    <row r="280" spans="2:9" hidden="1" x14ac:dyDescent="0.3">
      <c r="B280" s="172" t="s">
        <v>187</v>
      </c>
      <c r="C280" s="172" t="s">
        <v>79</v>
      </c>
      <c r="D280" s="172" t="s">
        <v>218</v>
      </c>
      <c r="E280" s="172">
        <v>3.0686366814808698E-4</v>
      </c>
      <c r="F280" s="172">
        <v>92</v>
      </c>
      <c r="G280" s="172">
        <v>-0.25</v>
      </c>
      <c r="H280" s="172">
        <v>-0.25</v>
      </c>
      <c r="I280" s="172">
        <v>35.5</v>
      </c>
    </row>
    <row r="281" spans="2:9" hidden="1" x14ac:dyDescent="0.3">
      <c r="B281" s="172" t="s">
        <v>187</v>
      </c>
      <c r="C281" s="172" t="s">
        <v>79</v>
      </c>
      <c r="D281" s="172" t="s">
        <v>221</v>
      </c>
      <c r="E281" s="172">
        <v>7.2944893434997695E-5</v>
      </c>
      <c r="F281" s="172">
        <v>85</v>
      </c>
      <c r="G281" s="172">
        <v>28</v>
      </c>
      <c r="H281" s="172">
        <v>4</v>
      </c>
      <c r="I281" s="172">
        <v>35.5</v>
      </c>
    </row>
    <row r="282" spans="2:9" hidden="1" x14ac:dyDescent="0.3">
      <c r="B282" s="172" t="s">
        <v>187</v>
      </c>
      <c r="C282" s="172" t="s">
        <v>80</v>
      </c>
      <c r="D282" s="172" t="s">
        <v>218</v>
      </c>
      <c r="E282" s="172">
        <v>3.7688309989271899E-4</v>
      </c>
      <c r="F282" s="172">
        <v>92</v>
      </c>
      <c r="G282" s="172">
        <v>-0.25</v>
      </c>
      <c r="H282" s="172">
        <v>-0.25</v>
      </c>
      <c r="I282" s="172">
        <v>35.5</v>
      </c>
    </row>
    <row r="283" spans="2:9" hidden="1" x14ac:dyDescent="0.3">
      <c r="B283" s="172" t="s">
        <v>187</v>
      </c>
      <c r="C283" s="172" t="s">
        <v>80</v>
      </c>
      <c r="D283" s="172" t="s">
        <v>221</v>
      </c>
      <c r="E283" s="172">
        <v>1.5072011332964701E-4</v>
      </c>
      <c r="F283" s="172">
        <v>99</v>
      </c>
      <c r="G283" s="172">
        <v>28</v>
      </c>
      <c r="H283" s="172">
        <v>0</v>
      </c>
      <c r="I283" s="172">
        <v>35.5</v>
      </c>
    </row>
    <row r="284" spans="2:9" hidden="1" x14ac:dyDescent="0.3">
      <c r="B284" s="172" t="s">
        <v>187</v>
      </c>
      <c r="C284" s="172" t="s">
        <v>81</v>
      </c>
      <c r="D284" s="172" t="s">
        <v>218</v>
      </c>
      <c r="E284" s="172">
        <v>1.4844713035561599E-4</v>
      </c>
      <c r="F284" s="172">
        <v>92</v>
      </c>
      <c r="G284" s="172">
        <v>-0.25</v>
      </c>
      <c r="H284" s="172">
        <v>-0.25</v>
      </c>
      <c r="I284" s="172">
        <v>35.5</v>
      </c>
    </row>
    <row r="285" spans="2:9" x14ac:dyDescent="0.3">
      <c r="B285" s="172" t="s">
        <v>187</v>
      </c>
      <c r="C285" s="172" t="s">
        <v>81</v>
      </c>
      <c r="D285" s="172" t="s">
        <v>221</v>
      </c>
      <c r="E285" s="172">
        <v>4.45259917196274E-4</v>
      </c>
      <c r="F285" s="172">
        <v>99</v>
      </c>
      <c r="G285" s="172">
        <v>28</v>
      </c>
      <c r="H285" s="172">
        <v>0</v>
      </c>
      <c r="I285" s="172">
        <v>35.5</v>
      </c>
    </row>
    <row r="286" spans="2:9" hidden="1" x14ac:dyDescent="0.3">
      <c r="B286" s="172" t="s">
        <v>187</v>
      </c>
      <c r="C286" s="172" t="s">
        <v>82</v>
      </c>
      <c r="D286" s="172" t="s">
        <v>218</v>
      </c>
      <c r="E286" s="172">
        <v>8.7862149597242397E-5</v>
      </c>
      <c r="F286" s="172">
        <v>92</v>
      </c>
      <c r="G286" s="172">
        <v>-0.25</v>
      </c>
      <c r="H286" s="172">
        <v>-0.25</v>
      </c>
      <c r="I286" s="172">
        <v>35.5</v>
      </c>
    </row>
    <row r="287" spans="2:9" hidden="1" x14ac:dyDescent="0.3">
      <c r="B287" s="172" t="s">
        <v>187</v>
      </c>
      <c r="C287" s="172" t="s">
        <v>82</v>
      </c>
      <c r="D287" s="172" t="s">
        <v>221</v>
      </c>
      <c r="E287" s="172">
        <v>3.7799524830716899E-4</v>
      </c>
      <c r="F287" s="172">
        <v>99</v>
      </c>
      <c r="G287" s="172">
        <v>28</v>
      </c>
      <c r="H287" s="172">
        <v>0</v>
      </c>
      <c r="I287" s="172">
        <v>35.5</v>
      </c>
    </row>
    <row r="288" spans="2:9" hidden="1" x14ac:dyDescent="0.3">
      <c r="B288" s="172" t="s">
        <v>187</v>
      </c>
      <c r="C288" s="172" t="s">
        <v>246</v>
      </c>
      <c r="D288" s="172" t="s">
        <v>218</v>
      </c>
      <c r="E288" s="172">
        <v>2.4909680026354199E-5</v>
      </c>
      <c r="F288" s="172">
        <v>92</v>
      </c>
      <c r="G288" s="172">
        <v>-0.25</v>
      </c>
      <c r="H288" s="172">
        <v>-0.25</v>
      </c>
      <c r="I288" s="172">
        <v>35.5</v>
      </c>
    </row>
    <row r="289" spans="2:9" hidden="1" x14ac:dyDescent="0.3">
      <c r="B289" s="172" t="s">
        <v>187</v>
      </c>
      <c r="C289" s="172" t="s">
        <v>246</v>
      </c>
      <c r="D289" s="172" t="s">
        <v>221</v>
      </c>
      <c r="E289" s="172">
        <v>2.11374724708033E-5</v>
      </c>
      <c r="F289" s="172">
        <v>87</v>
      </c>
      <c r="G289" s="172">
        <v>-0.25</v>
      </c>
      <c r="H289" s="172">
        <v>31.25</v>
      </c>
      <c r="I289" s="172">
        <v>35.5</v>
      </c>
    </row>
    <row r="290" spans="2:9" hidden="1" x14ac:dyDescent="0.3">
      <c r="B290" s="172" t="s">
        <v>185</v>
      </c>
      <c r="C290" s="172" t="s">
        <v>79</v>
      </c>
      <c r="D290" s="172" t="s">
        <v>218</v>
      </c>
      <c r="E290" s="172">
        <v>5.0322344079270595E-4</v>
      </c>
      <c r="F290" s="172">
        <v>91</v>
      </c>
      <c r="G290" s="172">
        <v>23.25</v>
      </c>
      <c r="H290" s="172">
        <v>31.25</v>
      </c>
      <c r="I290" s="172">
        <v>32</v>
      </c>
    </row>
    <row r="291" spans="2:9" hidden="1" x14ac:dyDescent="0.3">
      <c r="B291" s="172" t="s">
        <v>185</v>
      </c>
      <c r="C291" s="172" t="s">
        <v>79</v>
      </c>
      <c r="D291" s="172" t="s">
        <v>221</v>
      </c>
      <c r="E291" s="172">
        <v>1.32629207908424E-4</v>
      </c>
      <c r="F291" s="172">
        <v>92</v>
      </c>
      <c r="G291" s="172">
        <v>-0.25</v>
      </c>
      <c r="H291" s="172">
        <v>-0.25</v>
      </c>
      <c r="I291" s="172">
        <v>32</v>
      </c>
    </row>
    <row r="292" spans="2:9" hidden="1" x14ac:dyDescent="0.3">
      <c r="B292" s="172" t="s">
        <v>185</v>
      </c>
      <c r="C292" s="172" t="s">
        <v>80</v>
      </c>
      <c r="D292" s="172" t="s">
        <v>218</v>
      </c>
      <c r="E292" s="172">
        <v>5.36912879573582E-4</v>
      </c>
      <c r="F292" s="172">
        <v>92</v>
      </c>
      <c r="G292" s="172">
        <v>-0.25</v>
      </c>
      <c r="H292" s="172">
        <v>-0.25</v>
      </c>
      <c r="I292" s="172">
        <v>32</v>
      </c>
    </row>
    <row r="293" spans="2:9" hidden="1" x14ac:dyDescent="0.3">
      <c r="B293" s="172" t="s">
        <v>185</v>
      </c>
      <c r="C293" s="172" t="s">
        <v>80</v>
      </c>
      <c r="D293" s="172" t="s">
        <v>221</v>
      </c>
      <c r="E293" s="172">
        <v>1.8240422401361001E-4</v>
      </c>
      <c r="F293" s="172">
        <v>99</v>
      </c>
      <c r="G293" s="172">
        <v>28</v>
      </c>
      <c r="H293" s="172">
        <v>0</v>
      </c>
      <c r="I293" s="172">
        <v>32</v>
      </c>
    </row>
    <row r="294" spans="2:9" hidden="1" x14ac:dyDescent="0.3">
      <c r="B294" s="172" t="s">
        <v>185</v>
      </c>
      <c r="C294" s="172" t="s">
        <v>81</v>
      </c>
      <c r="D294" s="172" t="s">
        <v>218</v>
      </c>
      <c r="E294" s="172">
        <v>1.71571538810288E-4</v>
      </c>
      <c r="F294" s="172">
        <v>92</v>
      </c>
      <c r="G294" s="172">
        <v>-0.25</v>
      </c>
      <c r="H294" s="172">
        <v>-0.25</v>
      </c>
      <c r="I294" s="172">
        <v>32</v>
      </c>
    </row>
    <row r="295" spans="2:9" x14ac:dyDescent="0.3">
      <c r="B295" s="172" t="s">
        <v>185</v>
      </c>
      <c r="C295" s="172" t="s">
        <v>81</v>
      </c>
      <c r="D295" s="172" t="s">
        <v>221</v>
      </c>
      <c r="E295" s="172">
        <v>6.3403444750721098E-4</v>
      </c>
      <c r="F295" s="172">
        <v>99</v>
      </c>
      <c r="G295" s="172">
        <v>28</v>
      </c>
      <c r="H295" s="172">
        <v>0</v>
      </c>
      <c r="I295" s="172">
        <v>32</v>
      </c>
    </row>
    <row r="296" spans="2:9" hidden="1" x14ac:dyDescent="0.3">
      <c r="B296" s="172" t="s">
        <v>185</v>
      </c>
      <c r="C296" s="172" t="s">
        <v>82</v>
      </c>
      <c r="D296" s="172" t="s">
        <v>218</v>
      </c>
      <c r="E296" s="172">
        <v>1.07118455930569E-4</v>
      </c>
      <c r="F296" s="172">
        <v>91</v>
      </c>
      <c r="G296" s="172">
        <v>23.25</v>
      </c>
      <c r="H296" s="172">
        <v>31.25</v>
      </c>
      <c r="I296" s="172">
        <v>32</v>
      </c>
    </row>
    <row r="297" spans="2:9" hidden="1" x14ac:dyDescent="0.3">
      <c r="B297" s="172" t="s">
        <v>185</v>
      </c>
      <c r="C297" s="172" t="s">
        <v>82</v>
      </c>
      <c r="D297" s="172" t="s">
        <v>221</v>
      </c>
      <c r="E297" s="172">
        <v>5.5939437054066201E-4</v>
      </c>
      <c r="F297" s="172">
        <v>92</v>
      </c>
      <c r="G297" s="172">
        <v>-0.25</v>
      </c>
      <c r="H297" s="172">
        <v>-0.25</v>
      </c>
      <c r="I297" s="172">
        <v>32</v>
      </c>
    </row>
    <row r="298" spans="2:9" hidden="1" x14ac:dyDescent="0.3">
      <c r="B298" s="172" t="s">
        <v>185</v>
      </c>
      <c r="C298" s="172" t="s">
        <v>246</v>
      </c>
      <c r="D298" s="172" t="s">
        <v>218</v>
      </c>
      <c r="E298" s="172">
        <v>2.4593111051432999E-5</v>
      </c>
      <c r="F298" s="172">
        <v>92</v>
      </c>
      <c r="G298" s="172">
        <v>-0.25</v>
      </c>
      <c r="H298" s="172">
        <v>-0.25</v>
      </c>
      <c r="I298" s="172">
        <v>32</v>
      </c>
    </row>
    <row r="299" spans="2:9" hidden="1" x14ac:dyDescent="0.3">
      <c r="B299" s="172" t="s">
        <v>185</v>
      </c>
      <c r="C299" s="172" t="s">
        <v>246</v>
      </c>
      <c r="D299" s="172" t="s">
        <v>221</v>
      </c>
      <c r="E299" s="172">
        <v>2.0201140714586601E-5</v>
      </c>
      <c r="F299" s="172">
        <v>92</v>
      </c>
      <c r="G299" s="172">
        <v>-0.25</v>
      </c>
      <c r="H299" s="172">
        <v>-0.25</v>
      </c>
      <c r="I299" s="172">
        <v>32</v>
      </c>
    </row>
    <row r="300" spans="2:9" hidden="1" x14ac:dyDescent="0.3">
      <c r="B300" s="172" t="s">
        <v>183</v>
      </c>
      <c r="C300" s="172" t="s">
        <v>79</v>
      </c>
      <c r="D300" s="172" t="s">
        <v>218</v>
      </c>
      <c r="E300" s="172">
        <v>6.9967319998935303E-4</v>
      </c>
      <c r="F300" s="172">
        <v>91</v>
      </c>
      <c r="G300" s="172">
        <v>23.25</v>
      </c>
      <c r="H300" s="172">
        <v>31.25</v>
      </c>
      <c r="I300" s="172">
        <v>28.5</v>
      </c>
    </row>
    <row r="301" spans="2:9" hidden="1" x14ac:dyDescent="0.3">
      <c r="B301" s="172" t="s">
        <v>183</v>
      </c>
      <c r="C301" s="172" t="s">
        <v>79</v>
      </c>
      <c r="D301" s="172" t="s">
        <v>221</v>
      </c>
      <c r="E301" s="172">
        <v>2.0068351811227799E-4</v>
      </c>
      <c r="F301" s="172">
        <v>92</v>
      </c>
      <c r="G301" s="172">
        <v>-0.25</v>
      </c>
      <c r="H301" s="172">
        <v>-0.25</v>
      </c>
      <c r="I301" s="172">
        <v>28.5</v>
      </c>
    </row>
    <row r="302" spans="2:9" hidden="1" x14ac:dyDescent="0.3">
      <c r="B302" s="172" t="s">
        <v>183</v>
      </c>
      <c r="C302" s="172" t="s">
        <v>80</v>
      </c>
      <c r="D302" s="172" t="s">
        <v>218</v>
      </c>
      <c r="E302" s="172">
        <v>6.7419689261335905E-4</v>
      </c>
      <c r="F302" s="172">
        <v>92</v>
      </c>
      <c r="G302" s="172">
        <v>-0.25</v>
      </c>
      <c r="H302" s="172">
        <v>-0.25</v>
      </c>
      <c r="I302" s="172">
        <v>28.5</v>
      </c>
    </row>
    <row r="303" spans="2:9" hidden="1" x14ac:dyDescent="0.3">
      <c r="B303" s="172" t="s">
        <v>183</v>
      </c>
      <c r="C303" s="172" t="s">
        <v>80</v>
      </c>
      <c r="D303" s="172" t="s">
        <v>221</v>
      </c>
      <c r="E303" s="172">
        <v>2.0111161220979099E-4</v>
      </c>
      <c r="F303" s="172">
        <v>99</v>
      </c>
      <c r="G303" s="172">
        <v>28</v>
      </c>
      <c r="H303" s="172">
        <v>0</v>
      </c>
      <c r="I303" s="172">
        <v>28.5</v>
      </c>
    </row>
    <row r="304" spans="2:9" hidden="1" x14ac:dyDescent="0.3">
      <c r="B304" s="172" t="s">
        <v>183</v>
      </c>
      <c r="C304" s="172" t="s">
        <v>81</v>
      </c>
      <c r="D304" s="172" t="s">
        <v>218</v>
      </c>
      <c r="E304" s="172">
        <v>1.83005966337695E-4</v>
      </c>
      <c r="F304" s="172">
        <v>92</v>
      </c>
      <c r="G304" s="172">
        <v>-0.25</v>
      </c>
      <c r="H304" s="172">
        <v>-0.25</v>
      </c>
      <c r="I304" s="172">
        <v>28.5</v>
      </c>
    </row>
    <row r="305" spans="2:9" x14ac:dyDescent="0.3">
      <c r="B305" s="172" t="s">
        <v>183</v>
      </c>
      <c r="C305" s="172" t="s">
        <v>81</v>
      </c>
      <c r="D305" s="172" t="s">
        <v>221</v>
      </c>
      <c r="E305" s="172">
        <v>7.9843414319214899E-4</v>
      </c>
      <c r="F305" s="172">
        <v>99</v>
      </c>
      <c r="G305" s="172">
        <v>28</v>
      </c>
      <c r="H305" s="172">
        <v>0</v>
      </c>
      <c r="I305" s="172">
        <v>28.5</v>
      </c>
    </row>
    <row r="306" spans="2:9" hidden="1" x14ac:dyDescent="0.3">
      <c r="B306" s="172" t="s">
        <v>183</v>
      </c>
      <c r="C306" s="172" t="s">
        <v>82</v>
      </c>
      <c r="D306" s="172" t="s">
        <v>218</v>
      </c>
      <c r="E306" s="172">
        <v>1.8182074084811001E-4</v>
      </c>
      <c r="F306" s="172">
        <v>91</v>
      </c>
      <c r="G306" s="172">
        <v>23.25</v>
      </c>
      <c r="H306" s="172">
        <v>31.25</v>
      </c>
      <c r="I306" s="172">
        <v>28.5</v>
      </c>
    </row>
    <row r="307" spans="2:9" hidden="1" x14ac:dyDescent="0.3">
      <c r="B307" s="172" t="s">
        <v>183</v>
      </c>
      <c r="C307" s="172" t="s">
        <v>82</v>
      </c>
      <c r="D307" s="172" t="s">
        <v>221</v>
      </c>
      <c r="E307" s="172">
        <v>7.7741274317633395E-4</v>
      </c>
      <c r="F307" s="172">
        <v>92</v>
      </c>
      <c r="G307" s="172">
        <v>-0.25</v>
      </c>
      <c r="H307" s="172">
        <v>-0.25</v>
      </c>
      <c r="I307" s="172">
        <v>28.5</v>
      </c>
    </row>
    <row r="308" spans="2:9" hidden="1" x14ac:dyDescent="0.3">
      <c r="B308" s="172" t="s">
        <v>183</v>
      </c>
      <c r="C308" s="172" t="s">
        <v>246</v>
      </c>
      <c r="D308" s="172" t="s">
        <v>218</v>
      </c>
      <c r="E308" s="172">
        <v>2.4176437914002901E-5</v>
      </c>
      <c r="F308" s="172">
        <v>92</v>
      </c>
      <c r="G308" s="172">
        <v>-0.25</v>
      </c>
      <c r="H308" s="172">
        <v>-0.25</v>
      </c>
      <c r="I308" s="172">
        <v>28.5</v>
      </c>
    </row>
    <row r="309" spans="2:9" hidden="1" x14ac:dyDescent="0.3">
      <c r="B309" s="172" t="s">
        <v>183</v>
      </c>
      <c r="C309" s="172" t="s">
        <v>246</v>
      </c>
      <c r="D309" s="172" t="s">
        <v>221</v>
      </c>
      <c r="E309" s="172">
        <v>1.9459591601956501E-5</v>
      </c>
      <c r="F309" s="172">
        <v>92</v>
      </c>
      <c r="G309" s="172">
        <v>-0.25</v>
      </c>
      <c r="H309" s="172">
        <v>-0.25</v>
      </c>
      <c r="I309" s="172">
        <v>28.5</v>
      </c>
    </row>
    <row r="310" spans="2:9" hidden="1" x14ac:dyDescent="0.3">
      <c r="B310" s="172" t="s">
        <v>181</v>
      </c>
      <c r="C310" s="172" t="s">
        <v>79</v>
      </c>
      <c r="D310" s="172" t="s">
        <v>218</v>
      </c>
      <c r="E310" s="172">
        <v>8.6634821439277596E-4</v>
      </c>
      <c r="F310" s="172">
        <v>91</v>
      </c>
      <c r="G310" s="172">
        <v>23.25</v>
      </c>
      <c r="H310" s="172">
        <v>31.25</v>
      </c>
      <c r="I310" s="172">
        <v>25</v>
      </c>
    </row>
    <row r="311" spans="2:9" hidden="1" x14ac:dyDescent="0.3">
      <c r="B311" s="172" t="s">
        <v>181</v>
      </c>
      <c r="C311" s="172" t="s">
        <v>79</v>
      </c>
      <c r="D311" s="172" t="s">
        <v>221</v>
      </c>
      <c r="E311" s="172">
        <v>2.58485591835212E-4</v>
      </c>
      <c r="F311" s="172">
        <v>92</v>
      </c>
      <c r="G311" s="172">
        <v>-0.25</v>
      </c>
      <c r="H311" s="172">
        <v>-0.25</v>
      </c>
      <c r="I311" s="172">
        <v>25</v>
      </c>
    </row>
    <row r="312" spans="2:9" hidden="1" x14ac:dyDescent="0.3">
      <c r="B312" s="172" t="s">
        <v>181</v>
      </c>
      <c r="C312" s="172" t="s">
        <v>80</v>
      </c>
      <c r="D312" s="172" t="s">
        <v>218</v>
      </c>
      <c r="E312" s="172">
        <v>7.8748650952288797E-4</v>
      </c>
      <c r="F312" s="172">
        <v>92</v>
      </c>
      <c r="G312" s="172">
        <v>-0.25</v>
      </c>
      <c r="H312" s="172">
        <v>-0.25</v>
      </c>
      <c r="I312" s="172">
        <v>25</v>
      </c>
    </row>
    <row r="313" spans="2:9" hidden="1" x14ac:dyDescent="0.3">
      <c r="B313" s="172" t="s">
        <v>181</v>
      </c>
      <c r="C313" s="172" t="s">
        <v>80</v>
      </c>
      <c r="D313" s="172" t="s">
        <v>221</v>
      </c>
      <c r="E313" s="172">
        <v>2.1399955072101101E-4</v>
      </c>
      <c r="F313" s="172">
        <v>99</v>
      </c>
      <c r="G313" s="172">
        <v>28</v>
      </c>
      <c r="H313" s="172">
        <v>0</v>
      </c>
      <c r="I313" s="172">
        <v>25</v>
      </c>
    </row>
    <row r="314" spans="2:9" hidden="1" x14ac:dyDescent="0.3">
      <c r="B314" s="172" t="s">
        <v>181</v>
      </c>
      <c r="C314" s="172" t="s">
        <v>81</v>
      </c>
      <c r="D314" s="172" t="s">
        <v>218</v>
      </c>
      <c r="E314" s="172">
        <v>1.8979147224850099E-4</v>
      </c>
      <c r="F314" s="172">
        <v>92</v>
      </c>
      <c r="G314" s="172">
        <v>-0.25</v>
      </c>
      <c r="H314" s="172">
        <v>-0.25</v>
      </c>
      <c r="I314" s="172">
        <v>25</v>
      </c>
    </row>
    <row r="315" spans="2:9" x14ac:dyDescent="0.3">
      <c r="B315" s="172" t="s">
        <v>181</v>
      </c>
      <c r="C315" s="172" t="s">
        <v>81</v>
      </c>
      <c r="D315" s="172" t="s">
        <v>221</v>
      </c>
      <c r="E315" s="172">
        <v>9.3382831666233897E-4</v>
      </c>
      <c r="F315" s="172">
        <v>99</v>
      </c>
      <c r="G315" s="172">
        <v>28</v>
      </c>
      <c r="H315" s="172">
        <v>0</v>
      </c>
      <c r="I315" s="172">
        <v>25</v>
      </c>
    </row>
    <row r="316" spans="2:9" hidden="1" x14ac:dyDescent="0.3">
      <c r="B316" s="172" t="s">
        <v>181</v>
      </c>
      <c r="C316" s="172" t="s">
        <v>82</v>
      </c>
      <c r="D316" s="172" t="s">
        <v>218</v>
      </c>
      <c r="E316" s="172">
        <v>2.4537299245243002E-4</v>
      </c>
      <c r="F316" s="172">
        <v>91</v>
      </c>
      <c r="G316" s="172">
        <v>23.25</v>
      </c>
      <c r="H316" s="172">
        <v>31.25</v>
      </c>
      <c r="I316" s="172">
        <v>25</v>
      </c>
    </row>
    <row r="317" spans="2:9" hidden="1" x14ac:dyDescent="0.3">
      <c r="B317" s="172" t="s">
        <v>181</v>
      </c>
      <c r="C317" s="172" t="s">
        <v>82</v>
      </c>
      <c r="D317" s="172" t="s">
        <v>221</v>
      </c>
      <c r="E317" s="172">
        <v>9.6125644365005795E-4</v>
      </c>
      <c r="F317" s="172">
        <v>92</v>
      </c>
      <c r="G317" s="172">
        <v>-0.25</v>
      </c>
      <c r="H317" s="172">
        <v>-0.25</v>
      </c>
      <c r="I317" s="172">
        <v>25</v>
      </c>
    </row>
    <row r="318" spans="2:9" hidden="1" x14ac:dyDescent="0.3">
      <c r="B318" s="172" t="s">
        <v>181</v>
      </c>
      <c r="C318" s="172" t="s">
        <v>246</v>
      </c>
      <c r="D318" s="172" t="s">
        <v>218</v>
      </c>
      <c r="E318" s="172">
        <v>2.3536308146042699E-5</v>
      </c>
      <c r="F318" s="172">
        <v>92</v>
      </c>
      <c r="G318" s="172">
        <v>-0.25</v>
      </c>
      <c r="H318" s="172">
        <v>-0.25</v>
      </c>
      <c r="I318" s="172">
        <v>25</v>
      </c>
    </row>
    <row r="319" spans="2:9" hidden="1" x14ac:dyDescent="0.3">
      <c r="B319" s="172" t="s">
        <v>181</v>
      </c>
      <c r="C319" s="172" t="s">
        <v>246</v>
      </c>
      <c r="D319" s="172" t="s">
        <v>221</v>
      </c>
      <c r="E319" s="172">
        <v>1.85591793780147E-5</v>
      </c>
      <c r="F319" s="172">
        <v>87</v>
      </c>
      <c r="G319" s="172">
        <v>-0.25</v>
      </c>
      <c r="H319" s="172">
        <v>31.25</v>
      </c>
      <c r="I319" s="172">
        <v>25</v>
      </c>
    </row>
    <row r="320" spans="2:9" hidden="1" x14ac:dyDescent="0.3">
      <c r="B320" s="172" t="s">
        <v>179</v>
      </c>
      <c r="C320" s="172" t="s">
        <v>79</v>
      </c>
      <c r="D320" s="172" t="s">
        <v>218</v>
      </c>
      <c r="E320" s="172">
        <v>9.9678933856109592E-4</v>
      </c>
      <c r="F320" s="172">
        <v>91</v>
      </c>
      <c r="G320" s="172">
        <v>23.25</v>
      </c>
      <c r="H320" s="172">
        <v>31.25</v>
      </c>
      <c r="I320" s="172">
        <v>21.5</v>
      </c>
    </row>
    <row r="321" spans="2:9" hidden="1" x14ac:dyDescent="0.3">
      <c r="B321" s="172" t="s">
        <v>179</v>
      </c>
      <c r="C321" s="172" t="s">
        <v>79</v>
      </c>
      <c r="D321" s="172" t="s">
        <v>221</v>
      </c>
      <c r="E321" s="172">
        <v>3.03471259228235E-4</v>
      </c>
      <c r="F321" s="172">
        <v>87</v>
      </c>
      <c r="G321" s="172">
        <v>-0.25</v>
      </c>
      <c r="H321" s="172">
        <v>31.25</v>
      </c>
      <c r="I321" s="172">
        <v>21.5</v>
      </c>
    </row>
    <row r="322" spans="2:9" hidden="1" x14ac:dyDescent="0.3">
      <c r="B322" s="172" t="s">
        <v>179</v>
      </c>
      <c r="C322" s="172" t="s">
        <v>80</v>
      </c>
      <c r="D322" s="172" t="s">
        <v>218</v>
      </c>
      <c r="E322" s="172">
        <v>8.7360204149341798E-4</v>
      </c>
      <c r="F322" s="172">
        <v>92</v>
      </c>
      <c r="G322" s="172">
        <v>-0.25</v>
      </c>
      <c r="H322" s="172">
        <v>-0.25</v>
      </c>
      <c r="I322" s="172">
        <v>21.5</v>
      </c>
    </row>
    <row r="323" spans="2:9" hidden="1" x14ac:dyDescent="0.3">
      <c r="B323" s="172" t="s">
        <v>179</v>
      </c>
      <c r="C323" s="172" t="s">
        <v>80</v>
      </c>
      <c r="D323" s="172" t="s">
        <v>221</v>
      </c>
      <c r="E323" s="172">
        <v>2.2145206382202299E-4</v>
      </c>
      <c r="F323" s="172">
        <v>99</v>
      </c>
      <c r="G323" s="172">
        <v>28</v>
      </c>
      <c r="H323" s="172">
        <v>0</v>
      </c>
      <c r="I323" s="172">
        <v>21.5</v>
      </c>
    </row>
    <row r="324" spans="2:9" hidden="1" x14ac:dyDescent="0.3">
      <c r="B324" s="172" t="s">
        <v>179</v>
      </c>
      <c r="C324" s="172" t="s">
        <v>81</v>
      </c>
      <c r="D324" s="172" t="s">
        <v>218</v>
      </c>
      <c r="E324" s="172">
        <v>1.9299252793690999E-4</v>
      </c>
      <c r="F324" s="172">
        <v>92</v>
      </c>
      <c r="G324" s="172">
        <v>-0.25</v>
      </c>
      <c r="H324" s="172">
        <v>-0.25</v>
      </c>
      <c r="I324" s="172">
        <v>21.5</v>
      </c>
    </row>
    <row r="325" spans="2:9" x14ac:dyDescent="0.3">
      <c r="B325" s="172" t="s">
        <v>179</v>
      </c>
      <c r="C325" s="172" t="s">
        <v>81</v>
      </c>
      <c r="D325" s="172" t="s">
        <v>221</v>
      </c>
      <c r="E325" s="172">
        <v>1.03673434889868E-3</v>
      </c>
      <c r="F325" s="172">
        <v>99</v>
      </c>
      <c r="G325" s="172">
        <v>28</v>
      </c>
      <c r="H325" s="172">
        <v>0</v>
      </c>
      <c r="I325" s="172">
        <v>21.5</v>
      </c>
    </row>
    <row r="326" spans="2:9" hidden="1" x14ac:dyDescent="0.3">
      <c r="B326" s="172" t="s">
        <v>179</v>
      </c>
      <c r="C326" s="172" t="s">
        <v>82</v>
      </c>
      <c r="D326" s="172" t="s">
        <v>218</v>
      </c>
      <c r="E326" s="172">
        <v>2.9477435712838002E-4</v>
      </c>
      <c r="F326" s="172">
        <v>91</v>
      </c>
      <c r="G326" s="172">
        <v>23.25</v>
      </c>
      <c r="H326" s="172">
        <v>31.25</v>
      </c>
      <c r="I326" s="172">
        <v>21.5</v>
      </c>
    </row>
    <row r="327" spans="2:9" hidden="1" x14ac:dyDescent="0.3">
      <c r="B327" s="172" t="s">
        <v>179</v>
      </c>
      <c r="C327" s="172" t="s">
        <v>82</v>
      </c>
      <c r="D327" s="172" t="s">
        <v>221</v>
      </c>
      <c r="E327" s="172">
        <v>1.1037737215795001E-3</v>
      </c>
      <c r="F327" s="172">
        <v>92</v>
      </c>
      <c r="G327" s="172">
        <v>-0.25</v>
      </c>
      <c r="H327" s="172">
        <v>-0.25</v>
      </c>
      <c r="I327" s="172">
        <v>21.5</v>
      </c>
    </row>
    <row r="328" spans="2:9" hidden="1" x14ac:dyDescent="0.3">
      <c r="B328" s="172" t="s">
        <v>179</v>
      </c>
      <c r="C328" s="172" t="s">
        <v>246</v>
      </c>
      <c r="D328" s="172" t="s">
        <v>218</v>
      </c>
      <c r="E328" s="172">
        <v>2.3007821628542101E-5</v>
      </c>
      <c r="F328" s="172">
        <v>92</v>
      </c>
      <c r="G328" s="172">
        <v>-0.25</v>
      </c>
      <c r="H328" s="172">
        <v>-0.25</v>
      </c>
      <c r="I328" s="172">
        <v>21.5</v>
      </c>
    </row>
    <row r="329" spans="2:9" hidden="1" x14ac:dyDescent="0.3">
      <c r="B329" s="172" t="s">
        <v>179</v>
      </c>
      <c r="C329" s="172" t="s">
        <v>246</v>
      </c>
      <c r="D329" s="172" t="s">
        <v>221</v>
      </c>
      <c r="E329" s="172">
        <v>1.7682675754328401E-5</v>
      </c>
      <c r="F329" s="172">
        <v>92</v>
      </c>
      <c r="G329" s="172">
        <v>-0.25</v>
      </c>
      <c r="H329" s="172">
        <v>-0.25</v>
      </c>
      <c r="I329" s="172">
        <v>21.5</v>
      </c>
    </row>
    <row r="330" spans="2:9" hidden="1" x14ac:dyDescent="0.3">
      <c r="B330" s="172" t="s">
        <v>39</v>
      </c>
      <c r="C330" s="172" t="s">
        <v>79</v>
      </c>
      <c r="D330" s="172" t="s">
        <v>218</v>
      </c>
      <c r="E330" s="172">
        <v>1.0536534968789201E-3</v>
      </c>
      <c r="F330" s="172">
        <v>91</v>
      </c>
      <c r="G330" s="172">
        <v>23.25</v>
      </c>
      <c r="H330" s="172">
        <v>31.25</v>
      </c>
      <c r="I330" s="172">
        <v>18</v>
      </c>
    </row>
    <row r="331" spans="2:9" hidden="1" x14ac:dyDescent="0.3">
      <c r="B331" s="172" t="s">
        <v>39</v>
      </c>
      <c r="C331" s="172" t="s">
        <v>79</v>
      </c>
      <c r="D331" s="172" t="s">
        <v>221</v>
      </c>
      <c r="E331" s="172">
        <v>3.2215897307039598E-4</v>
      </c>
      <c r="F331" s="172">
        <v>92</v>
      </c>
      <c r="G331" s="172">
        <v>-0.25</v>
      </c>
      <c r="H331" s="172">
        <v>-0.25</v>
      </c>
      <c r="I331" s="172">
        <v>18</v>
      </c>
    </row>
    <row r="332" spans="2:9" hidden="1" x14ac:dyDescent="0.3">
      <c r="B332" s="172" t="s">
        <v>39</v>
      </c>
      <c r="C332" s="172" t="s">
        <v>80</v>
      </c>
      <c r="D332" s="172" t="s">
        <v>218</v>
      </c>
      <c r="E332" s="172">
        <v>9.0527014787404397E-4</v>
      </c>
      <c r="F332" s="172">
        <v>92</v>
      </c>
      <c r="G332" s="172">
        <v>-0.25</v>
      </c>
      <c r="H332" s="172">
        <v>-0.25</v>
      </c>
      <c r="I332" s="172">
        <v>18</v>
      </c>
    </row>
    <row r="333" spans="2:9" hidden="1" x14ac:dyDescent="0.3">
      <c r="B333" s="172" t="s">
        <v>39</v>
      </c>
      <c r="C333" s="172" t="s">
        <v>80</v>
      </c>
      <c r="D333" s="172" t="s">
        <v>221</v>
      </c>
      <c r="E333" s="172">
        <v>2.1799423792481101E-4</v>
      </c>
      <c r="F333" s="172">
        <v>99</v>
      </c>
      <c r="G333" s="172">
        <v>28</v>
      </c>
      <c r="H333" s="172">
        <v>0</v>
      </c>
      <c r="I333" s="172">
        <v>18</v>
      </c>
    </row>
    <row r="334" spans="2:9" hidden="1" x14ac:dyDescent="0.3">
      <c r="B334" s="172" t="s">
        <v>39</v>
      </c>
      <c r="C334" s="172" t="s">
        <v>81</v>
      </c>
      <c r="D334" s="172" t="s">
        <v>218</v>
      </c>
      <c r="E334" s="172">
        <v>1.90351740917717E-4</v>
      </c>
      <c r="F334" s="172">
        <v>92</v>
      </c>
      <c r="G334" s="172">
        <v>-0.25</v>
      </c>
      <c r="H334" s="172">
        <v>-0.25</v>
      </c>
      <c r="I334" s="172">
        <v>18</v>
      </c>
    </row>
    <row r="335" spans="2:9" x14ac:dyDescent="0.3">
      <c r="B335" s="172" t="s">
        <v>39</v>
      </c>
      <c r="C335" s="172" t="s">
        <v>81</v>
      </c>
      <c r="D335" s="172" t="s">
        <v>221</v>
      </c>
      <c r="E335" s="172">
        <v>1.0823255338901999E-3</v>
      </c>
      <c r="F335" s="172">
        <v>99</v>
      </c>
      <c r="G335" s="172">
        <v>28</v>
      </c>
      <c r="H335" s="172">
        <v>0</v>
      </c>
      <c r="I335" s="172">
        <v>18</v>
      </c>
    </row>
    <row r="336" spans="2:9" hidden="1" x14ac:dyDescent="0.3">
      <c r="B336" s="172" t="s">
        <v>39</v>
      </c>
      <c r="C336" s="172" t="s">
        <v>82</v>
      </c>
      <c r="D336" s="172" t="s">
        <v>218</v>
      </c>
      <c r="E336" s="172">
        <v>3.1249211435627899E-4</v>
      </c>
      <c r="F336" s="172">
        <v>91</v>
      </c>
      <c r="G336" s="172">
        <v>23.25</v>
      </c>
      <c r="H336" s="172">
        <v>31.25</v>
      </c>
      <c r="I336" s="172">
        <v>18</v>
      </c>
    </row>
    <row r="337" spans="2:9" hidden="1" x14ac:dyDescent="0.3">
      <c r="B337" s="172" t="s">
        <v>39</v>
      </c>
      <c r="C337" s="172" t="s">
        <v>82</v>
      </c>
      <c r="D337" s="172" t="s">
        <v>221</v>
      </c>
      <c r="E337" s="172">
        <v>1.16728632737566E-3</v>
      </c>
      <c r="F337" s="172">
        <v>92</v>
      </c>
      <c r="G337" s="172">
        <v>-0.25</v>
      </c>
      <c r="H337" s="172">
        <v>-0.25</v>
      </c>
      <c r="I337" s="172">
        <v>18</v>
      </c>
    </row>
    <row r="338" spans="2:9" hidden="1" x14ac:dyDescent="0.3">
      <c r="B338" s="172" t="s">
        <v>39</v>
      </c>
      <c r="C338" s="172" t="s">
        <v>246</v>
      </c>
      <c r="D338" s="172" t="s">
        <v>218</v>
      </c>
      <c r="E338" s="172">
        <v>2.4749411700441201E-5</v>
      </c>
      <c r="F338" s="172">
        <v>92</v>
      </c>
      <c r="G338" s="172">
        <v>-0.25</v>
      </c>
      <c r="H338" s="172">
        <v>-0.25</v>
      </c>
      <c r="I338" s="172">
        <v>18</v>
      </c>
    </row>
    <row r="339" spans="2:9" s="172" customFormat="1" hidden="1" x14ac:dyDescent="0.3">
      <c r="B339" s="172" t="s">
        <v>39</v>
      </c>
      <c r="C339" s="172" t="s">
        <v>246</v>
      </c>
      <c r="D339" s="172" t="s">
        <v>221</v>
      </c>
      <c r="E339" s="172">
        <v>1.78875140668687E-5</v>
      </c>
      <c r="F339" s="172">
        <v>92</v>
      </c>
      <c r="G339" s="172">
        <v>-0.25</v>
      </c>
      <c r="H339" s="172">
        <v>-0.25</v>
      </c>
      <c r="I339" s="172">
        <v>18</v>
      </c>
    </row>
    <row r="340" spans="2:9" hidden="1" x14ac:dyDescent="0.3">
      <c r="B340" s="172" t="s">
        <v>26</v>
      </c>
      <c r="C340" s="172" t="s">
        <v>79</v>
      </c>
      <c r="D340" s="172" t="s">
        <v>218</v>
      </c>
      <c r="E340" s="172">
        <v>1.0855662623775999E-3</v>
      </c>
      <c r="F340" s="172">
        <v>91</v>
      </c>
      <c r="G340" s="172">
        <v>23.25</v>
      </c>
      <c r="H340" s="172">
        <v>31.25</v>
      </c>
      <c r="I340" s="172">
        <v>14.5</v>
      </c>
    </row>
    <row r="341" spans="2:9" hidden="1" x14ac:dyDescent="0.3">
      <c r="B341" s="172" t="s">
        <v>26</v>
      </c>
      <c r="C341" s="172" t="s">
        <v>79</v>
      </c>
      <c r="D341" s="172" t="s">
        <v>221</v>
      </c>
      <c r="E341" s="172">
        <v>3.3350692522702202E-4</v>
      </c>
      <c r="F341" s="172">
        <v>92</v>
      </c>
      <c r="G341" s="172">
        <v>-0.25</v>
      </c>
      <c r="H341" s="172">
        <v>-0.25</v>
      </c>
      <c r="I341" s="172">
        <v>14.5</v>
      </c>
    </row>
    <row r="342" spans="2:9" hidden="1" x14ac:dyDescent="0.3">
      <c r="B342" s="172" t="s">
        <v>26</v>
      </c>
      <c r="C342" s="172" t="s">
        <v>80</v>
      </c>
      <c r="D342" s="172" t="s">
        <v>218</v>
      </c>
      <c r="E342" s="172">
        <v>9.1538424002186901E-4</v>
      </c>
      <c r="F342" s="172">
        <v>92</v>
      </c>
      <c r="G342" s="172">
        <v>-0.25</v>
      </c>
      <c r="H342" s="172">
        <v>-0.25</v>
      </c>
      <c r="I342" s="172">
        <v>14.5</v>
      </c>
    </row>
    <row r="343" spans="2:9" s="172" customFormat="1" hidden="1" x14ac:dyDescent="0.3">
      <c r="B343" s="172" t="s">
        <v>26</v>
      </c>
      <c r="C343" s="172" t="s">
        <v>80</v>
      </c>
      <c r="D343" s="172" t="s">
        <v>221</v>
      </c>
      <c r="E343" s="172">
        <v>2.09527031242385E-4</v>
      </c>
      <c r="F343" s="172">
        <v>99</v>
      </c>
      <c r="G343" s="172">
        <v>28</v>
      </c>
      <c r="H343" s="172">
        <v>0</v>
      </c>
      <c r="I343" s="172">
        <v>14.5</v>
      </c>
    </row>
    <row r="344" spans="2:9" hidden="1" x14ac:dyDescent="0.3">
      <c r="B344" s="172" t="s">
        <v>26</v>
      </c>
      <c r="C344" s="172" t="s">
        <v>81</v>
      </c>
      <c r="D344" s="172" t="s">
        <v>218</v>
      </c>
      <c r="E344" s="172">
        <v>1.8099847131853401E-4</v>
      </c>
      <c r="F344" s="172">
        <v>92</v>
      </c>
      <c r="G344" s="172">
        <v>-0.25</v>
      </c>
      <c r="H344" s="172">
        <v>-0.25</v>
      </c>
      <c r="I344" s="172">
        <v>14.5</v>
      </c>
    </row>
    <row r="345" spans="2:9" x14ac:dyDescent="0.3">
      <c r="B345" s="172" t="s">
        <v>26</v>
      </c>
      <c r="C345" s="172" t="s">
        <v>81</v>
      </c>
      <c r="D345" s="172" t="s">
        <v>221</v>
      </c>
      <c r="E345" s="172">
        <v>1.1016076125305099E-3</v>
      </c>
      <c r="F345" s="172">
        <v>99</v>
      </c>
      <c r="G345" s="172">
        <v>28</v>
      </c>
      <c r="H345" s="172">
        <v>0</v>
      </c>
      <c r="I345" s="172">
        <v>14.5</v>
      </c>
    </row>
    <row r="346" spans="2:9" hidden="1" x14ac:dyDescent="0.3">
      <c r="B346" s="172" t="s">
        <v>26</v>
      </c>
      <c r="C346" s="172" t="s">
        <v>82</v>
      </c>
      <c r="D346" s="172" t="s">
        <v>218</v>
      </c>
      <c r="E346" s="172">
        <v>3.24175038259449E-4</v>
      </c>
      <c r="F346" s="172">
        <v>91</v>
      </c>
      <c r="G346" s="172">
        <v>23.25</v>
      </c>
      <c r="H346" s="172">
        <v>31.25</v>
      </c>
      <c r="I346" s="172">
        <v>14.5</v>
      </c>
    </row>
    <row r="347" spans="2:9" s="172" customFormat="1" hidden="1" x14ac:dyDescent="0.3">
      <c r="B347" s="172" t="s">
        <v>26</v>
      </c>
      <c r="C347" s="172" t="s">
        <v>82</v>
      </c>
      <c r="D347" s="172" t="s">
        <v>221</v>
      </c>
      <c r="E347" s="172">
        <v>1.2056802204837699E-3</v>
      </c>
      <c r="F347" s="172">
        <v>92</v>
      </c>
      <c r="G347" s="172">
        <v>-0.25</v>
      </c>
      <c r="H347" s="172">
        <v>-0.25</v>
      </c>
      <c r="I347" s="172">
        <v>14.5</v>
      </c>
    </row>
    <row r="348" spans="2:9" hidden="1" x14ac:dyDescent="0.3">
      <c r="B348" s="172" t="s">
        <v>26</v>
      </c>
      <c r="C348" s="172" t="s">
        <v>246</v>
      </c>
      <c r="D348" s="172" t="s">
        <v>218</v>
      </c>
      <c r="E348" s="172">
        <v>2.7234705754276499E-5</v>
      </c>
      <c r="F348" s="172">
        <v>92</v>
      </c>
      <c r="G348" s="172">
        <v>-0.25</v>
      </c>
      <c r="H348" s="172">
        <v>-0.25</v>
      </c>
      <c r="I348" s="172">
        <v>14.5</v>
      </c>
    </row>
    <row r="349" spans="2:9" hidden="1" x14ac:dyDescent="0.3">
      <c r="B349" s="172" t="s">
        <v>26</v>
      </c>
      <c r="C349" s="172" t="s">
        <v>246</v>
      </c>
      <c r="D349" s="172" t="s">
        <v>221</v>
      </c>
      <c r="E349" s="172">
        <v>1.7888320595816301E-5</v>
      </c>
      <c r="F349" s="172">
        <v>87</v>
      </c>
      <c r="G349" s="172">
        <v>-0.25</v>
      </c>
      <c r="H349" s="172">
        <v>31.25</v>
      </c>
      <c r="I349" s="172">
        <v>14.5</v>
      </c>
    </row>
    <row r="350" spans="2:9" hidden="1" x14ac:dyDescent="0.3">
      <c r="B350" s="172" t="s">
        <v>25</v>
      </c>
      <c r="C350" s="172" t="s">
        <v>79</v>
      </c>
      <c r="D350" s="172" t="s">
        <v>218</v>
      </c>
      <c r="E350" s="172">
        <v>1.13948928090594E-3</v>
      </c>
      <c r="F350" s="172">
        <v>91</v>
      </c>
      <c r="G350" s="172">
        <v>23.25</v>
      </c>
      <c r="H350" s="172">
        <v>31.25</v>
      </c>
      <c r="I350" s="172">
        <v>11</v>
      </c>
    </row>
    <row r="351" spans="2:9" s="172" customFormat="1" hidden="1" x14ac:dyDescent="0.3">
      <c r="B351" s="172" t="s">
        <v>25</v>
      </c>
      <c r="C351" s="172" t="s">
        <v>79</v>
      </c>
      <c r="D351" s="172" t="s">
        <v>221</v>
      </c>
      <c r="E351" s="172">
        <v>3.55724381403451E-4</v>
      </c>
      <c r="F351" s="172">
        <v>87</v>
      </c>
      <c r="G351" s="172">
        <v>-0.25</v>
      </c>
      <c r="H351" s="172">
        <v>31.25</v>
      </c>
      <c r="I351" s="172">
        <v>11</v>
      </c>
    </row>
    <row r="352" spans="2:9" hidden="1" x14ac:dyDescent="0.3">
      <c r="B352" s="172" t="s">
        <v>25</v>
      </c>
      <c r="C352" s="172" t="s">
        <v>80</v>
      </c>
      <c r="D352" s="172" t="s">
        <v>218</v>
      </c>
      <c r="E352" s="172">
        <v>9.3374713375722802E-4</v>
      </c>
      <c r="F352" s="172">
        <v>92</v>
      </c>
      <c r="G352" s="172">
        <v>-0.25</v>
      </c>
      <c r="H352" s="172">
        <v>-0.25</v>
      </c>
      <c r="I352" s="172">
        <v>11</v>
      </c>
    </row>
    <row r="353" spans="2:9" hidden="1" x14ac:dyDescent="0.3">
      <c r="B353" s="172" t="s">
        <v>25</v>
      </c>
      <c r="C353" s="172" t="s">
        <v>80</v>
      </c>
      <c r="D353" s="172" t="s">
        <v>221</v>
      </c>
      <c r="E353" s="172">
        <v>1.9962397217465299E-4</v>
      </c>
      <c r="F353" s="172">
        <v>99</v>
      </c>
      <c r="G353" s="172">
        <v>28</v>
      </c>
      <c r="H353" s="172">
        <v>0</v>
      </c>
      <c r="I353" s="172">
        <v>11</v>
      </c>
    </row>
    <row r="354" spans="2:9" hidden="1" x14ac:dyDescent="0.3">
      <c r="B354" s="172" t="s">
        <v>25</v>
      </c>
      <c r="C354" s="172" t="s">
        <v>81</v>
      </c>
      <c r="D354" s="172" t="s">
        <v>218</v>
      </c>
      <c r="E354" s="172">
        <v>1.6971861856240699E-4</v>
      </c>
      <c r="F354" s="172">
        <v>92</v>
      </c>
      <c r="G354" s="172">
        <v>-0.25</v>
      </c>
      <c r="H354" s="172">
        <v>-0.25</v>
      </c>
      <c r="I354" s="172">
        <v>11</v>
      </c>
    </row>
    <row r="355" spans="2:9" s="172" customFormat="1" x14ac:dyDescent="0.3">
      <c r="B355" s="172" t="s">
        <v>25</v>
      </c>
      <c r="C355" s="172" t="s">
        <v>81</v>
      </c>
      <c r="D355" s="172" t="s">
        <v>221</v>
      </c>
      <c r="E355" s="172">
        <v>1.1240208621179999E-3</v>
      </c>
      <c r="F355" s="172">
        <v>99</v>
      </c>
      <c r="G355" s="172">
        <v>28</v>
      </c>
      <c r="H355" s="172">
        <v>0</v>
      </c>
      <c r="I355" s="172">
        <v>11</v>
      </c>
    </row>
    <row r="356" spans="2:9" hidden="1" x14ac:dyDescent="0.3">
      <c r="B356" s="172" t="s">
        <v>25</v>
      </c>
      <c r="C356" s="172" t="s">
        <v>82</v>
      </c>
      <c r="D356" s="172" t="s">
        <v>218</v>
      </c>
      <c r="E356" s="172">
        <v>3.5304556282867399E-4</v>
      </c>
      <c r="F356" s="172">
        <v>91</v>
      </c>
      <c r="G356" s="172">
        <v>23.25</v>
      </c>
      <c r="H356" s="172">
        <v>31.25</v>
      </c>
      <c r="I356" s="172">
        <v>11</v>
      </c>
    </row>
    <row r="357" spans="2:9" hidden="1" x14ac:dyDescent="0.3">
      <c r="B357" s="172" t="s">
        <v>25</v>
      </c>
      <c r="C357" s="172" t="s">
        <v>82</v>
      </c>
      <c r="D357" s="172" t="s">
        <v>221</v>
      </c>
      <c r="E357" s="172">
        <v>1.2642984176418799E-3</v>
      </c>
      <c r="F357" s="172">
        <v>92</v>
      </c>
      <c r="G357" s="172">
        <v>-0.25</v>
      </c>
      <c r="H357" s="172">
        <v>-0.25</v>
      </c>
      <c r="I357" s="172">
        <v>11</v>
      </c>
    </row>
    <row r="358" spans="2:9" hidden="1" x14ac:dyDescent="0.3">
      <c r="B358" s="172" t="s">
        <v>25</v>
      </c>
      <c r="C358" s="172" t="s">
        <v>246</v>
      </c>
      <c r="D358" s="172" t="s">
        <v>218</v>
      </c>
      <c r="E358" s="172">
        <v>2.6572622727668099E-5</v>
      </c>
      <c r="F358" s="172">
        <v>92</v>
      </c>
      <c r="G358" s="172">
        <v>-0.25</v>
      </c>
      <c r="H358" s="172">
        <v>-0.25</v>
      </c>
      <c r="I358" s="172">
        <v>11</v>
      </c>
    </row>
    <row r="359" spans="2:9" s="172" customFormat="1" hidden="1" x14ac:dyDescent="0.3">
      <c r="B359" s="172" t="s">
        <v>25</v>
      </c>
      <c r="C359" s="172" t="s">
        <v>246</v>
      </c>
      <c r="D359" s="172" t="s">
        <v>221</v>
      </c>
      <c r="E359" s="172">
        <v>1.62181753634093E-5</v>
      </c>
      <c r="F359" s="172">
        <v>92</v>
      </c>
      <c r="G359" s="172">
        <v>-0.25</v>
      </c>
      <c r="H359" s="172">
        <v>-0.25</v>
      </c>
      <c r="I359" s="172">
        <v>11</v>
      </c>
    </row>
    <row r="360" spans="2:9" hidden="1" x14ac:dyDescent="0.3">
      <c r="B360" s="172" t="s">
        <v>24</v>
      </c>
      <c r="C360" s="172" t="s">
        <v>79</v>
      </c>
      <c r="D360" s="172" t="s">
        <v>218</v>
      </c>
      <c r="E360" s="172">
        <v>1.1512408005055E-3</v>
      </c>
      <c r="F360" s="172">
        <v>91</v>
      </c>
      <c r="G360" s="172">
        <v>23.25</v>
      </c>
      <c r="H360" s="172">
        <v>31.25</v>
      </c>
      <c r="I360" s="172">
        <v>7.5</v>
      </c>
    </row>
    <row r="361" spans="2:9" hidden="1" x14ac:dyDescent="0.3">
      <c r="B361" s="172" t="s">
        <v>24</v>
      </c>
      <c r="C361" s="172" t="s">
        <v>79</v>
      </c>
      <c r="D361" s="172" t="s">
        <v>221</v>
      </c>
      <c r="E361" s="172">
        <v>3.6059100601911202E-4</v>
      </c>
      <c r="F361" s="172">
        <v>92</v>
      </c>
      <c r="G361" s="172">
        <v>-0.25</v>
      </c>
      <c r="H361" s="172">
        <v>-0.25</v>
      </c>
      <c r="I361" s="172">
        <v>7.5</v>
      </c>
    </row>
    <row r="362" spans="2:9" hidden="1" x14ac:dyDescent="0.3">
      <c r="B362" s="172" t="s">
        <v>24</v>
      </c>
      <c r="C362" s="172" t="s">
        <v>80</v>
      </c>
      <c r="D362" s="172" t="s">
        <v>218</v>
      </c>
      <c r="E362" s="172">
        <v>9.2765345707100904E-4</v>
      </c>
      <c r="F362" s="172">
        <v>91</v>
      </c>
      <c r="G362" s="172">
        <v>23.25</v>
      </c>
      <c r="H362" s="172">
        <v>31.25</v>
      </c>
      <c r="I362" s="172">
        <v>7.5</v>
      </c>
    </row>
    <row r="363" spans="2:9" hidden="1" x14ac:dyDescent="0.3">
      <c r="B363" s="172" t="s">
        <v>24</v>
      </c>
      <c r="C363" s="172" t="s">
        <v>80</v>
      </c>
      <c r="D363" s="172" t="s">
        <v>221</v>
      </c>
      <c r="E363" s="172">
        <v>1.86974704028337E-4</v>
      </c>
      <c r="F363" s="172">
        <v>92</v>
      </c>
      <c r="G363" s="172">
        <v>-0.25</v>
      </c>
      <c r="H363" s="172">
        <v>-0.25</v>
      </c>
      <c r="I363" s="172">
        <v>7.5</v>
      </c>
    </row>
    <row r="364" spans="2:9" hidden="1" x14ac:dyDescent="0.3">
      <c r="B364" s="172" t="s">
        <v>24</v>
      </c>
      <c r="C364" s="172" t="s">
        <v>81</v>
      </c>
      <c r="D364" s="172" t="s">
        <v>218</v>
      </c>
      <c r="E364" s="172">
        <v>1.77647662929165E-4</v>
      </c>
      <c r="F364" s="172">
        <v>91</v>
      </c>
      <c r="G364" s="172">
        <v>23.25</v>
      </c>
      <c r="H364" s="172">
        <v>31.25</v>
      </c>
      <c r="I364" s="172">
        <v>7.5</v>
      </c>
    </row>
    <row r="365" spans="2:9" x14ac:dyDescent="0.3">
      <c r="B365" s="172" t="s">
        <v>24</v>
      </c>
      <c r="C365" s="172" t="s">
        <v>81</v>
      </c>
      <c r="D365" s="172" t="s">
        <v>221</v>
      </c>
      <c r="E365" s="172">
        <v>1.11765084948974E-3</v>
      </c>
      <c r="F365" s="172">
        <v>92</v>
      </c>
      <c r="G365" s="172">
        <v>-0.25</v>
      </c>
      <c r="H365" s="172">
        <v>-0.25</v>
      </c>
      <c r="I365" s="172">
        <v>7.5</v>
      </c>
    </row>
    <row r="366" spans="2:9" hidden="1" x14ac:dyDescent="0.3">
      <c r="B366" s="172" t="s">
        <v>24</v>
      </c>
      <c r="C366" s="172" t="s">
        <v>82</v>
      </c>
      <c r="D366" s="172" t="s">
        <v>218</v>
      </c>
      <c r="E366" s="172">
        <v>3.6748715035701899E-4</v>
      </c>
      <c r="F366" s="172">
        <v>91</v>
      </c>
      <c r="G366" s="172">
        <v>23.25</v>
      </c>
      <c r="H366" s="172">
        <v>31.25</v>
      </c>
      <c r="I366" s="172">
        <v>7.5</v>
      </c>
    </row>
    <row r="367" spans="2:9" hidden="1" x14ac:dyDescent="0.3">
      <c r="B367" s="172" t="s">
        <v>24</v>
      </c>
      <c r="C367" s="172" t="s">
        <v>82</v>
      </c>
      <c r="D367" s="172" t="s">
        <v>221</v>
      </c>
      <c r="E367" s="172">
        <v>1.26505291513001E-3</v>
      </c>
      <c r="F367" s="172">
        <v>92</v>
      </c>
      <c r="G367" s="172">
        <v>-0.25</v>
      </c>
      <c r="H367" s="172">
        <v>-0.25</v>
      </c>
      <c r="I367" s="172">
        <v>7.5</v>
      </c>
    </row>
    <row r="368" spans="2:9" hidden="1" x14ac:dyDescent="0.3">
      <c r="B368" s="172" t="s">
        <v>24</v>
      </c>
      <c r="C368" s="172" t="s">
        <v>246</v>
      </c>
      <c r="D368" s="172" t="s">
        <v>218</v>
      </c>
      <c r="E368" s="172">
        <v>2.7569086337595201E-5</v>
      </c>
      <c r="F368" s="172">
        <v>92</v>
      </c>
      <c r="G368" s="172">
        <v>-0.25</v>
      </c>
      <c r="H368" s="172">
        <v>-0.25</v>
      </c>
      <c r="I368" s="172">
        <v>7.5</v>
      </c>
    </row>
    <row r="369" spans="2:9" hidden="1" x14ac:dyDescent="0.3">
      <c r="B369" s="172" t="s">
        <v>24</v>
      </c>
      <c r="C369" s="172" t="s">
        <v>246</v>
      </c>
      <c r="D369" s="172" t="s">
        <v>221</v>
      </c>
      <c r="E369" s="172">
        <v>1.5444593432413601E-5</v>
      </c>
      <c r="F369" s="172">
        <v>87</v>
      </c>
      <c r="G369" s="172">
        <v>-0.25</v>
      </c>
      <c r="H369" s="172">
        <v>31.25</v>
      </c>
      <c r="I369" s="172">
        <v>7.5</v>
      </c>
    </row>
    <row r="370" spans="2:9" hidden="1" x14ac:dyDescent="0.3">
      <c r="B370" s="172" t="s">
        <v>22</v>
      </c>
      <c r="C370" s="172" t="s">
        <v>79</v>
      </c>
      <c r="D370" s="172" t="s">
        <v>218</v>
      </c>
      <c r="E370" s="172">
        <v>8.3850617938885797E-4</v>
      </c>
      <c r="F370" s="172">
        <v>28</v>
      </c>
      <c r="G370" s="172">
        <v>19</v>
      </c>
      <c r="H370" s="172">
        <v>31</v>
      </c>
      <c r="I370" s="172">
        <v>4</v>
      </c>
    </row>
    <row r="371" spans="2:9" hidden="1" x14ac:dyDescent="0.3">
      <c r="B371" s="172" t="s">
        <v>22</v>
      </c>
      <c r="C371" s="172" t="s">
        <v>79</v>
      </c>
      <c r="D371" s="172" t="s">
        <v>221</v>
      </c>
      <c r="E371" s="172">
        <v>2.44197085888073E-4</v>
      </c>
      <c r="F371" s="172">
        <v>32</v>
      </c>
      <c r="G371" s="172">
        <v>0</v>
      </c>
      <c r="H371" s="172">
        <v>25</v>
      </c>
      <c r="I371" s="172">
        <v>4</v>
      </c>
    </row>
    <row r="372" spans="2:9" hidden="1" x14ac:dyDescent="0.3">
      <c r="B372" s="172" t="s">
        <v>22</v>
      </c>
      <c r="C372" s="172" t="s">
        <v>80</v>
      </c>
      <c r="D372" s="172" t="s">
        <v>218</v>
      </c>
      <c r="E372" s="172">
        <v>7.0979242481069595E-4</v>
      </c>
      <c r="F372" s="172">
        <v>99</v>
      </c>
      <c r="G372" s="172">
        <v>28</v>
      </c>
      <c r="H372" s="172">
        <v>0</v>
      </c>
      <c r="I372" s="172">
        <v>4</v>
      </c>
    </row>
    <row r="373" spans="2:9" hidden="1" x14ac:dyDescent="0.3">
      <c r="B373" s="172" t="s">
        <v>22</v>
      </c>
      <c r="C373" s="172" t="s">
        <v>80</v>
      </c>
      <c r="D373" s="172" t="s">
        <v>221</v>
      </c>
      <c r="E373" s="172">
        <v>1.4868100259096001E-4</v>
      </c>
      <c r="F373" s="172">
        <v>99</v>
      </c>
      <c r="G373" s="172">
        <v>28</v>
      </c>
      <c r="H373" s="172">
        <v>0</v>
      </c>
      <c r="I373" s="172">
        <v>4</v>
      </c>
    </row>
    <row r="374" spans="2:9" hidden="1" x14ac:dyDescent="0.3">
      <c r="B374" s="172" t="s">
        <v>22</v>
      </c>
      <c r="C374" s="172" t="s">
        <v>81</v>
      </c>
      <c r="D374" s="172" t="s">
        <v>218</v>
      </c>
      <c r="E374" s="172">
        <v>1.3122735840076101E-4</v>
      </c>
      <c r="F374" s="172">
        <v>99</v>
      </c>
      <c r="G374" s="172">
        <v>28</v>
      </c>
      <c r="H374" s="172">
        <v>0</v>
      </c>
      <c r="I374" s="172">
        <v>4</v>
      </c>
    </row>
    <row r="375" spans="2:9" x14ac:dyDescent="0.3">
      <c r="B375" s="172" t="s">
        <v>22</v>
      </c>
      <c r="C375" s="172" t="s">
        <v>81</v>
      </c>
      <c r="D375" s="172" t="s">
        <v>221</v>
      </c>
      <c r="E375" s="172">
        <v>7.7467505643268703E-4</v>
      </c>
      <c r="F375" s="172">
        <v>99</v>
      </c>
      <c r="G375" s="172">
        <v>28</v>
      </c>
      <c r="H375" s="172">
        <v>0</v>
      </c>
      <c r="I375" s="172">
        <v>4</v>
      </c>
    </row>
    <row r="376" spans="2:9" hidden="1" x14ac:dyDescent="0.3">
      <c r="B376" s="172" t="s">
        <v>22</v>
      </c>
      <c r="C376" s="172" t="s">
        <v>82</v>
      </c>
      <c r="D376" s="172" t="s">
        <v>218</v>
      </c>
      <c r="E376" s="172">
        <v>2.6474792963288702E-4</v>
      </c>
      <c r="F376" s="172">
        <v>28</v>
      </c>
      <c r="G376" s="172">
        <v>19</v>
      </c>
      <c r="H376" s="172">
        <v>31</v>
      </c>
      <c r="I376" s="172">
        <v>4</v>
      </c>
    </row>
    <row r="377" spans="2:9" hidden="1" x14ac:dyDescent="0.3">
      <c r="B377" s="172" t="s">
        <v>22</v>
      </c>
      <c r="C377" s="172" t="s">
        <v>82</v>
      </c>
      <c r="D377" s="172" t="s">
        <v>221</v>
      </c>
      <c r="E377" s="172">
        <v>8.7766444806685099E-4</v>
      </c>
      <c r="F377" s="172">
        <v>32</v>
      </c>
      <c r="G377" s="172">
        <v>0</v>
      </c>
      <c r="H377" s="172">
        <v>25</v>
      </c>
      <c r="I377" s="172">
        <v>4</v>
      </c>
    </row>
    <row r="378" spans="2:9" hidden="1" x14ac:dyDescent="0.3">
      <c r="B378" s="172" t="s">
        <v>22</v>
      </c>
      <c r="C378" s="172" t="s">
        <v>246</v>
      </c>
      <c r="D378" s="172" t="s">
        <v>218</v>
      </c>
      <c r="E378" s="172">
        <v>2.9128190600000799E-5</v>
      </c>
      <c r="F378" s="172">
        <v>99</v>
      </c>
      <c r="G378" s="172">
        <v>28</v>
      </c>
      <c r="H378" s="172">
        <v>0</v>
      </c>
      <c r="I378" s="172">
        <v>4</v>
      </c>
    </row>
    <row r="379" spans="2:9" hidden="1" x14ac:dyDescent="0.3">
      <c r="B379" s="172" t="s">
        <v>22</v>
      </c>
      <c r="C379" s="172" t="s">
        <v>246</v>
      </c>
      <c r="D379" s="172" t="s">
        <v>221</v>
      </c>
      <c r="E379" s="172">
        <v>1.51298306124447E-5</v>
      </c>
      <c r="F379" s="172">
        <v>32</v>
      </c>
      <c r="G379" s="172">
        <v>0</v>
      </c>
      <c r="H379" s="172">
        <v>25</v>
      </c>
      <c r="I379" s="172">
        <v>4</v>
      </c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3.8207061180634602E-4</v>
      </c>
      <c r="F402" s="172">
        <v>85</v>
      </c>
      <c r="G402" s="172">
        <v>28</v>
      </c>
      <c r="H402" s="172">
        <v>4</v>
      </c>
      <c r="I402" s="172">
        <v>38.5</v>
      </c>
    </row>
    <row r="403" spans="2:9" hidden="1" x14ac:dyDescent="0.3">
      <c r="B403" s="172" t="s">
        <v>189</v>
      </c>
      <c r="C403" s="172" t="s">
        <v>79</v>
      </c>
      <c r="D403" s="172" t="s">
        <v>221</v>
      </c>
      <c r="E403" s="172">
        <v>1.16945149975126E-4</v>
      </c>
      <c r="F403" s="172">
        <v>20</v>
      </c>
      <c r="G403" s="172">
        <v>23</v>
      </c>
      <c r="H403" s="172">
        <v>0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218</v>
      </c>
      <c r="E404" s="172">
        <v>4.3829969857038498E-4</v>
      </c>
      <c r="F404" s="172">
        <v>20</v>
      </c>
      <c r="G404" s="172">
        <v>23</v>
      </c>
      <c r="H404" s="172">
        <v>0</v>
      </c>
      <c r="I404" s="172">
        <v>38.5</v>
      </c>
    </row>
    <row r="405" spans="2:9" hidden="1" x14ac:dyDescent="0.3">
      <c r="B405" s="172" t="s">
        <v>189</v>
      </c>
      <c r="C405" s="172" t="s">
        <v>80</v>
      </c>
      <c r="D405" s="172" t="s">
        <v>221</v>
      </c>
      <c r="E405" s="172">
        <v>1.8740596107842E-4</v>
      </c>
      <c r="F405" s="172">
        <v>99</v>
      </c>
      <c r="G405" s="172">
        <v>28</v>
      </c>
      <c r="H405" s="172">
        <v>0</v>
      </c>
      <c r="I405" s="172">
        <v>38.5</v>
      </c>
    </row>
    <row r="406" spans="2:9" hidden="1" x14ac:dyDescent="0.3">
      <c r="B406" s="172" t="s">
        <v>189</v>
      </c>
      <c r="C406" s="172" t="s">
        <v>81</v>
      </c>
      <c r="D406" s="172" t="s">
        <v>218</v>
      </c>
      <c r="E406" s="172">
        <v>1.60377763615331E-4</v>
      </c>
      <c r="F406" s="172">
        <v>20</v>
      </c>
      <c r="G406" s="172">
        <v>23</v>
      </c>
      <c r="H406" s="172">
        <v>0</v>
      </c>
      <c r="I406" s="172">
        <v>38.5</v>
      </c>
    </row>
    <row r="407" spans="2:9" hidden="1" x14ac:dyDescent="0.3">
      <c r="B407" s="172" t="s">
        <v>189</v>
      </c>
      <c r="C407" s="172" t="s">
        <v>81</v>
      </c>
      <c r="D407" s="172" t="s">
        <v>221</v>
      </c>
      <c r="E407" s="172">
        <v>5.5490894406670405E-4</v>
      </c>
      <c r="F407" s="172">
        <v>99</v>
      </c>
      <c r="G407" s="172">
        <v>28</v>
      </c>
      <c r="H407" s="172">
        <v>0</v>
      </c>
      <c r="I407" s="172">
        <v>38.5</v>
      </c>
    </row>
    <row r="408" spans="2:9" hidden="1" x14ac:dyDescent="0.3">
      <c r="B408" s="172" t="s">
        <v>189</v>
      </c>
      <c r="C408" s="172" t="s">
        <v>82</v>
      </c>
      <c r="D408" s="172" t="s">
        <v>218</v>
      </c>
      <c r="E408" s="172">
        <v>1.03135048649422E-4</v>
      </c>
      <c r="F408" s="172">
        <v>20</v>
      </c>
      <c r="G408" s="172">
        <v>23</v>
      </c>
      <c r="H408" s="172">
        <v>0</v>
      </c>
      <c r="I408" s="172">
        <v>38.5</v>
      </c>
    </row>
    <row r="409" spans="2:9" x14ac:dyDescent="0.3">
      <c r="B409" s="172" t="s">
        <v>189</v>
      </c>
      <c r="C409" s="172" t="s">
        <v>82</v>
      </c>
      <c r="D409" s="172" t="s">
        <v>221</v>
      </c>
      <c r="E409" s="172">
        <v>4.8224636836621598E-4</v>
      </c>
      <c r="F409" s="172">
        <v>99</v>
      </c>
      <c r="G409" s="172">
        <v>28</v>
      </c>
      <c r="H409" s="172">
        <v>0</v>
      </c>
      <c r="I409" s="172">
        <v>38.5</v>
      </c>
    </row>
    <row r="410" spans="2:9" hidden="1" x14ac:dyDescent="0.3">
      <c r="B410" s="172" t="s">
        <v>189</v>
      </c>
      <c r="C410" s="172" t="s">
        <v>246</v>
      </c>
      <c r="D410" s="172" t="s">
        <v>218</v>
      </c>
      <c r="E410" s="172">
        <v>1.7362720787156199E-5</v>
      </c>
      <c r="F410" s="172">
        <v>85</v>
      </c>
      <c r="G410" s="172">
        <v>28</v>
      </c>
      <c r="H410" s="172">
        <v>4</v>
      </c>
      <c r="I410" s="172">
        <v>38.5</v>
      </c>
    </row>
    <row r="411" spans="2:9" hidden="1" x14ac:dyDescent="0.3">
      <c r="B411" s="172" t="s">
        <v>189</v>
      </c>
      <c r="C411" s="172" t="s">
        <v>246</v>
      </c>
      <c r="D411" s="172" t="s">
        <v>221</v>
      </c>
      <c r="E411" s="172">
        <v>4.1659304099087697E-5</v>
      </c>
      <c r="F411" s="172">
        <v>99</v>
      </c>
      <c r="G411" s="172">
        <v>28</v>
      </c>
      <c r="H411" s="172">
        <v>0</v>
      </c>
      <c r="I411" s="172">
        <v>38.5</v>
      </c>
    </row>
    <row r="412" spans="2:9" hidden="1" x14ac:dyDescent="0.3">
      <c r="B412" s="172" t="s">
        <v>187</v>
      </c>
      <c r="C412" s="172" t="s">
        <v>79</v>
      </c>
      <c r="D412" s="172" t="s">
        <v>218</v>
      </c>
      <c r="E412" s="172">
        <v>3.0686366814808698E-4</v>
      </c>
      <c r="F412" s="172">
        <v>92</v>
      </c>
      <c r="G412" s="172">
        <v>-0.25</v>
      </c>
      <c r="H412" s="172">
        <v>-0.25</v>
      </c>
      <c r="I412" s="172">
        <v>35.5</v>
      </c>
    </row>
    <row r="413" spans="2:9" hidden="1" x14ac:dyDescent="0.3">
      <c r="B413" s="172" t="s">
        <v>187</v>
      </c>
      <c r="C413" s="172" t="s">
        <v>79</v>
      </c>
      <c r="D413" s="172" t="s">
        <v>221</v>
      </c>
      <c r="E413" s="172">
        <v>7.2944893434997695E-5</v>
      </c>
      <c r="F413" s="172">
        <v>85</v>
      </c>
      <c r="G413" s="172">
        <v>28</v>
      </c>
      <c r="H413" s="172">
        <v>4</v>
      </c>
      <c r="I413" s="172">
        <v>35.5</v>
      </c>
    </row>
    <row r="414" spans="2:9" hidden="1" x14ac:dyDescent="0.3">
      <c r="B414" s="172" t="s">
        <v>187</v>
      </c>
      <c r="C414" s="172" t="s">
        <v>80</v>
      </c>
      <c r="D414" s="172" t="s">
        <v>218</v>
      </c>
      <c r="E414" s="172">
        <v>3.7688309989271899E-4</v>
      </c>
      <c r="F414" s="172">
        <v>92</v>
      </c>
      <c r="G414" s="172">
        <v>-0.25</v>
      </c>
      <c r="H414" s="172">
        <v>-0.25</v>
      </c>
      <c r="I414" s="172">
        <v>35.5</v>
      </c>
    </row>
    <row r="415" spans="2:9" hidden="1" x14ac:dyDescent="0.3">
      <c r="B415" s="172" t="s">
        <v>187</v>
      </c>
      <c r="C415" s="172" t="s">
        <v>80</v>
      </c>
      <c r="D415" s="172" t="s">
        <v>221</v>
      </c>
      <c r="E415" s="172">
        <v>1.5072011332964701E-4</v>
      </c>
      <c r="F415" s="172">
        <v>99</v>
      </c>
      <c r="G415" s="172">
        <v>28</v>
      </c>
      <c r="H415" s="172">
        <v>0</v>
      </c>
      <c r="I415" s="172">
        <v>35.5</v>
      </c>
    </row>
    <row r="416" spans="2:9" hidden="1" x14ac:dyDescent="0.3">
      <c r="B416" s="172" t="s">
        <v>187</v>
      </c>
      <c r="C416" s="172" t="s">
        <v>81</v>
      </c>
      <c r="D416" s="172" t="s">
        <v>218</v>
      </c>
      <c r="E416" s="172">
        <v>1.4844713035561599E-4</v>
      </c>
      <c r="F416" s="172">
        <v>92</v>
      </c>
      <c r="G416" s="172">
        <v>-0.25</v>
      </c>
      <c r="H416" s="172">
        <v>-0.25</v>
      </c>
      <c r="I416" s="172">
        <v>35.5</v>
      </c>
    </row>
    <row r="417" spans="2:9" hidden="1" x14ac:dyDescent="0.3">
      <c r="B417" s="172" t="s">
        <v>187</v>
      </c>
      <c r="C417" s="172" t="s">
        <v>81</v>
      </c>
      <c r="D417" s="172" t="s">
        <v>221</v>
      </c>
      <c r="E417" s="172">
        <v>4.45259917196274E-4</v>
      </c>
      <c r="F417" s="172">
        <v>99</v>
      </c>
      <c r="G417" s="172">
        <v>28</v>
      </c>
      <c r="H417" s="172">
        <v>0</v>
      </c>
      <c r="I417" s="172">
        <v>35.5</v>
      </c>
    </row>
    <row r="418" spans="2:9" hidden="1" x14ac:dyDescent="0.3">
      <c r="B418" s="172" t="s">
        <v>187</v>
      </c>
      <c r="C418" s="172" t="s">
        <v>82</v>
      </c>
      <c r="D418" s="172" t="s">
        <v>218</v>
      </c>
      <c r="E418" s="172">
        <v>8.7862149597242397E-5</v>
      </c>
      <c r="F418" s="172">
        <v>92</v>
      </c>
      <c r="G418" s="172">
        <v>-0.25</v>
      </c>
      <c r="H418" s="172">
        <v>-0.25</v>
      </c>
      <c r="I418" s="172">
        <v>35.5</v>
      </c>
    </row>
    <row r="419" spans="2:9" x14ac:dyDescent="0.3">
      <c r="B419" s="172" t="s">
        <v>187</v>
      </c>
      <c r="C419" s="172" t="s">
        <v>82</v>
      </c>
      <c r="D419" s="172" t="s">
        <v>221</v>
      </c>
      <c r="E419" s="172">
        <v>3.7799524830716899E-4</v>
      </c>
      <c r="F419" s="172">
        <v>99</v>
      </c>
      <c r="G419" s="172">
        <v>28</v>
      </c>
      <c r="H419" s="172">
        <v>0</v>
      </c>
      <c r="I419" s="172">
        <v>35.5</v>
      </c>
    </row>
    <row r="420" spans="2:9" hidden="1" x14ac:dyDescent="0.3">
      <c r="B420" s="172" t="s">
        <v>187</v>
      </c>
      <c r="C420" s="172" t="s">
        <v>246</v>
      </c>
      <c r="D420" s="172" t="s">
        <v>218</v>
      </c>
      <c r="E420" s="172">
        <v>2.4909680026354199E-5</v>
      </c>
      <c r="F420" s="172">
        <v>92</v>
      </c>
      <c r="G420" s="172">
        <v>-0.25</v>
      </c>
      <c r="H420" s="172">
        <v>-0.25</v>
      </c>
      <c r="I420" s="172">
        <v>35.5</v>
      </c>
    </row>
    <row r="421" spans="2:9" hidden="1" x14ac:dyDescent="0.3">
      <c r="B421" s="172" t="s">
        <v>187</v>
      </c>
      <c r="C421" s="172" t="s">
        <v>246</v>
      </c>
      <c r="D421" s="172" t="s">
        <v>221</v>
      </c>
      <c r="E421" s="172">
        <v>2.11374724708033E-5</v>
      </c>
      <c r="F421" s="172">
        <v>87</v>
      </c>
      <c r="G421" s="172">
        <v>-0.25</v>
      </c>
      <c r="H421" s="172">
        <v>31.25</v>
      </c>
      <c r="I421" s="172">
        <v>35.5</v>
      </c>
    </row>
    <row r="422" spans="2:9" hidden="1" x14ac:dyDescent="0.3">
      <c r="B422" s="172" t="s">
        <v>185</v>
      </c>
      <c r="C422" s="172" t="s">
        <v>79</v>
      </c>
      <c r="D422" s="172" t="s">
        <v>218</v>
      </c>
      <c r="E422" s="172">
        <v>5.0322344079270595E-4</v>
      </c>
      <c r="F422" s="172">
        <v>91</v>
      </c>
      <c r="G422" s="172">
        <v>23.25</v>
      </c>
      <c r="H422" s="172">
        <v>31.25</v>
      </c>
      <c r="I422" s="172">
        <v>32</v>
      </c>
    </row>
    <row r="423" spans="2:9" hidden="1" x14ac:dyDescent="0.3">
      <c r="B423" s="172" t="s">
        <v>185</v>
      </c>
      <c r="C423" s="172" t="s">
        <v>79</v>
      </c>
      <c r="D423" s="172" t="s">
        <v>221</v>
      </c>
      <c r="E423" s="172">
        <v>1.32629207908424E-4</v>
      </c>
      <c r="F423" s="172">
        <v>92</v>
      </c>
      <c r="G423" s="172">
        <v>-0.25</v>
      </c>
      <c r="H423" s="172">
        <v>-0.25</v>
      </c>
      <c r="I423" s="172">
        <v>32</v>
      </c>
    </row>
    <row r="424" spans="2:9" hidden="1" x14ac:dyDescent="0.3">
      <c r="B424" s="172" t="s">
        <v>185</v>
      </c>
      <c r="C424" s="172" t="s">
        <v>80</v>
      </c>
      <c r="D424" s="172" t="s">
        <v>218</v>
      </c>
      <c r="E424" s="172">
        <v>5.36912879573582E-4</v>
      </c>
      <c r="F424" s="172">
        <v>92</v>
      </c>
      <c r="G424" s="172">
        <v>-0.25</v>
      </c>
      <c r="H424" s="172">
        <v>-0.25</v>
      </c>
      <c r="I424" s="172">
        <v>32</v>
      </c>
    </row>
    <row r="425" spans="2:9" hidden="1" x14ac:dyDescent="0.3">
      <c r="B425" s="172" t="s">
        <v>185</v>
      </c>
      <c r="C425" s="172" t="s">
        <v>80</v>
      </c>
      <c r="D425" s="172" t="s">
        <v>221</v>
      </c>
      <c r="E425" s="172">
        <v>1.8240422401361001E-4</v>
      </c>
      <c r="F425" s="172">
        <v>99</v>
      </c>
      <c r="G425" s="172">
        <v>28</v>
      </c>
      <c r="H425" s="172">
        <v>0</v>
      </c>
      <c r="I425" s="172">
        <v>32</v>
      </c>
    </row>
    <row r="426" spans="2:9" hidden="1" x14ac:dyDescent="0.3">
      <c r="B426" s="172" t="s">
        <v>185</v>
      </c>
      <c r="C426" s="172" t="s">
        <v>81</v>
      </c>
      <c r="D426" s="172" t="s">
        <v>218</v>
      </c>
      <c r="E426" s="172">
        <v>1.71571538810288E-4</v>
      </c>
      <c r="F426" s="172">
        <v>92</v>
      </c>
      <c r="G426" s="172">
        <v>-0.25</v>
      </c>
      <c r="H426" s="172">
        <v>-0.25</v>
      </c>
      <c r="I426" s="172">
        <v>32</v>
      </c>
    </row>
    <row r="427" spans="2:9" hidden="1" x14ac:dyDescent="0.3">
      <c r="B427" s="172" t="s">
        <v>185</v>
      </c>
      <c r="C427" s="172" t="s">
        <v>81</v>
      </c>
      <c r="D427" s="172" t="s">
        <v>221</v>
      </c>
      <c r="E427" s="172">
        <v>6.3403444750721098E-4</v>
      </c>
      <c r="F427" s="172">
        <v>99</v>
      </c>
      <c r="G427" s="172">
        <v>28</v>
      </c>
      <c r="H427" s="172">
        <v>0</v>
      </c>
      <c r="I427" s="172">
        <v>32</v>
      </c>
    </row>
    <row r="428" spans="2:9" hidden="1" x14ac:dyDescent="0.3">
      <c r="B428" s="172" t="s">
        <v>185</v>
      </c>
      <c r="C428" s="172" t="s">
        <v>82</v>
      </c>
      <c r="D428" s="172" t="s">
        <v>218</v>
      </c>
      <c r="E428" s="172">
        <v>1.07118455930569E-4</v>
      </c>
      <c r="F428" s="172">
        <v>91</v>
      </c>
      <c r="G428" s="172">
        <v>23.25</v>
      </c>
      <c r="H428" s="172">
        <v>31.25</v>
      </c>
      <c r="I428" s="172">
        <v>32</v>
      </c>
    </row>
    <row r="429" spans="2:9" x14ac:dyDescent="0.3">
      <c r="B429" s="172" t="s">
        <v>185</v>
      </c>
      <c r="C429" s="172" t="s">
        <v>82</v>
      </c>
      <c r="D429" s="172" t="s">
        <v>221</v>
      </c>
      <c r="E429" s="172">
        <v>5.5939437054066201E-4</v>
      </c>
      <c r="F429" s="172">
        <v>92</v>
      </c>
      <c r="G429" s="172">
        <v>-0.25</v>
      </c>
      <c r="H429" s="172">
        <v>-0.25</v>
      </c>
      <c r="I429" s="172">
        <v>32</v>
      </c>
    </row>
    <row r="430" spans="2:9" hidden="1" x14ac:dyDescent="0.3">
      <c r="B430" s="172" t="s">
        <v>185</v>
      </c>
      <c r="C430" s="172" t="s">
        <v>246</v>
      </c>
      <c r="D430" s="172" t="s">
        <v>218</v>
      </c>
      <c r="E430" s="172">
        <v>2.4593111051432999E-5</v>
      </c>
      <c r="F430" s="172">
        <v>92</v>
      </c>
      <c r="G430" s="172">
        <v>-0.25</v>
      </c>
      <c r="H430" s="172">
        <v>-0.25</v>
      </c>
      <c r="I430" s="172">
        <v>32</v>
      </c>
    </row>
    <row r="431" spans="2:9" hidden="1" x14ac:dyDescent="0.3">
      <c r="B431" s="172" t="s">
        <v>185</v>
      </c>
      <c r="C431" s="172" t="s">
        <v>246</v>
      </c>
      <c r="D431" s="172" t="s">
        <v>221</v>
      </c>
      <c r="E431" s="172">
        <v>2.0201140714586601E-5</v>
      </c>
      <c r="F431" s="172">
        <v>92</v>
      </c>
      <c r="G431" s="172">
        <v>-0.25</v>
      </c>
      <c r="H431" s="172">
        <v>-0.25</v>
      </c>
      <c r="I431" s="172">
        <v>32</v>
      </c>
    </row>
    <row r="432" spans="2:9" hidden="1" x14ac:dyDescent="0.3">
      <c r="B432" s="172" t="s">
        <v>183</v>
      </c>
      <c r="C432" s="172" t="s">
        <v>79</v>
      </c>
      <c r="D432" s="172" t="s">
        <v>218</v>
      </c>
      <c r="E432" s="172">
        <v>6.9967319998935303E-4</v>
      </c>
      <c r="F432" s="172">
        <v>91</v>
      </c>
      <c r="G432" s="172">
        <v>23.25</v>
      </c>
      <c r="H432" s="172">
        <v>31.25</v>
      </c>
      <c r="I432" s="172">
        <v>28.5</v>
      </c>
    </row>
    <row r="433" spans="2:9" hidden="1" x14ac:dyDescent="0.3">
      <c r="B433" s="172" t="s">
        <v>183</v>
      </c>
      <c r="C433" s="172" t="s">
        <v>79</v>
      </c>
      <c r="D433" s="172" t="s">
        <v>221</v>
      </c>
      <c r="E433" s="172">
        <v>2.0068351811227799E-4</v>
      </c>
      <c r="F433" s="172">
        <v>92</v>
      </c>
      <c r="G433" s="172">
        <v>-0.25</v>
      </c>
      <c r="H433" s="172">
        <v>-0.25</v>
      </c>
      <c r="I433" s="172">
        <v>28.5</v>
      </c>
    </row>
    <row r="434" spans="2:9" hidden="1" x14ac:dyDescent="0.3">
      <c r="B434" s="172" t="s">
        <v>183</v>
      </c>
      <c r="C434" s="172" t="s">
        <v>80</v>
      </c>
      <c r="D434" s="172" t="s">
        <v>218</v>
      </c>
      <c r="E434" s="172">
        <v>6.7419689261335905E-4</v>
      </c>
      <c r="F434" s="172">
        <v>92</v>
      </c>
      <c r="G434" s="172">
        <v>-0.25</v>
      </c>
      <c r="H434" s="172">
        <v>-0.25</v>
      </c>
      <c r="I434" s="172">
        <v>28.5</v>
      </c>
    </row>
    <row r="435" spans="2:9" hidden="1" x14ac:dyDescent="0.3">
      <c r="B435" s="172" t="s">
        <v>183</v>
      </c>
      <c r="C435" s="172" t="s">
        <v>80</v>
      </c>
      <c r="D435" s="172" t="s">
        <v>221</v>
      </c>
      <c r="E435" s="172">
        <v>2.0111161220979099E-4</v>
      </c>
      <c r="F435" s="172">
        <v>99</v>
      </c>
      <c r="G435" s="172">
        <v>28</v>
      </c>
      <c r="H435" s="172">
        <v>0</v>
      </c>
      <c r="I435" s="172">
        <v>28.5</v>
      </c>
    </row>
    <row r="436" spans="2:9" hidden="1" x14ac:dyDescent="0.3">
      <c r="B436" s="172" t="s">
        <v>183</v>
      </c>
      <c r="C436" s="172" t="s">
        <v>81</v>
      </c>
      <c r="D436" s="172" t="s">
        <v>218</v>
      </c>
      <c r="E436" s="172">
        <v>1.83005966337695E-4</v>
      </c>
      <c r="F436" s="172">
        <v>92</v>
      </c>
      <c r="G436" s="172">
        <v>-0.25</v>
      </c>
      <c r="H436" s="172">
        <v>-0.25</v>
      </c>
      <c r="I436" s="172">
        <v>28.5</v>
      </c>
    </row>
    <row r="437" spans="2:9" hidden="1" x14ac:dyDescent="0.3">
      <c r="B437" s="172" t="s">
        <v>183</v>
      </c>
      <c r="C437" s="172" t="s">
        <v>81</v>
      </c>
      <c r="D437" s="172" t="s">
        <v>221</v>
      </c>
      <c r="E437" s="172">
        <v>7.9843414319214899E-4</v>
      </c>
      <c r="F437" s="172">
        <v>99</v>
      </c>
      <c r="G437" s="172">
        <v>28</v>
      </c>
      <c r="H437" s="172">
        <v>0</v>
      </c>
      <c r="I437" s="172">
        <v>28.5</v>
      </c>
    </row>
    <row r="438" spans="2:9" hidden="1" x14ac:dyDescent="0.3">
      <c r="B438" s="172" t="s">
        <v>183</v>
      </c>
      <c r="C438" s="172" t="s">
        <v>82</v>
      </c>
      <c r="D438" s="172" t="s">
        <v>218</v>
      </c>
      <c r="E438" s="172">
        <v>1.8182074084811001E-4</v>
      </c>
      <c r="F438" s="172">
        <v>91</v>
      </c>
      <c r="G438" s="172">
        <v>23.25</v>
      </c>
      <c r="H438" s="172">
        <v>31.25</v>
      </c>
      <c r="I438" s="172">
        <v>28.5</v>
      </c>
    </row>
    <row r="439" spans="2:9" x14ac:dyDescent="0.3">
      <c r="B439" s="172" t="s">
        <v>183</v>
      </c>
      <c r="C439" s="172" t="s">
        <v>82</v>
      </c>
      <c r="D439" s="172" t="s">
        <v>221</v>
      </c>
      <c r="E439" s="172">
        <v>7.7741274317633395E-4</v>
      </c>
      <c r="F439" s="172">
        <v>92</v>
      </c>
      <c r="G439" s="172">
        <v>-0.25</v>
      </c>
      <c r="H439" s="172">
        <v>-0.25</v>
      </c>
      <c r="I439" s="172">
        <v>28.5</v>
      </c>
    </row>
    <row r="440" spans="2:9" hidden="1" x14ac:dyDescent="0.3">
      <c r="B440" s="172" t="s">
        <v>183</v>
      </c>
      <c r="C440" s="172" t="s">
        <v>246</v>
      </c>
      <c r="D440" s="172" t="s">
        <v>218</v>
      </c>
      <c r="E440" s="172">
        <v>2.4176437914002901E-5</v>
      </c>
      <c r="F440" s="172">
        <v>92</v>
      </c>
      <c r="G440" s="172">
        <v>-0.25</v>
      </c>
      <c r="H440" s="172">
        <v>-0.25</v>
      </c>
      <c r="I440" s="172">
        <v>28.5</v>
      </c>
    </row>
    <row r="441" spans="2:9" hidden="1" x14ac:dyDescent="0.3">
      <c r="B441" s="172" t="s">
        <v>183</v>
      </c>
      <c r="C441" s="172" t="s">
        <v>246</v>
      </c>
      <c r="D441" s="172" t="s">
        <v>221</v>
      </c>
      <c r="E441" s="172">
        <v>1.9459591601956501E-5</v>
      </c>
      <c r="F441" s="172">
        <v>92</v>
      </c>
      <c r="G441" s="172">
        <v>-0.25</v>
      </c>
      <c r="H441" s="172">
        <v>-0.25</v>
      </c>
      <c r="I441" s="172">
        <v>28.5</v>
      </c>
    </row>
    <row r="442" spans="2:9" hidden="1" x14ac:dyDescent="0.3">
      <c r="B442" s="172" t="s">
        <v>181</v>
      </c>
      <c r="C442" s="172" t="s">
        <v>79</v>
      </c>
      <c r="D442" s="172" t="s">
        <v>218</v>
      </c>
      <c r="E442" s="172">
        <v>8.6634821439277596E-4</v>
      </c>
      <c r="F442" s="172">
        <v>91</v>
      </c>
      <c r="G442" s="172">
        <v>23.25</v>
      </c>
      <c r="H442" s="172">
        <v>31.25</v>
      </c>
      <c r="I442" s="172">
        <v>25</v>
      </c>
    </row>
    <row r="443" spans="2:9" hidden="1" x14ac:dyDescent="0.3">
      <c r="B443" s="172" t="s">
        <v>181</v>
      </c>
      <c r="C443" s="172" t="s">
        <v>79</v>
      </c>
      <c r="D443" s="172" t="s">
        <v>221</v>
      </c>
      <c r="E443" s="172">
        <v>2.58485591835212E-4</v>
      </c>
      <c r="F443" s="172">
        <v>92</v>
      </c>
      <c r="G443" s="172">
        <v>-0.25</v>
      </c>
      <c r="H443" s="172">
        <v>-0.25</v>
      </c>
      <c r="I443" s="172">
        <v>25</v>
      </c>
    </row>
    <row r="444" spans="2:9" hidden="1" x14ac:dyDescent="0.3">
      <c r="B444" s="172" t="s">
        <v>181</v>
      </c>
      <c r="C444" s="172" t="s">
        <v>80</v>
      </c>
      <c r="D444" s="172" t="s">
        <v>218</v>
      </c>
      <c r="E444" s="172">
        <v>7.8748650952288797E-4</v>
      </c>
      <c r="F444" s="172">
        <v>92</v>
      </c>
      <c r="G444" s="172">
        <v>-0.25</v>
      </c>
      <c r="H444" s="172">
        <v>-0.25</v>
      </c>
      <c r="I444" s="172">
        <v>25</v>
      </c>
    </row>
    <row r="445" spans="2:9" hidden="1" x14ac:dyDescent="0.3">
      <c r="B445" s="172" t="s">
        <v>181</v>
      </c>
      <c r="C445" s="172" t="s">
        <v>80</v>
      </c>
      <c r="D445" s="172" t="s">
        <v>221</v>
      </c>
      <c r="E445" s="172">
        <v>2.1399955072101101E-4</v>
      </c>
      <c r="F445" s="172">
        <v>99</v>
      </c>
      <c r="G445" s="172">
        <v>28</v>
      </c>
      <c r="H445" s="172">
        <v>0</v>
      </c>
      <c r="I445" s="172">
        <v>25</v>
      </c>
    </row>
    <row r="446" spans="2:9" hidden="1" x14ac:dyDescent="0.3">
      <c r="B446" s="172" t="s">
        <v>181</v>
      </c>
      <c r="C446" s="172" t="s">
        <v>81</v>
      </c>
      <c r="D446" s="172" t="s">
        <v>218</v>
      </c>
      <c r="E446" s="172">
        <v>1.8979147224850099E-4</v>
      </c>
      <c r="F446" s="172">
        <v>92</v>
      </c>
      <c r="G446" s="172">
        <v>-0.25</v>
      </c>
      <c r="H446" s="172">
        <v>-0.25</v>
      </c>
      <c r="I446" s="172">
        <v>25</v>
      </c>
    </row>
    <row r="447" spans="2:9" hidden="1" x14ac:dyDescent="0.3">
      <c r="B447" s="172" t="s">
        <v>181</v>
      </c>
      <c r="C447" s="172" t="s">
        <v>81</v>
      </c>
      <c r="D447" s="172" t="s">
        <v>221</v>
      </c>
      <c r="E447" s="172">
        <v>9.3382831666233897E-4</v>
      </c>
      <c r="F447" s="172">
        <v>99</v>
      </c>
      <c r="G447" s="172">
        <v>28</v>
      </c>
      <c r="H447" s="172">
        <v>0</v>
      </c>
      <c r="I447" s="172">
        <v>25</v>
      </c>
    </row>
    <row r="448" spans="2:9" hidden="1" x14ac:dyDescent="0.3">
      <c r="B448" s="172" t="s">
        <v>181</v>
      </c>
      <c r="C448" s="172" t="s">
        <v>82</v>
      </c>
      <c r="D448" s="172" t="s">
        <v>218</v>
      </c>
      <c r="E448" s="172">
        <v>2.4537299245243002E-4</v>
      </c>
      <c r="F448" s="172">
        <v>91</v>
      </c>
      <c r="G448" s="172">
        <v>23.25</v>
      </c>
      <c r="H448" s="172">
        <v>31.25</v>
      </c>
      <c r="I448" s="172">
        <v>25</v>
      </c>
    </row>
    <row r="449" spans="2:9" x14ac:dyDescent="0.3">
      <c r="B449" s="172" t="s">
        <v>181</v>
      </c>
      <c r="C449" s="172" t="s">
        <v>82</v>
      </c>
      <c r="D449" s="172" t="s">
        <v>221</v>
      </c>
      <c r="E449" s="172">
        <v>9.6125644365005795E-4</v>
      </c>
      <c r="F449" s="172">
        <v>92</v>
      </c>
      <c r="G449" s="172">
        <v>-0.25</v>
      </c>
      <c r="H449" s="172">
        <v>-0.25</v>
      </c>
      <c r="I449" s="172">
        <v>25</v>
      </c>
    </row>
    <row r="450" spans="2:9" hidden="1" x14ac:dyDescent="0.3">
      <c r="B450" s="172" t="s">
        <v>181</v>
      </c>
      <c r="C450" s="172" t="s">
        <v>246</v>
      </c>
      <c r="D450" s="172" t="s">
        <v>218</v>
      </c>
      <c r="E450" s="172">
        <v>2.3536308146042699E-5</v>
      </c>
      <c r="F450" s="172">
        <v>92</v>
      </c>
      <c r="G450" s="172">
        <v>-0.25</v>
      </c>
      <c r="H450" s="172">
        <v>-0.25</v>
      </c>
      <c r="I450" s="172">
        <v>25</v>
      </c>
    </row>
    <row r="451" spans="2:9" hidden="1" x14ac:dyDescent="0.3">
      <c r="B451" s="172" t="s">
        <v>181</v>
      </c>
      <c r="C451" s="172" t="s">
        <v>246</v>
      </c>
      <c r="D451" s="172" t="s">
        <v>221</v>
      </c>
      <c r="E451" s="172">
        <v>1.85591793780147E-5</v>
      </c>
      <c r="F451" s="172">
        <v>87</v>
      </c>
      <c r="G451" s="172">
        <v>-0.25</v>
      </c>
      <c r="H451" s="172">
        <v>31.25</v>
      </c>
      <c r="I451" s="172">
        <v>25</v>
      </c>
    </row>
    <row r="452" spans="2:9" hidden="1" x14ac:dyDescent="0.3">
      <c r="B452" s="172" t="s">
        <v>179</v>
      </c>
      <c r="C452" s="172" t="s">
        <v>79</v>
      </c>
      <c r="D452" s="172" t="s">
        <v>218</v>
      </c>
      <c r="E452" s="172">
        <v>9.9678933856109592E-4</v>
      </c>
      <c r="F452" s="172">
        <v>91</v>
      </c>
      <c r="G452" s="172">
        <v>23.25</v>
      </c>
      <c r="H452" s="172">
        <v>31.25</v>
      </c>
      <c r="I452" s="172">
        <v>21.5</v>
      </c>
    </row>
    <row r="453" spans="2:9" hidden="1" x14ac:dyDescent="0.3">
      <c r="B453" s="172" t="s">
        <v>179</v>
      </c>
      <c r="C453" s="172" t="s">
        <v>79</v>
      </c>
      <c r="D453" s="172" t="s">
        <v>221</v>
      </c>
      <c r="E453" s="172">
        <v>3.03471259228235E-4</v>
      </c>
      <c r="F453" s="172">
        <v>87</v>
      </c>
      <c r="G453" s="172">
        <v>-0.25</v>
      </c>
      <c r="H453" s="172">
        <v>31.25</v>
      </c>
      <c r="I453" s="172">
        <v>21.5</v>
      </c>
    </row>
    <row r="454" spans="2:9" hidden="1" x14ac:dyDescent="0.3">
      <c r="B454" s="172" t="s">
        <v>179</v>
      </c>
      <c r="C454" s="172" t="s">
        <v>80</v>
      </c>
      <c r="D454" s="172" t="s">
        <v>218</v>
      </c>
      <c r="E454" s="172">
        <v>8.7360204149341798E-4</v>
      </c>
      <c r="F454" s="172">
        <v>92</v>
      </c>
      <c r="G454" s="172">
        <v>-0.25</v>
      </c>
      <c r="H454" s="172">
        <v>-0.25</v>
      </c>
      <c r="I454" s="172">
        <v>21.5</v>
      </c>
    </row>
    <row r="455" spans="2:9" hidden="1" x14ac:dyDescent="0.3">
      <c r="B455" s="172" t="s">
        <v>179</v>
      </c>
      <c r="C455" s="172" t="s">
        <v>80</v>
      </c>
      <c r="D455" s="172" t="s">
        <v>221</v>
      </c>
      <c r="E455" s="172">
        <v>2.2145206382202299E-4</v>
      </c>
      <c r="F455" s="172">
        <v>99</v>
      </c>
      <c r="G455" s="172">
        <v>28</v>
      </c>
      <c r="H455" s="172">
        <v>0</v>
      </c>
      <c r="I455" s="172">
        <v>21.5</v>
      </c>
    </row>
    <row r="456" spans="2:9" hidden="1" x14ac:dyDescent="0.3">
      <c r="B456" s="172" t="s">
        <v>179</v>
      </c>
      <c r="C456" s="172" t="s">
        <v>81</v>
      </c>
      <c r="D456" s="172" t="s">
        <v>218</v>
      </c>
      <c r="E456" s="172">
        <v>1.9299252793690999E-4</v>
      </c>
      <c r="F456" s="172">
        <v>92</v>
      </c>
      <c r="G456" s="172">
        <v>-0.25</v>
      </c>
      <c r="H456" s="172">
        <v>-0.25</v>
      </c>
      <c r="I456" s="172">
        <v>21.5</v>
      </c>
    </row>
    <row r="457" spans="2:9" hidden="1" x14ac:dyDescent="0.3">
      <c r="B457" s="172" t="s">
        <v>179</v>
      </c>
      <c r="C457" s="172" t="s">
        <v>81</v>
      </c>
      <c r="D457" s="172" t="s">
        <v>221</v>
      </c>
      <c r="E457" s="172">
        <v>1.03673434889868E-3</v>
      </c>
      <c r="F457" s="172">
        <v>99</v>
      </c>
      <c r="G457" s="172">
        <v>28</v>
      </c>
      <c r="H457" s="172">
        <v>0</v>
      </c>
      <c r="I457" s="172">
        <v>21.5</v>
      </c>
    </row>
    <row r="458" spans="2:9" hidden="1" x14ac:dyDescent="0.3">
      <c r="B458" s="172" t="s">
        <v>179</v>
      </c>
      <c r="C458" s="172" t="s">
        <v>82</v>
      </c>
      <c r="D458" s="172" t="s">
        <v>218</v>
      </c>
      <c r="E458" s="172">
        <v>2.9477435712838002E-4</v>
      </c>
      <c r="F458" s="172">
        <v>91</v>
      </c>
      <c r="G458" s="172">
        <v>23.25</v>
      </c>
      <c r="H458" s="172">
        <v>31.25</v>
      </c>
      <c r="I458" s="172">
        <v>21.5</v>
      </c>
    </row>
    <row r="459" spans="2:9" x14ac:dyDescent="0.3">
      <c r="B459" s="172" t="s">
        <v>179</v>
      </c>
      <c r="C459" s="172" t="s">
        <v>82</v>
      </c>
      <c r="D459" s="172" t="s">
        <v>221</v>
      </c>
      <c r="E459" s="172">
        <v>1.1037737215795001E-3</v>
      </c>
      <c r="F459" s="172">
        <v>92</v>
      </c>
      <c r="G459" s="172">
        <v>-0.25</v>
      </c>
      <c r="H459" s="172">
        <v>-0.25</v>
      </c>
      <c r="I459" s="172">
        <v>21.5</v>
      </c>
    </row>
    <row r="460" spans="2:9" hidden="1" x14ac:dyDescent="0.3">
      <c r="B460" s="172" t="s">
        <v>179</v>
      </c>
      <c r="C460" s="172" t="s">
        <v>246</v>
      </c>
      <c r="D460" s="172" t="s">
        <v>218</v>
      </c>
      <c r="E460" s="172">
        <v>2.3007821628542101E-5</v>
      </c>
      <c r="F460" s="172">
        <v>92</v>
      </c>
      <c r="G460" s="172">
        <v>-0.25</v>
      </c>
      <c r="H460" s="172">
        <v>-0.25</v>
      </c>
      <c r="I460" s="172">
        <v>21.5</v>
      </c>
    </row>
    <row r="461" spans="2:9" hidden="1" x14ac:dyDescent="0.3">
      <c r="B461" s="172" t="s">
        <v>179</v>
      </c>
      <c r="C461" s="172" t="s">
        <v>246</v>
      </c>
      <c r="D461" s="172" t="s">
        <v>221</v>
      </c>
      <c r="E461" s="172">
        <v>1.7682675754328401E-5</v>
      </c>
      <c r="F461" s="172">
        <v>92</v>
      </c>
      <c r="G461" s="172">
        <v>-0.25</v>
      </c>
      <c r="H461" s="172">
        <v>-0.25</v>
      </c>
      <c r="I461" s="172">
        <v>21.5</v>
      </c>
    </row>
    <row r="462" spans="2:9" hidden="1" x14ac:dyDescent="0.3">
      <c r="B462" s="172" t="s">
        <v>39</v>
      </c>
      <c r="C462" s="172" t="s">
        <v>79</v>
      </c>
      <c r="D462" s="172" t="s">
        <v>218</v>
      </c>
      <c r="E462" s="172">
        <v>1.0536534968789201E-3</v>
      </c>
      <c r="F462" s="172">
        <v>91</v>
      </c>
      <c r="G462" s="172">
        <v>23.25</v>
      </c>
      <c r="H462" s="172">
        <v>31.25</v>
      </c>
      <c r="I462" s="172">
        <v>18</v>
      </c>
    </row>
    <row r="463" spans="2:9" hidden="1" x14ac:dyDescent="0.3">
      <c r="B463" s="172" t="s">
        <v>39</v>
      </c>
      <c r="C463" s="172" t="s">
        <v>79</v>
      </c>
      <c r="D463" s="172" t="s">
        <v>221</v>
      </c>
      <c r="E463" s="172">
        <v>3.2215897307039598E-4</v>
      </c>
      <c r="F463" s="172">
        <v>92</v>
      </c>
      <c r="G463" s="172">
        <v>-0.25</v>
      </c>
      <c r="H463" s="172">
        <v>-0.25</v>
      </c>
      <c r="I463" s="172">
        <v>18</v>
      </c>
    </row>
    <row r="464" spans="2:9" hidden="1" x14ac:dyDescent="0.3">
      <c r="B464" s="172" t="s">
        <v>39</v>
      </c>
      <c r="C464" s="172" t="s">
        <v>80</v>
      </c>
      <c r="D464" s="172" t="s">
        <v>218</v>
      </c>
      <c r="E464" s="172">
        <v>9.0527014787404397E-4</v>
      </c>
      <c r="F464" s="172">
        <v>92</v>
      </c>
      <c r="G464" s="172">
        <v>-0.25</v>
      </c>
      <c r="H464" s="172">
        <v>-0.25</v>
      </c>
      <c r="I464" s="172">
        <v>18</v>
      </c>
    </row>
    <row r="465" spans="2:9" hidden="1" x14ac:dyDescent="0.3">
      <c r="B465" s="172" t="s">
        <v>39</v>
      </c>
      <c r="C465" s="172" t="s">
        <v>80</v>
      </c>
      <c r="D465" s="172" t="s">
        <v>221</v>
      </c>
      <c r="E465" s="172">
        <v>2.1799423792481101E-4</v>
      </c>
      <c r="F465" s="172">
        <v>99</v>
      </c>
      <c r="G465" s="172">
        <v>28</v>
      </c>
      <c r="H465" s="172">
        <v>0</v>
      </c>
      <c r="I465" s="172">
        <v>18</v>
      </c>
    </row>
    <row r="466" spans="2:9" hidden="1" x14ac:dyDescent="0.3">
      <c r="B466" s="172" t="s">
        <v>39</v>
      </c>
      <c r="C466" s="172" t="s">
        <v>81</v>
      </c>
      <c r="D466" s="172" t="s">
        <v>218</v>
      </c>
      <c r="E466" s="172">
        <v>1.90351740917717E-4</v>
      </c>
      <c r="F466" s="172">
        <v>92</v>
      </c>
      <c r="G466" s="172">
        <v>-0.25</v>
      </c>
      <c r="H466" s="172">
        <v>-0.25</v>
      </c>
      <c r="I466" s="172">
        <v>18</v>
      </c>
    </row>
    <row r="467" spans="2:9" hidden="1" x14ac:dyDescent="0.3">
      <c r="B467" s="172" t="s">
        <v>39</v>
      </c>
      <c r="C467" s="172" t="s">
        <v>81</v>
      </c>
      <c r="D467" s="172" t="s">
        <v>221</v>
      </c>
      <c r="E467" s="172">
        <v>1.0823255338901999E-3</v>
      </c>
      <c r="F467" s="172">
        <v>99</v>
      </c>
      <c r="G467" s="172">
        <v>28</v>
      </c>
      <c r="H467" s="172">
        <v>0</v>
      </c>
      <c r="I467" s="172">
        <v>18</v>
      </c>
    </row>
    <row r="468" spans="2:9" hidden="1" x14ac:dyDescent="0.3">
      <c r="B468" s="172" t="s">
        <v>39</v>
      </c>
      <c r="C468" s="172" t="s">
        <v>82</v>
      </c>
      <c r="D468" s="172" t="s">
        <v>218</v>
      </c>
      <c r="E468" s="172">
        <v>3.1249211435627899E-4</v>
      </c>
      <c r="F468" s="172">
        <v>91</v>
      </c>
      <c r="G468" s="172">
        <v>23.25</v>
      </c>
      <c r="H468" s="172">
        <v>31.25</v>
      </c>
      <c r="I468" s="172">
        <v>18</v>
      </c>
    </row>
    <row r="469" spans="2:9" x14ac:dyDescent="0.3">
      <c r="B469" s="172" t="s">
        <v>39</v>
      </c>
      <c r="C469" s="172" t="s">
        <v>82</v>
      </c>
      <c r="D469" s="172" t="s">
        <v>221</v>
      </c>
      <c r="E469" s="172">
        <v>1.16728632737566E-3</v>
      </c>
      <c r="F469" s="172">
        <v>92</v>
      </c>
      <c r="G469" s="172">
        <v>-0.25</v>
      </c>
      <c r="H469" s="172">
        <v>-0.25</v>
      </c>
      <c r="I469" s="172">
        <v>18</v>
      </c>
    </row>
    <row r="470" spans="2:9" hidden="1" x14ac:dyDescent="0.3">
      <c r="B470" s="172" t="s">
        <v>39</v>
      </c>
      <c r="C470" s="172" t="s">
        <v>246</v>
      </c>
      <c r="D470" s="172" t="s">
        <v>218</v>
      </c>
      <c r="E470" s="172">
        <v>2.4749411700441201E-5</v>
      </c>
      <c r="F470" s="172">
        <v>92</v>
      </c>
      <c r="G470" s="172">
        <v>-0.25</v>
      </c>
      <c r="H470" s="172">
        <v>-0.25</v>
      </c>
      <c r="I470" s="172">
        <v>18</v>
      </c>
    </row>
    <row r="471" spans="2:9" hidden="1" x14ac:dyDescent="0.3">
      <c r="B471" s="172" t="s">
        <v>39</v>
      </c>
      <c r="C471" s="172" t="s">
        <v>246</v>
      </c>
      <c r="D471" s="172" t="s">
        <v>221</v>
      </c>
      <c r="E471" s="172">
        <v>1.78875140668687E-5</v>
      </c>
      <c r="F471" s="172">
        <v>92</v>
      </c>
      <c r="G471" s="172">
        <v>-0.25</v>
      </c>
      <c r="H471" s="172">
        <v>-0.25</v>
      </c>
      <c r="I471" s="172">
        <v>18</v>
      </c>
    </row>
    <row r="472" spans="2:9" hidden="1" x14ac:dyDescent="0.3">
      <c r="B472" s="172" t="s">
        <v>26</v>
      </c>
      <c r="C472" s="172" t="s">
        <v>79</v>
      </c>
      <c r="D472" s="172" t="s">
        <v>218</v>
      </c>
      <c r="E472" s="172">
        <v>1.0855662623775999E-3</v>
      </c>
      <c r="F472" s="172">
        <v>91</v>
      </c>
      <c r="G472" s="172">
        <v>23.25</v>
      </c>
      <c r="H472" s="172">
        <v>31.25</v>
      </c>
      <c r="I472" s="172">
        <v>14.5</v>
      </c>
    </row>
    <row r="473" spans="2:9" hidden="1" x14ac:dyDescent="0.3">
      <c r="B473" s="172" t="s">
        <v>26</v>
      </c>
      <c r="C473" s="172" t="s">
        <v>79</v>
      </c>
      <c r="D473" s="172" t="s">
        <v>221</v>
      </c>
      <c r="E473" s="172">
        <v>3.3350692522702202E-4</v>
      </c>
      <c r="F473" s="172">
        <v>92</v>
      </c>
      <c r="G473" s="172">
        <v>-0.25</v>
      </c>
      <c r="H473" s="172">
        <v>-0.25</v>
      </c>
      <c r="I473" s="172">
        <v>14.5</v>
      </c>
    </row>
    <row r="474" spans="2:9" hidden="1" x14ac:dyDescent="0.3">
      <c r="B474" s="172" t="s">
        <v>26</v>
      </c>
      <c r="C474" s="172" t="s">
        <v>80</v>
      </c>
      <c r="D474" s="172" t="s">
        <v>218</v>
      </c>
      <c r="E474" s="172">
        <v>9.1538424002186901E-4</v>
      </c>
      <c r="F474" s="172">
        <v>92</v>
      </c>
      <c r="G474" s="172">
        <v>-0.25</v>
      </c>
      <c r="H474" s="172">
        <v>-0.25</v>
      </c>
      <c r="I474" s="172">
        <v>14.5</v>
      </c>
    </row>
    <row r="475" spans="2:9" hidden="1" x14ac:dyDescent="0.3">
      <c r="B475" s="172" t="s">
        <v>26</v>
      </c>
      <c r="C475" s="172" t="s">
        <v>80</v>
      </c>
      <c r="D475" s="172" t="s">
        <v>221</v>
      </c>
      <c r="E475" s="172">
        <v>2.09527031242385E-4</v>
      </c>
      <c r="F475" s="172">
        <v>99</v>
      </c>
      <c r="G475" s="172">
        <v>28</v>
      </c>
      <c r="H475" s="172">
        <v>0</v>
      </c>
      <c r="I475" s="172">
        <v>14.5</v>
      </c>
    </row>
    <row r="476" spans="2:9" hidden="1" x14ac:dyDescent="0.3">
      <c r="B476" s="172" t="s">
        <v>26</v>
      </c>
      <c r="C476" s="172" t="s">
        <v>81</v>
      </c>
      <c r="D476" s="172" t="s">
        <v>218</v>
      </c>
      <c r="E476" s="172">
        <v>1.8099847131853401E-4</v>
      </c>
      <c r="F476" s="172">
        <v>92</v>
      </c>
      <c r="G476" s="172">
        <v>-0.25</v>
      </c>
      <c r="H476" s="172">
        <v>-0.25</v>
      </c>
      <c r="I476" s="172">
        <v>14.5</v>
      </c>
    </row>
    <row r="477" spans="2:9" hidden="1" x14ac:dyDescent="0.3">
      <c r="B477" s="172" t="s">
        <v>26</v>
      </c>
      <c r="C477" s="172" t="s">
        <v>81</v>
      </c>
      <c r="D477" s="172" t="s">
        <v>221</v>
      </c>
      <c r="E477" s="172">
        <v>1.1016076125305099E-3</v>
      </c>
      <c r="F477" s="172">
        <v>99</v>
      </c>
      <c r="G477" s="172">
        <v>28</v>
      </c>
      <c r="H477" s="172">
        <v>0</v>
      </c>
      <c r="I477" s="172">
        <v>14.5</v>
      </c>
    </row>
    <row r="478" spans="2:9" hidden="1" x14ac:dyDescent="0.3">
      <c r="B478" s="172" t="s">
        <v>26</v>
      </c>
      <c r="C478" s="172" t="s">
        <v>82</v>
      </c>
      <c r="D478" s="172" t="s">
        <v>218</v>
      </c>
      <c r="E478" s="172">
        <v>3.24175038259449E-4</v>
      </c>
      <c r="F478" s="172">
        <v>91</v>
      </c>
      <c r="G478" s="172">
        <v>23.25</v>
      </c>
      <c r="H478" s="172">
        <v>31.25</v>
      </c>
      <c r="I478" s="172">
        <v>14.5</v>
      </c>
    </row>
    <row r="479" spans="2:9" x14ac:dyDescent="0.3">
      <c r="B479" s="172" t="s">
        <v>26</v>
      </c>
      <c r="C479" s="172" t="s">
        <v>82</v>
      </c>
      <c r="D479" s="172" t="s">
        <v>221</v>
      </c>
      <c r="E479" s="172">
        <v>1.2056802204837699E-3</v>
      </c>
      <c r="F479" s="172">
        <v>92</v>
      </c>
      <c r="G479" s="172">
        <v>-0.25</v>
      </c>
      <c r="H479" s="172">
        <v>-0.25</v>
      </c>
      <c r="I479" s="172">
        <v>14.5</v>
      </c>
    </row>
    <row r="480" spans="2:9" hidden="1" x14ac:dyDescent="0.3">
      <c r="B480" s="172" t="s">
        <v>26</v>
      </c>
      <c r="C480" s="172" t="s">
        <v>246</v>
      </c>
      <c r="D480" s="172" t="s">
        <v>218</v>
      </c>
      <c r="E480" s="172">
        <v>2.7234705754276499E-5</v>
      </c>
      <c r="F480" s="172">
        <v>92</v>
      </c>
      <c r="G480" s="172">
        <v>-0.25</v>
      </c>
      <c r="H480" s="172">
        <v>-0.25</v>
      </c>
      <c r="I480" s="172">
        <v>14.5</v>
      </c>
    </row>
    <row r="481" spans="2:9" hidden="1" x14ac:dyDescent="0.3">
      <c r="B481" s="172" t="s">
        <v>26</v>
      </c>
      <c r="C481" s="172" t="s">
        <v>246</v>
      </c>
      <c r="D481" s="172" t="s">
        <v>221</v>
      </c>
      <c r="E481" s="172">
        <v>1.7888320595816301E-5</v>
      </c>
      <c r="F481" s="172">
        <v>87</v>
      </c>
      <c r="G481" s="172">
        <v>-0.25</v>
      </c>
      <c r="H481" s="172">
        <v>31.25</v>
      </c>
      <c r="I481" s="172">
        <v>14.5</v>
      </c>
    </row>
    <row r="482" spans="2:9" hidden="1" x14ac:dyDescent="0.3">
      <c r="B482" s="172" t="s">
        <v>25</v>
      </c>
      <c r="C482" s="172" t="s">
        <v>79</v>
      </c>
      <c r="D482" s="172" t="s">
        <v>218</v>
      </c>
      <c r="E482" s="172">
        <v>1.13948928090594E-3</v>
      </c>
      <c r="F482" s="172">
        <v>91</v>
      </c>
      <c r="G482" s="172">
        <v>23.25</v>
      </c>
      <c r="H482" s="172">
        <v>31.25</v>
      </c>
      <c r="I482" s="172">
        <v>11</v>
      </c>
    </row>
    <row r="483" spans="2:9" hidden="1" x14ac:dyDescent="0.3">
      <c r="B483" s="172" t="s">
        <v>25</v>
      </c>
      <c r="C483" s="172" t="s">
        <v>79</v>
      </c>
      <c r="D483" s="172" t="s">
        <v>221</v>
      </c>
      <c r="E483" s="172">
        <v>3.55724381403451E-4</v>
      </c>
      <c r="F483" s="172">
        <v>87</v>
      </c>
      <c r="G483" s="172">
        <v>-0.25</v>
      </c>
      <c r="H483" s="172">
        <v>31.25</v>
      </c>
      <c r="I483" s="172">
        <v>11</v>
      </c>
    </row>
    <row r="484" spans="2:9" hidden="1" x14ac:dyDescent="0.3">
      <c r="B484" s="172" t="s">
        <v>25</v>
      </c>
      <c r="C484" s="172" t="s">
        <v>80</v>
      </c>
      <c r="D484" s="172" t="s">
        <v>218</v>
      </c>
      <c r="E484" s="172">
        <v>9.3374713375722802E-4</v>
      </c>
      <c r="F484" s="172">
        <v>92</v>
      </c>
      <c r="G484" s="172">
        <v>-0.25</v>
      </c>
      <c r="H484" s="172">
        <v>-0.25</v>
      </c>
      <c r="I484" s="172">
        <v>11</v>
      </c>
    </row>
    <row r="485" spans="2:9" hidden="1" x14ac:dyDescent="0.3">
      <c r="B485" s="172" t="s">
        <v>25</v>
      </c>
      <c r="C485" s="172" t="s">
        <v>80</v>
      </c>
      <c r="D485" s="172" t="s">
        <v>221</v>
      </c>
      <c r="E485" s="172">
        <v>1.9962397217465299E-4</v>
      </c>
      <c r="F485" s="172">
        <v>99</v>
      </c>
      <c r="G485" s="172">
        <v>28</v>
      </c>
      <c r="H485" s="172">
        <v>0</v>
      </c>
      <c r="I485" s="172">
        <v>11</v>
      </c>
    </row>
    <row r="486" spans="2:9" hidden="1" x14ac:dyDescent="0.3">
      <c r="B486" s="172" t="s">
        <v>25</v>
      </c>
      <c r="C486" s="172" t="s">
        <v>81</v>
      </c>
      <c r="D486" s="172" t="s">
        <v>218</v>
      </c>
      <c r="E486" s="172">
        <v>1.6971861856240699E-4</v>
      </c>
      <c r="F486" s="172">
        <v>92</v>
      </c>
      <c r="G486" s="172">
        <v>-0.25</v>
      </c>
      <c r="H486" s="172">
        <v>-0.25</v>
      </c>
      <c r="I486" s="172">
        <v>11</v>
      </c>
    </row>
    <row r="487" spans="2:9" hidden="1" x14ac:dyDescent="0.3">
      <c r="B487" s="172" t="s">
        <v>25</v>
      </c>
      <c r="C487" s="172" t="s">
        <v>81</v>
      </c>
      <c r="D487" s="172" t="s">
        <v>221</v>
      </c>
      <c r="E487" s="172">
        <v>1.1240208621179999E-3</v>
      </c>
      <c r="F487" s="172">
        <v>99</v>
      </c>
      <c r="G487" s="172">
        <v>28</v>
      </c>
      <c r="H487" s="172">
        <v>0</v>
      </c>
      <c r="I487" s="172">
        <v>11</v>
      </c>
    </row>
    <row r="488" spans="2:9" hidden="1" x14ac:dyDescent="0.3">
      <c r="B488" s="172" t="s">
        <v>25</v>
      </c>
      <c r="C488" s="172" t="s">
        <v>82</v>
      </c>
      <c r="D488" s="172" t="s">
        <v>218</v>
      </c>
      <c r="E488" s="172">
        <v>3.5304556282867399E-4</v>
      </c>
      <c r="F488" s="172">
        <v>91</v>
      </c>
      <c r="G488" s="172">
        <v>23.25</v>
      </c>
      <c r="H488" s="172">
        <v>31.25</v>
      </c>
      <c r="I488" s="172">
        <v>11</v>
      </c>
    </row>
    <row r="489" spans="2:9" x14ac:dyDescent="0.3">
      <c r="B489" s="172" t="s">
        <v>25</v>
      </c>
      <c r="C489" s="172" t="s">
        <v>82</v>
      </c>
      <c r="D489" s="172" t="s">
        <v>221</v>
      </c>
      <c r="E489" s="172">
        <v>1.2642984176418799E-3</v>
      </c>
      <c r="F489" s="172">
        <v>92</v>
      </c>
      <c r="G489" s="172">
        <v>-0.25</v>
      </c>
      <c r="H489" s="172">
        <v>-0.25</v>
      </c>
      <c r="I489" s="172">
        <v>11</v>
      </c>
    </row>
    <row r="490" spans="2:9" hidden="1" x14ac:dyDescent="0.3">
      <c r="B490" s="172" t="s">
        <v>25</v>
      </c>
      <c r="C490" s="172" t="s">
        <v>246</v>
      </c>
      <c r="D490" s="172" t="s">
        <v>218</v>
      </c>
      <c r="E490" s="172">
        <v>2.6572622727668099E-5</v>
      </c>
      <c r="F490" s="172">
        <v>92</v>
      </c>
      <c r="G490" s="172">
        <v>-0.25</v>
      </c>
      <c r="H490" s="172">
        <v>-0.25</v>
      </c>
      <c r="I490" s="172">
        <v>11</v>
      </c>
    </row>
    <row r="491" spans="2:9" hidden="1" x14ac:dyDescent="0.3">
      <c r="B491" s="172" t="s">
        <v>25</v>
      </c>
      <c r="C491" s="172" t="s">
        <v>246</v>
      </c>
      <c r="D491" s="172" t="s">
        <v>221</v>
      </c>
      <c r="E491" s="172">
        <v>1.62181753634093E-5</v>
      </c>
      <c r="F491" s="172">
        <v>92</v>
      </c>
      <c r="G491" s="172">
        <v>-0.25</v>
      </c>
      <c r="H491" s="172">
        <v>-0.25</v>
      </c>
      <c r="I491" s="172">
        <v>11</v>
      </c>
    </row>
    <row r="492" spans="2:9" hidden="1" x14ac:dyDescent="0.3">
      <c r="B492" s="172" t="s">
        <v>24</v>
      </c>
      <c r="C492" s="172" t="s">
        <v>79</v>
      </c>
      <c r="D492" s="172" t="s">
        <v>218</v>
      </c>
      <c r="E492" s="172">
        <v>1.1512408005055E-3</v>
      </c>
      <c r="F492" s="172">
        <v>91</v>
      </c>
      <c r="G492" s="172">
        <v>23.25</v>
      </c>
      <c r="H492" s="172">
        <v>31.25</v>
      </c>
      <c r="I492" s="172">
        <v>7.5</v>
      </c>
    </row>
    <row r="493" spans="2:9" hidden="1" x14ac:dyDescent="0.3">
      <c r="B493" s="172" t="s">
        <v>24</v>
      </c>
      <c r="C493" s="172" t="s">
        <v>79</v>
      </c>
      <c r="D493" s="172" t="s">
        <v>221</v>
      </c>
      <c r="E493" s="172">
        <v>3.6059100601911202E-4</v>
      </c>
      <c r="F493" s="172">
        <v>92</v>
      </c>
      <c r="G493" s="172">
        <v>-0.25</v>
      </c>
      <c r="H493" s="172">
        <v>-0.25</v>
      </c>
      <c r="I493" s="172">
        <v>7.5</v>
      </c>
    </row>
    <row r="494" spans="2:9" hidden="1" x14ac:dyDescent="0.3">
      <c r="B494" s="172" t="s">
        <v>24</v>
      </c>
      <c r="C494" s="172" t="s">
        <v>80</v>
      </c>
      <c r="D494" s="172" t="s">
        <v>218</v>
      </c>
      <c r="E494" s="172">
        <v>9.2765345707100904E-4</v>
      </c>
      <c r="F494" s="172">
        <v>91</v>
      </c>
      <c r="G494" s="172">
        <v>23.25</v>
      </c>
      <c r="H494" s="172">
        <v>31.25</v>
      </c>
      <c r="I494" s="172">
        <v>7.5</v>
      </c>
    </row>
    <row r="495" spans="2:9" hidden="1" x14ac:dyDescent="0.3">
      <c r="B495" s="172" t="s">
        <v>24</v>
      </c>
      <c r="C495" s="172" t="s">
        <v>80</v>
      </c>
      <c r="D495" s="172" t="s">
        <v>221</v>
      </c>
      <c r="E495" s="172">
        <v>1.86974704028337E-4</v>
      </c>
      <c r="F495" s="172">
        <v>92</v>
      </c>
      <c r="G495" s="172">
        <v>-0.25</v>
      </c>
      <c r="H495" s="172">
        <v>-0.25</v>
      </c>
      <c r="I495" s="172">
        <v>7.5</v>
      </c>
    </row>
    <row r="496" spans="2:9" hidden="1" x14ac:dyDescent="0.3">
      <c r="B496" s="172" t="s">
        <v>24</v>
      </c>
      <c r="C496" s="172" t="s">
        <v>81</v>
      </c>
      <c r="D496" s="172" t="s">
        <v>218</v>
      </c>
      <c r="E496" s="172">
        <v>1.77647662929165E-4</v>
      </c>
      <c r="F496" s="172">
        <v>91</v>
      </c>
      <c r="G496" s="172">
        <v>23.25</v>
      </c>
      <c r="H496" s="172">
        <v>31.25</v>
      </c>
      <c r="I496" s="172">
        <v>7.5</v>
      </c>
    </row>
    <row r="497" spans="2:9" hidden="1" x14ac:dyDescent="0.3">
      <c r="B497" s="172" t="s">
        <v>24</v>
      </c>
      <c r="C497" s="172" t="s">
        <v>81</v>
      </c>
      <c r="D497" s="172" t="s">
        <v>221</v>
      </c>
      <c r="E497" s="172">
        <v>1.11765084948974E-3</v>
      </c>
      <c r="F497" s="172">
        <v>92</v>
      </c>
      <c r="G497" s="172">
        <v>-0.25</v>
      </c>
      <c r="H497" s="172">
        <v>-0.25</v>
      </c>
      <c r="I497" s="172">
        <v>7.5</v>
      </c>
    </row>
    <row r="498" spans="2:9" hidden="1" x14ac:dyDescent="0.3">
      <c r="B498" s="172" t="s">
        <v>24</v>
      </c>
      <c r="C498" s="172" t="s">
        <v>82</v>
      </c>
      <c r="D498" s="172" t="s">
        <v>218</v>
      </c>
      <c r="E498" s="172">
        <v>3.6748715035701899E-4</v>
      </c>
      <c r="F498" s="172">
        <v>91</v>
      </c>
      <c r="G498" s="172">
        <v>23.25</v>
      </c>
      <c r="H498" s="172">
        <v>31.25</v>
      </c>
      <c r="I498" s="172">
        <v>7.5</v>
      </c>
    </row>
    <row r="499" spans="2:9" x14ac:dyDescent="0.3">
      <c r="B499" s="172" t="s">
        <v>24</v>
      </c>
      <c r="C499" s="172" t="s">
        <v>82</v>
      </c>
      <c r="D499" s="172" t="s">
        <v>221</v>
      </c>
      <c r="E499" s="172">
        <v>1.26505291513001E-3</v>
      </c>
      <c r="F499" s="172">
        <v>92</v>
      </c>
      <c r="G499" s="172">
        <v>-0.25</v>
      </c>
      <c r="H499" s="172">
        <v>-0.25</v>
      </c>
      <c r="I499" s="172">
        <v>7.5</v>
      </c>
    </row>
    <row r="500" spans="2:9" hidden="1" x14ac:dyDescent="0.3">
      <c r="B500" s="172" t="s">
        <v>24</v>
      </c>
      <c r="C500" s="172" t="s">
        <v>246</v>
      </c>
      <c r="D500" s="172" t="s">
        <v>218</v>
      </c>
      <c r="E500" s="172">
        <v>2.7569086337595201E-5</v>
      </c>
      <c r="F500" s="172">
        <v>92</v>
      </c>
      <c r="G500" s="172">
        <v>-0.25</v>
      </c>
      <c r="H500" s="172">
        <v>-0.25</v>
      </c>
      <c r="I500" s="172">
        <v>7.5</v>
      </c>
    </row>
    <row r="501" spans="2:9" hidden="1" x14ac:dyDescent="0.3">
      <c r="B501" s="172" t="s">
        <v>24</v>
      </c>
      <c r="C501" s="172" t="s">
        <v>246</v>
      </c>
      <c r="D501" s="172" t="s">
        <v>221</v>
      </c>
      <c r="E501" s="172">
        <v>1.5444593432413601E-5</v>
      </c>
      <c r="F501" s="172">
        <v>87</v>
      </c>
      <c r="G501" s="172">
        <v>-0.25</v>
      </c>
      <c r="H501" s="172">
        <v>31.25</v>
      </c>
      <c r="I501" s="172">
        <v>7.5</v>
      </c>
    </row>
    <row r="502" spans="2:9" hidden="1" x14ac:dyDescent="0.3">
      <c r="B502" s="172" t="s">
        <v>22</v>
      </c>
      <c r="C502" s="172" t="s">
        <v>79</v>
      </c>
      <c r="D502" s="172" t="s">
        <v>218</v>
      </c>
      <c r="E502" s="172">
        <v>8.3850617938885797E-4</v>
      </c>
      <c r="F502" s="172">
        <v>28</v>
      </c>
      <c r="G502" s="172">
        <v>19</v>
      </c>
      <c r="H502" s="172">
        <v>31</v>
      </c>
      <c r="I502" s="172">
        <v>4</v>
      </c>
    </row>
    <row r="503" spans="2:9" hidden="1" x14ac:dyDescent="0.3">
      <c r="B503" s="172" t="s">
        <v>22</v>
      </c>
      <c r="C503" s="172" t="s">
        <v>79</v>
      </c>
      <c r="D503" s="172" t="s">
        <v>221</v>
      </c>
      <c r="E503" s="172">
        <v>2.44197085888073E-4</v>
      </c>
      <c r="F503" s="172">
        <v>32</v>
      </c>
      <c r="G503" s="172">
        <v>0</v>
      </c>
      <c r="H503" s="172">
        <v>25</v>
      </c>
      <c r="I503" s="172">
        <v>4</v>
      </c>
    </row>
    <row r="504" spans="2:9" hidden="1" x14ac:dyDescent="0.3">
      <c r="B504" s="172" t="s">
        <v>22</v>
      </c>
      <c r="C504" s="172" t="s">
        <v>80</v>
      </c>
      <c r="D504" s="172" t="s">
        <v>218</v>
      </c>
      <c r="E504" s="172">
        <v>7.0979242481069595E-4</v>
      </c>
      <c r="F504" s="172">
        <v>99</v>
      </c>
      <c r="G504" s="172">
        <v>28</v>
      </c>
      <c r="H504" s="172">
        <v>0</v>
      </c>
      <c r="I504" s="172">
        <v>4</v>
      </c>
    </row>
    <row r="505" spans="2:9" hidden="1" x14ac:dyDescent="0.3">
      <c r="B505" s="172" t="s">
        <v>22</v>
      </c>
      <c r="C505" s="172" t="s">
        <v>80</v>
      </c>
      <c r="D505" s="172" t="s">
        <v>221</v>
      </c>
      <c r="E505" s="172">
        <v>1.4868100259096001E-4</v>
      </c>
      <c r="F505" s="172">
        <v>99</v>
      </c>
      <c r="G505" s="172">
        <v>28</v>
      </c>
      <c r="H505" s="172">
        <v>0</v>
      </c>
      <c r="I505" s="172">
        <v>4</v>
      </c>
    </row>
    <row r="506" spans="2:9" hidden="1" x14ac:dyDescent="0.3">
      <c r="B506" s="172" t="s">
        <v>22</v>
      </c>
      <c r="C506" s="172" t="s">
        <v>81</v>
      </c>
      <c r="D506" s="172" t="s">
        <v>218</v>
      </c>
      <c r="E506" s="172">
        <v>1.3122735840076101E-4</v>
      </c>
      <c r="F506" s="172">
        <v>99</v>
      </c>
      <c r="G506" s="172">
        <v>28</v>
      </c>
      <c r="H506" s="172">
        <v>0</v>
      </c>
      <c r="I506" s="172">
        <v>4</v>
      </c>
    </row>
    <row r="507" spans="2:9" hidden="1" x14ac:dyDescent="0.3">
      <c r="B507" s="172" t="s">
        <v>22</v>
      </c>
      <c r="C507" s="172" t="s">
        <v>81</v>
      </c>
      <c r="D507" s="172" t="s">
        <v>221</v>
      </c>
      <c r="E507" s="172">
        <v>7.7467505643268703E-4</v>
      </c>
      <c r="F507" s="172">
        <v>99</v>
      </c>
      <c r="G507" s="172">
        <v>28</v>
      </c>
      <c r="H507" s="172">
        <v>0</v>
      </c>
      <c r="I507" s="172">
        <v>4</v>
      </c>
    </row>
    <row r="508" spans="2:9" hidden="1" x14ac:dyDescent="0.3">
      <c r="B508" s="172" t="s">
        <v>22</v>
      </c>
      <c r="C508" s="172" t="s">
        <v>82</v>
      </c>
      <c r="D508" s="172" t="s">
        <v>218</v>
      </c>
      <c r="E508" s="172">
        <v>2.6474792963288702E-4</v>
      </c>
      <c r="F508" s="172">
        <v>28</v>
      </c>
      <c r="G508" s="172">
        <v>19</v>
      </c>
      <c r="H508" s="172">
        <v>31</v>
      </c>
      <c r="I508" s="172">
        <v>4</v>
      </c>
    </row>
    <row r="509" spans="2:9" x14ac:dyDescent="0.3">
      <c r="B509" s="172" t="s">
        <v>22</v>
      </c>
      <c r="C509" s="172" t="s">
        <v>82</v>
      </c>
      <c r="D509" s="172" t="s">
        <v>221</v>
      </c>
      <c r="E509" s="172">
        <v>8.7766444806685099E-4</v>
      </c>
      <c r="F509" s="172">
        <v>32</v>
      </c>
      <c r="G509" s="172">
        <v>0</v>
      </c>
      <c r="H509" s="172">
        <v>25</v>
      </c>
      <c r="I509" s="172">
        <v>4</v>
      </c>
    </row>
    <row r="510" spans="2:9" hidden="1" x14ac:dyDescent="0.3">
      <c r="B510" s="172" t="s">
        <v>22</v>
      </c>
      <c r="C510" s="172" t="s">
        <v>246</v>
      </c>
      <c r="D510" s="172" t="s">
        <v>218</v>
      </c>
      <c r="E510" s="172">
        <v>2.9128190600000799E-5</v>
      </c>
      <c r="F510" s="172">
        <v>99</v>
      </c>
      <c r="G510" s="172">
        <v>28</v>
      </c>
      <c r="H510" s="172">
        <v>0</v>
      </c>
      <c r="I510" s="172">
        <v>4</v>
      </c>
    </row>
    <row r="511" spans="2:9" hidden="1" x14ac:dyDescent="0.3">
      <c r="B511" s="172" t="s">
        <v>22</v>
      </c>
      <c r="C511" s="172" t="s">
        <v>246</v>
      </c>
      <c r="D511" s="172" t="s">
        <v>221</v>
      </c>
      <c r="E511" s="172">
        <v>1.51298306124447E-5</v>
      </c>
      <c r="F511" s="172">
        <v>32</v>
      </c>
      <c r="G511" s="172">
        <v>0</v>
      </c>
      <c r="H511" s="172">
        <v>25</v>
      </c>
      <c r="I511" s="172">
        <v>4</v>
      </c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abSelected="1" zoomScale="80" zoomScaleNormal="80" workbookViewId="0">
      <selection activeCell="L71" sqref="L71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3.8207061180634602E-4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3.0686366814808698E-4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5.0322344079270595E-4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6.9967319998935303E-4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8.6634821439277596E-4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9.9678933856109592E-4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1.0536534968789201E-3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1.0855662623775999E-3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1.13948928090594E-3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1.1512408005055E-3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8.3850617938885797E-4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4.3829969857038498E-4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3.7688309989271899E-4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5.36912879573582E-4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6.7419689261335905E-4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7.8748650952288797E-4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8.7360204149341798E-4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9.0527014787404397E-4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9.1538424002186901E-4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9.3374713375722802E-4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9.2765345707100904E-4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7.0979242481069595E-4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5.5490894406670405E-4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4.45259917196274E-4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6.3403444750721098E-4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7.9843414319214899E-4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9.3382831666233897E-4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1.03673434889868E-3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1.0823255338901999E-3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1.1016076125305099E-3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1.1240208621179999E-3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1.11765084948974E-3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7.7467505643268703E-4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4.8224636836621598E-4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3.7799524830716899E-4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5.5939437054066201E-4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7.7741274317633395E-4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9.6125644365005795E-4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1.1037737215795001E-3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1.16728632737566E-3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1.2056802204837699E-3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1.2642984176418799E-3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1.26505291513001E-3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8.7766444806685099E-4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zoomScale="80" zoomScaleNormal="80" workbookViewId="0">
      <selection activeCell="H75" sqref="H75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2.4272016453386301E-2</v>
      </c>
      <c r="F6" s="185">
        <v>2.3708306492626698E-2</v>
      </c>
      <c r="G6" s="186">
        <v>1.0237768969679499</v>
      </c>
      <c r="H6" s="42">
        <f>+E6/(1.2*F6)</f>
        <v>0.85314741413995265</v>
      </c>
      <c r="I6" s="47">
        <f>+'Centers of Mass and Rigidity'!L5-'Centers of Mass and Rigidity'!F5</f>
        <v>-1.0986692544923002</v>
      </c>
      <c r="J6" s="47">
        <f>+'Centers of Mass and Rigidity'!M5-'Centers of Mass and Rigidity'!G5</f>
        <v>0.56341002866329015</v>
      </c>
      <c r="K6" s="172">
        <f>IF(+'Sismo UBC-94 y Dinamico'!O15=0,'Sismo UBC-94 y Dinamico'!M15,'Sismo UBC-94 y Dinamico'!O15)</f>
        <v>1017.3591494031352</v>
      </c>
      <c r="L6" s="172">
        <f>IF(+'Sismo UBC-94 y Dinamico'!P15=0,'Sismo UBC-94 y Dinamico'!N15,'Sismo UBC-94 y Dinamico'!P15)</f>
        <v>640.28792396856602</v>
      </c>
      <c r="M6" s="52">
        <f>0.05*N6*K6*(H6-1)+0.05*O6*L6*(H6-1)</f>
        <v>-339.70495177846158</v>
      </c>
      <c r="N6">
        <f>+$N$3</f>
        <v>31</v>
      </c>
      <c r="O6">
        <f>+$O$3</f>
        <v>23</v>
      </c>
      <c r="P6" s="95">
        <f>+K6*(J6+0.05*N6*H6)-K6*(J6+0.05*N6)</f>
        <v>-231.57282384925475</v>
      </c>
      <c r="Q6" s="95">
        <f>+L6*(I6+0.05*O6*H6)-L6*(I6+0.05*O6)</f>
        <v>-108.13212792920712</v>
      </c>
      <c r="R6" s="95">
        <f>+P6+Q6</f>
        <v>-339.70495177846186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3.05748600321551E-2</v>
      </c>
      <c r="F7" s="185">
        <v>2.6298550442528799E-2</v>
      </c>
      <c r="G7" s="186">
        <v>1.16260628504873</v>
      </c>
      <c r="H7" s="42">
        <f t="shared" ref="H7:H16" si="0">+E7/(1.2*F7)</f>
        <v>0.96883857087394365</v>
      </c>
      <c r="I7" s="47">
        <f>+'Centers of Mass and Rigidity'!L6-'Centers of Mass and Rigidity'!F6</f>
        <v>0.30852880517699965</v>
      </c>
      <c r="J7" s="47">
        <f>+'Centers of Mass and Rigidity'!M6-'Centers of Mass and Rigidity'!G6</f>
        <v>-0.56411475531530009</v>
      </c>
      <c r="K7" s="172">
        <f>IF(+'Sismo UBC-94 y Dinamico'!O16=0,'Sismo UBC-94 y Dinamico'!M16,'Sismo UBC-94 y Dinamico'!O16)</f>
        <v>31213.797328967768</v>
      </c>
      <c r="L7" s="172">
        <f>IF(+'Sismo UBC-94 y Dinamico'!P16=0,'Sismo UBC-94 y Dinamico'!N16,'Sismo UBC-94 y Dinamico'!P16)</f>
        <v>5375.1958254723286</v>
      </c>
      <c r="M7" s="52">
        <f>0.05*N7*K7*(H7-1)+0.05*O7*L7*(H7-1)</f>
        <v>-1700.2567278109095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-1507.6331264936598</v>
      </c>
      <c r="Q7" s="95">
        <f>+L7*(I7+0.05*O7*H7)-L7*(I7+0.05*O7)</f>
        <v>-192.62360131724836</v>
      </c>
      <c r="R7" s="95">
        <f>+P7+Q7</f>
        <v>-1700.2567278109082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2.95293143602623E-2</v>
      </c>
      <c r="F8" s="185">
        <v>2.5238880095989701E-2</v>
      </c>
      <c r="G8" s="186">
        <v>1.1699930523048201</v>
      </c>
      <c r="H8" s="42">
        <f t="shared" si="0"/>
        <v>0.97499421025401478</v>
      </c>
      <c r="I8" s="47">
        <f>+'Centers of Mass and Rigidity'!L7-'Centers of Mass and Rigidity'!F7</f>
        <v>0.60918556293249893</v>
      </c>
      <c r="J8" s="47">
        <f>+'Centers of Mass and Rigidity'!M7-'Centers of Mass and Rigidity'!G7</f>
        <v>-0.83146852384509984</v>
      </c>
      <c r="K8" s="172">
        <f>IF(+'Sismo UBC-94 y Dinamico'!O17=0,'Sismo UBC-94 y Dinamico'!M17,'Sismo UBC-94 y Dinamico'!O17)</f>
        <v>35329.536874533951</v>
      </c>
      <c r="L8" s="172">
        <f>IF(+'Sismo UBC-94 y Dinamico'!P17=0,'Sismo UBC-94 y Dinamico'!N17,'Sismo UBC-94 y Dinamico'!P17)</f>
        <v>6031.4567314616588</v>
      </c>
      <c r="M8" s="52">
        <f>0.05*N8*K8*(H8-1)+0.05*O8*L8*(H8-1)</f>
        <v>-1542.7811446291009</v>
      </c>
      <c r="N8" s="172">
        <f t="shared" si="1"/>
        <v>31</v>
      </c>
      <c r="O8" s="172">
        <f t="shared" si="2"/>
        <v>23</v>
      </c>
      <c r="P8" s="95">
        <f>+K8*(J8+0.05*N8*H8)-K8*(J8+0.05*N8)</f>
        <v>-1369.3366049068245</v>
      </c>
      <c r="Q8" s="95">
        <f>+L8*(I8+0.05*O8*H8)-L8*(I8+0.05*O8)</f>
        <v>-173.44453972227893</v>
      </c>
      <c r="R8" s="95">
        <f>+P8+Q8</f>
        <v>-1542.7811446291034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2.7769948154111799E-2</v>
      </c>
      <c r="F9" s="185">
        <v>2.3598295760523299E-2</v>
      </c>
      <c r="G9" s="186">
        <v>1.1767776976745501</v>
      </c>
      <c r="H9" s="42">
        <f t="shared" si="0"/>
        <v>0.98064808139546178</v>
      </c>
      <c r="I9" s="47">
        <f>+'Centers of Mass and Rigidity'!L8-'Centers of Mass and Rigidity'!F8</f>
        <v>0.77802102291449948</v>
      </c>
      <c r="J9" s="47">
        <f>+'Centers of Mass and Rigidity'!M8-'Centers of Mass and Rigidity'!G8</f>
        <v>-0.95059132249610023</v>
      </c>
      <c r="K9" s="172">
        <f>IF(+'Sismo UBC-94 y Dinamico'!O18=0,'Sismo UBC-94 y Dinamico'!M18,'Sismo UBC-94 y Dinamico'!O18)</f>
        <v>29658.850249632873</v>
      </c>
      <c r="L9" s="172">
        <f>IF(+'Sismo UBC-94 y Dinamico'!P18=0,'Sismo UBC-94 y Dinamico'!N18,'Sismo UBC-94 y Dinamico'!P18)</f>
        <v>4697.9083278325425</v>
      </c>
      <c r="M9" s="52">
        <f>0.05*N9*K9*(H9-1)+0.05*O9*L9*(H9-1)</f>
        <v>-994.18183720694674</v>
      </c>
      <c r="N9" s="172">
        <f t="shared" si="1"/>
        <v>31</v>
      </c>
      <c r="O9" s="172">
        <f t="shared" si="2"/>
        <v>23</v>
      </c>
      <c r="P9" s="95">
        <f>+K9*(J9+0.05*N9*H9)-K9*(J9+0.05*N9)</f>
        <v>-889.63126669937992</v>
      </c>
      <c r="Q9" s="95">
        <f>+L9*(I9+0.05*O9*H9)-L9*(I9+0.05*O9)</f>
        <v>-104.55057050756841</v>
      </c>
      <c r="R9" s="95">
        <f>+P9+Q9</f>
        <v>-994.18183720694833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2.5325432732021199E-2</v>
      </c>
      <c r="F10" s="185">
        <v>2.1422908566507699E-2</v>
      </c>
      <c r="G10" s="186">
        <v>1.1821659348168401</v>
      </c>
      <c r="H10" s="42">
        <f t="shared" si="0"/>
        <v>0.98513827901403084</v>
      </c>
      <c r="I10" s="47">
        <f>+'Centers of Mass and Rigidity'!L9-'Centers of Mass and Rigidity'!F9</f>
        <v>0.92421093823049993</v>
      </c>
      <c r="J10" s="47">
        <f>+'Centers of Mass and Rigidity'!M9-'Centers of Mass and Rigidity'!G9</f>
        <v>-1.0554499563024002</v>
      </c>
      <c r="K10" s="172">
        <f>IF(+'Sismo UBC-94 y Dinamico'!O19=0,'Sismo UBC-94 y Dinamico'!M19,'Sismo UBC-94 y Dinamico'!O19)</f>
        <v>24903.590123524766</v>
      </c>
      <c r="L10" s="172">
        <f>IF(+'Sismo UBC-94 y Dinamico'!P19=0,'Sismo UBC-94 y Dinamico'!N19,'Sismo UBC-94 y Dinamico'!P19)</f>
        <v>3751.2851410816484</v>
      </c>
      <c r="M10" s="52">
        <f>0.05*N10*K10*(H10-1)+0.05*O10*L10*(H10-1)</f>
        <v>-637.78395841678434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-573.67082234538066</v>
      </c>
      <c r="Q10" s="95">
        <f>+L10*(I10+0.05*O10*H10)-L10*(I10+0.05*O10)</f>
        <v>-64.11313607140255</v>
      </c>
      <c r="R10" s="95">
        <f>+P10+Q10</f>
        <v>-637.78395841678321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2.22996853191911E-2</v>
      </c>
      <c r="F11" s="185">
        <v>1.8798384081439301E-2</v>
      </c>
      <c r="G11" s="186">
        <v>1.18625543677495</v>
      </c>
      <c r="H11" s="42">
        <f t="shared" si="0"/>
        <v>0.98854619731246074</v>
      </c>
      <c r="I11" s="47">
        <f>+'Centers of Mass and Rigidity'!L10-'Centers of Mass and Rigidity'!F10</f>
        <v>1.0450080446664991</v>
      </c>
      <c r="J11" s="47">
        <f>+'Centers of Mass and Rigidity'!M10-'Centers of Mass and Rigidity'!G10</f>
        <v>-1.1441725999178001</v>
      </c>
      <c r="K11" s="172">
        <f>IF(+'Sismo UBC-94 y Dinamico'!O20=0,'Sismo UBC-94 y Dinamico'!M20,'Sismo UBC-94 y Dinamico'!O20)</f>
        <v>21159.072491527684</v>
      </c>
      <c r="L11" s="172">
        <f>IF(+'Sismo UBC-94 y Dinamico'!P20=0,'Sismo UBC-94 y Dinamico'!N20,'Sismo UBC-94 y Dinamico'!P20)</f>
        <v>3150.4767798844096</v>
      </c>
      <c r="M11" s="52">
        <f t="shared" ref="M11:M16" si="3">0.05*N11*K11*(H11-1)+0.05*O11*L11*(H11-1)</f>
        <v>-417.14303444215221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-375.64535412240912</v>
      </c>
      <c r="Q11" s="95">
        <f t="shared" ref="Q11:Q16" si="5">+L11*(I11+0.05*O11*H11)-L11*(I11+0.05*O11)</f>
        <v>-41.497680319742358</v>
      </c>
      <c r="R11" s="95">
        <f t="shared" ref="R11:R16" si="6">+P11+Q11</f>
        <v>-417.14303444215147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1.8819109718254502E-2</v>
      </c>
      <c r="F12" s="185">
        <v>1.58254076901925E-2</v>
      </c>
      <c r="G12" s="186">
        <v>1.18917061011435</v>
      </c>
      <c r="H12" s="42">
        <f t="shared" si="0"/>
        <v>0.99097550842862292</v>
      </c>
      <c r="I12" s="47">
        <f>+'Centers of Mass and Rigidity'!L11-'Centers of Mass and Rigidity'!F11</f>
        <v>1.1466245329865004</v>
      </c>
      <c r="J12" s="47">
        <f>+'Centers of Mass and Rigidity'!M11-'Centers of Mass and Rigidity'!G11</f>
        <v>-1.2197583854047007</v>
      </c>
      <c r="K12" s="172">
        <f>IF(+'Sismo UBC-94 y Dinamico'!O21=0,'Sismo UBC-94 y Dinamico'!M21,'Sismo UBC-94 y Dinamico'!O21)</f>
        <v>18206.831918283493</v>
      </c>
      <c r="L12" s="172">
        <f>IF(+'Sismo UBC-94 y Dinamico'!P21=0,'Sismo UBC-94 y Dinamico'!N21,'Sismo UBC-94 y Dinamico'!P21)</f>
        <v>2749.218696533113</v>
      </c>
      <c r="M12" s="52">
        <f t="shared" si="3"/>
        <v>-283.20831793938999</v>
      </c>
      <c r="N12" s="172">
        <f t="shared" si="1"/>
        <v>31</v>
      </c>
      <c r="O12" s="172">
        <f t="shared" si="2"/>
        <v>23</v>
      </c>
      <c r="P12" s="95">
        <f t="shared" si="4"/>
        <v>-254.67647184144334</v>
      </c>
      <c r="Q12" s="95">
        <f t="shared" si="5"/>
        <v>-28.531846097946072</v>
      </c>
      <c r="R12" s="95">
        <f t="shared" si="6"/>
        <v>-283.20831793938942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1.51402189021897E-2</v>
      </c>
      <c r="F13" s="185">
        <v>1.26980951008393E-2</v>
      </c>
      <c r="G13" s="186">
        <v>1.19232205948662</v>
      </c>
      <c r="H13" s="42">
        <f t="shared" si="0"/>
        <v>0.99360171623885185</v>
      </c>
      <c r="I13" s="47">
        <f>+'Centers of Mass and Rigidity'!L12-'Centers of Mass and Rigidity'!F12</f>
        <v>1.2695539776176989</v>
      </c>
      <c r="J13" s="47">
        <f>+'Centers of Mass and Rigidity'!M12-'Centers of Mass and Rigidity'!G12</f>
        <v>-1.2476452984312001</v>
      </c>
      <c r="K13" s="172">
        <f>IF(+'Sismo UBC-94 y Dinamico'!O22=0,'Sismo UBC-94 y Dinamico'!M22,'Sismo UBC-94 y Dinamico'!O22)</f>
        <v>16212.023624826024</v>
      </c>
      <c r="L13" s="172">
        <f>IF(+'Sismo UBC-94 y Dinamico'!P22=0,'Sismo UBC-94 y Dinamico'!N22,'Sismo UBC-94 y Dinamico'!P22)</f>
        <v>2542.7382372058901</v>
      </c>
      <c r="M13" s="52">
        <f t="shared" si="3"/>
        <v>-179.48968250357512</v>
      </c>
      <c r="N13" s="172">
        <f t="shared" si="1"/>
        <v>31</v>
      </c>
      <c r="O13" s="172">
        <f t="shared" si="2"/>
        <v>23</v>
      </c>
      <c r="P13" s="95">
        <f t="shared" si="4"/>
        <v>-160.78014761581471</v>
      </c>
      <c r="Q13" s="95">
        <f t="shared" si="5"/>
        <v>-18.709534887760128</v>
      </c>
      <c r="R13" s="95">
        <f t="shared" si="6"/>
        <v>-179.48968250357484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1.1350115429103301E-2</v>
      </c>
      <c r="F14" s="185">
        <v>9.4894552323310094E-3</v>
      </c>
      <c r="G14" s="186">
        <v>1.1960766083212999</v>
      </c>
      <c r="H14" s="42">
        <f t="shared" si="0"/>
        <v>0.99673050693441789</v>
      </c>
      <c r="I14" s="47">
        <f>+'Centers of Mass and Rigidity'!L13-'Centers of Mass and Rigidity'!F13</f>
        <v>1.3148285830947994</v>
      </c>
      <c r="J14" s="47">
        <f>+'Centers of Mass and Rigidity'!M13-'Centers of Mass and Rigidity'!G13</f>
        <v>-1.2395509591499003</v>
      </c>
      <c r="K14" s="172">
        <f>IF(+'Sismo UBC-94 y Dinamico'!O23=0,'Sismo UBC-94 y Dinamico'!M23,'Sismo UBC-94 y Dinamico'!O23)</f>
        <v>13839.375341244946</v>
      </c>
      <c r="L14" s="172">
        <f>IF(+'Sismo UBC-94 y Dinamico'!P23=0,'Sismo UBC-94 y Dinamico'!N23,'Sismo UBC-94 y Dinamico'!P23)</f>
        <v>2296.5473038100208</v>
      </c>
      <c r="M14" s="52">
        <f t="shared" si="3"/>
        <v>-78.768826958068331</v>
      </c>
      <c r="N14" s="172">
        <f t="shared" si="1"/>
        <v>31</v>
      </c>
      <c r="O14" s="172">
        <f t="shared" si="2"/>
        <v>23</v>
      </c>
      <c r="P14" s="95">
        <f t="shared" si="4"/>
        <v>-70.133999650790429</v>
      </c>
      <c r="Q14" s="95">
        <f t="shared" si="5"/>
        <v>-8.6348273072762822</v>
      </c>
      <c r="R14" s="95">
        <f t="shared" si="6"/>
        <v>-78.768826958066711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7.3723611018724298E-3</v>
      </c>
      <c r="F15" s="185">
        <v>6.1601065733771698E-3</v>
      </c>
      <c r="G15" s="186">
        <v>1.19679116165529</v>
      </c>
      <c r="H15" s="42">
        <f t="shared" si="0"/>
        <v>0.9973259680460721</v>
      </c>
      <c r="I15" s="47">
        <f>+'Centers of Mass and Rigidity'!L14-'Centers of Mass and Rigidity'!F14</f>
        <v>1.2256762290097996</v>
      </c>
      <c r="J15" s="47">
        <f>+'Centers of Mass and Rigidity'!M14-'Centers of Mass and Rigidity'!G14</f>
        <v>-1.0977802126688996</v>
      </c>
      <c r="K15" s="172">
        <f>IF(+'Sismo UBC-94 y Dinamico'!O24=0,'Sismo UBC-94 y Dinamico'!M24,'Sismo UBC-94 y Dinamico'!O24)</f>
        <v>10644.269311621323</v>
      </c>
      <c r="L15" s="172">
        <f>IF(+'Sismo UBC-94 y Dinamico'!P24=0,'Sismo UBC-94 y Dinamico'!N24,'Sismo UBC-94 y Dinamico'!P24)</f>
        <v>1898.2891692341382</v>
      </c>
      <c r="M15" s="52">
        <f t="shared" si="3"/>
        <v>-49.955328992285281</v>
      </c>
      <c r="N15" s="172">
        <f t="shared" si="1"/>
        <v>31</v>
      </c>
      <c r="O15" s="172">
        <f t="shared" si="2"/>
        <v>23</v>
      </c>
      <c r="P15" s="95">
        <f t="shared" si="4"/>
        <v>-44.11783021150859</v>
      </c>
      <c r="Q15" s="95">
        <f t="shared" si="5"/>
        <v>-5.8374987807765137</v>
      </c>
      <c r="R15" s="95">
        <f t="shared" si="6"/>
        <v>-49.955328992285104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3.3540247175554302E-3</v>
      </c>
      <c r="F16" s="188">
        <v>2.8241680711001702E-3</v>
      </c>
      <c r="G16" s="189">
        <v>1.1876151252743401</v>
      </c>
      <c r="H16" s="42">
        <f t="shared" si="0"/>
        <v>0.98967927106195308</v>
      </c>
      <c r="I16" s="47">
        <f>+'Centers of Mass and Rigidity'!L15-'Centers of Mass and Rigidity'!F15</f>
        <v>0.79342826482050022</v>
      </c>
      <c r="J16" s="47">
        <f>+'Centers of Mass and Rigidity'!M15-'Centers of Mass and Rigidity'!G15</f>
        <v>-0.60993863657009939</v>
      </c>
      <c r="K16" s="172">
        <f>IF(+'Sismo UBC-94 y Dinamico'!O25=0,'Sismo UBC-94 y Dinamico'!M25,'Sismo UBC-94 y Dinamico'!O25)</f>
        <v>5965.3311632103114</v>
      </c>
      <c r="L16" s="172">
        <f>IF(+'Sismo UBC-94 y Dinamico'!P25=0,'Sismo UBC-94 y Dinamico'!N25,'Sismo UBC-94 y Dinamico'!P25)</f>
        <v>1094.0592153995804</v>
      </c>
      <c r="M16" s="52">
        <f t="shared" si="3"/>
        <v>-108.41338913478357</v>
      </c>
      <c r="N16" s="172">
        <f t="shared" si="1"/>
        <v>31</v>
      </c>
      <c r="O16" s="172">
        <f t="shared" si="2"/>
        <v>23</v>
      </c>
      <c r="P16" s="95">
        <f t="shared" si="4"/>
        <v>-95.428177239826255</v>
      </c>
      <c r="Q16" s="95">
        <f t="shared" si="5"/>
        <v>-12.985211894957956</v>
      </c>
      <c r="R16" s="95">
        <f t="shared" si="6"/>
        <v>-108.41338913478421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2.8385699246985599E-2</v>
      </c>
      <c r="F24" s="185">
        <v>2.8205107174070598E-2</v>
      </c>
      <c r="G24" s="186">
        <v>1.00640281463213</v>
      </c>
      <c r="H24" s="42">
        <f>+E24/(1.2*F24)</f>
        <v>0.8386690121934437</v>
      </c>
      <c r="I24" s="47">
        <f t="shared" ref="I24:L28" si="7">+I6</f>
        <v>-1.0986692544923002</v>
      </c>
      <c r="J24" s="47">
        <f t="shared" si="7"/>
        <v>0.56341002866329015</v>
      </c>
      <c r="K24" s="48">
        <f>+K6</f>
        <v>1017.3591494031352</v>
      </c>
      <c r="L24" s="48">
        <f>+L6</f>
        <v>640.28792396856602</v>
      </c>
      <c r="M24" s="52">
        <f>-0.05*N24*K24*(H24-1)-0.05*O24*L24*(H24-1)</f>
        <v>373.19693835985754</v>
      </c>
      <c r="N24" s="172">
        <f>+$N$3</f>
        <v>31</v>
      </c>
      <c r="O24" s="172">
        <f>+$O$3</f>
        <v>23</v>
      </c>
      <c r="P24" s="95">
        <f>+K24*(J24-0.05*N24*H24)-K24*(J24-0.05*N24)</f>
        <v>254.40391261723096</v>
      </c>
      <c r="Q24" s="95">
        <f>+L24*(I24-0.05*O24*H24)-L24*(I24-0.05*O24)</f>
        <v>118.79302574262692</v>
      </c>
      <c r="R24" s="95">
        <f>+P24+Q24</f>
        <v>373.19693835985788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2.7070800151274398E-2</v>
      </c>
      <c r="F25" s="185">
        <v>2.5690176845514001E-2</v>
      </c>
      <c r="G25" s="186">
        <v>1.0537412924038101</v>
      </c>
      <c r="H25" s="42">
        <f>+E25/(1.2*F25)</f>
        <v>0.87811774366984297</v>
      </c>
      <c r="I25" s="47">
        <f t="shared" si="7"/>
        <v>0.30852880517699965</v>
      </c>
      <c r="J25" s="47">
        <f t="shared" si="7"/>
        <v>-0.56411475531530009</v>
      </c>
      <c r="K25" s="48">
        <f t="shared" si="7"/>
        <v>31213.797328967768</v>
      </c>
      <c r="L25" s="48">
        <f t="shared" si="7"/>
        <v>5375.1958254723286</v>
      </c>
      <c r="M25" s="52">
        <f>-0.05*N25*K25*(H25-1)-0.05*O25*L25*(H25-1)</f>
        <v>6650.2446177233323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5896.8324729845626</v>
      </c>
      <c r="Q25" s="95">
        <f>+L25*(I25-0.05*O25*H25)-L25*(I25-0.05*O25)</f>
        <v>753.41214473875925</v>
      </c>
      <c r="R25" s="95">
        <f>+P25+Q25</f>
        <v>6650.2446177233214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2.5755918614750201E-2</v>
      </c>
      <c r="F26" s="185">
        <v>2.46362727212069E-2</v>
      </c>
      <c r="G26" s="186">
        <v>1.0454470490002099</v>
      </c>
      <c r="H26" s="42">
        <f>+E26/(1.2*F26)</f>
        <v>0.87120587416684414</v>
      </c>
      <c r="I26" s="47">
        <f t="shared" si="7"/>
        <v>0.60918556293249893</v>
      </c>
      <c r="J26" s="47">
        <f t="shared" si="7"/>
        <v>-0.83146852384509984</v>
      </c>
      <c r="K26" s="48">
        <f t="shared" si="7"/>
        <v>35329.536874533951</v>
      </c>
      <c r="L26" s="48">
        <f t="shared" si="7"/>
        <v>6031.4567314616588</v>
      </c>
      <c r="M26" s="52">
        <f>-0.05*N26*K26*(H26-1)-0.05*O26*L26*(H26-1)</f>
        <v>7946.2056944745345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7052.8670676610491</v>
      </c>
      <c r="Q26" s="95">
        <f>+L26*(I26-0.05*O26*H26)-L26*(I26-0.05*O26)</f>
        <v>893.33862681347409</v>
      </c>
      <c r="R26" s="95">
        <f>+P26+Q26</f>
        <v>7946.2056944745236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2.3880868882698299E-2</v>
      </c>
      <c r="F27" s="185">
        <v>2.3018234469407699E-2</v>
      </c>
      <c r="G27" s="186">
        <v>1.03747613286489</v>
      </c>
      <c r="H27" s="42">
        <f>+E27/(1.2*F27)</f>
        <v>0.86456344405407093</v>
      </c>
      <c r="I27" s="47">
        <f t="shared" si="7"/>
        <v>0.77802102291449948</v>
      </c>
      <c r="J27" s="47">
        <f t="shared" si="7"/>
        <v>-0.95059132249610023</v>
      </c>
      <c r="K27" s="48">
        <f t="shared" si="7"/>
        <v>29658.850249632873</v>
      </c>
      <c r="L27" s="48">
        <f t="shared" si="7"/>
        <v>4697.9083278325425</v>
      </c>
      <c r="M27" s="52">
        <f>-0.05*N27*K27*(H27-1)-0.05*O27*L27*(H27-1)</f>
        <v>6957.8922259278588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6226.1834232458059</v>
      </c>
      <c r="Q27" s="95">
        <f>+L27*(I27-0.05*O27*H27)-L27*(I27-0.05*O27)</f>
        <v>731.70880268203905</v>
      </c>
      <c r="R27" s="95">
        <f>+P27+Q27</f>
        <v>6957.8922259278452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2.1524770505324298E-2</v>
      </c>
      <c r="F28" s="185">
        <v>2.08847623919407E-2</v>
      </c>
      <c r="G28" s="186">
        <v>1.03064473999621</v>
      </c>
      <c r="H28" s="42">
        <f>+E28/(1.2*F28)</f>
        <v>0.85887061666350639</v>
      </c>
      <c r="I28" s="47">
        <f t="shared" si="7"/>
        <v>0.92421093823049993</v>
      </c>
      <c r="J28" s="47">
        <f t="shared" si="7"/>
        <v>-1.0554499563024002</v>
      </c>
      <c r="K28" s="48">
        <f t="shared" si="7"/>
        <v>24903.590123524766</v>
      </c>
      <c r="L28" s="48">
        <f t="shared" si="7"/>
        <v>3751.2851410816484</v>
      </c>
      <c r="M28" s="52">
        <f>-0.05*N28*K28*(H28-1)-0.05*O28*L28*(H28-1)</f>
        <v>6056.5029338288923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5447.673891346647</v>
      </c>
      <c r="Q28" s="95">
        <f>+L28*(I28-0.05*O28*H28)-L28*(I28-0.05*O28)</f>
        <v>608.82904248223508</v>
      </c>
      <c r="R28" s="95">
        <f>+P28+Q28</f>
        <v>6056.5029338288823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1.8771594071968298E-2</v>
      </c>
      <c r="F29" s="185">
        <v>1.8319219656981401E-2</v>
      </c>
      <c r="G29" s="186">
        <v>1.0246939784258</v>
      </c>
      <c r="H29" s="42">
        <f t="shared" ref="H29:H34" si="10">+E29/(1.2*F29)</f>
        <v>0.85391164868816249</v>
      </c>
      <c r="I29" s="47">
        <f t="shared" ref="I29:L34" si="11">+I11</f>
        <v>1.0450080446664991</v>
      </c>
      <c r="J29" s="47">
        <f t="shared" si="11"/>
        <v>-1.1441725999178001</v>
      </c>
      <c r="K29" s="48">
        <f t="shared" si="11"/>
        <v>21159.072491527684</v>
      </c>
      <c r="L29" s="48">
        <f t="shared" si="11"/>
        <v>3150.4767798844096</v>
      </c>
      <c r="M29" s="52">
        <f t="shared" ref="M29:M34" si="12">-0.05*N29*K29*(H29-1)-0.05*O29*L29*(H29-1)</f>
        <v>5320.4808765536181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4791.195724141151</v>
      </c>
      <c r="Q29" s="95">
        <f t="shared" ref="Q29:Q34" si="14">+L29*(I29-0.05*O29*H29)-L29*(I29-0.05*O29)</f>
        <v>529.28515241247146</v>
      </c>
      <c r="R29" s="95">
        <f t="shared" ref="R29:R34" si="15">+P29+Q29</f>
        <v>5320.4808765536227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1.57164722306396E-2</v>
      </c>
      <c r="F30" s="185">
        <v>1.54181866573433E-2</v>
      </c>
      <c r="G30" s="186">
        <v>1.01934634596956</v>
      </c>
      <c r="H30" s="42">
        <f t="shared" si="10"/>
        <v>0.84945528830797112</v>
      </c>
      <c r="I30" s="47">
        <f t="shared" si="11"/>
        <v>1.1466245329865004</v>
      </c>
      <c r="J30" s="47">
        <f t="shared" si="11"/>
        <v>-1.2197583854047007</v>
      </c>
      <c r="K30" s="48">
        <f t="shared" si="11"/>
        <v>18206.831918283493</v>
      </c>
      <c r="L30" s="48">
        <f t="shared" si="11"/>
        <v>2749.218696533113</v>
      </c>
      <c r="M30" s="52">
        <f t="shared" si="12"/>
        <v>4724.4228924980871</v>
      </c>
      <c r="N30" s="172">
        <f t="shared" si="8"/>
        <v>31</v>
      </c>
      <c r="O30" s="172">
        <f t="shared" si="9"/>
        <v>23</v>
      </c>
      <c r="P30" s="95">
        <f t="shared" si="13"/>
        <v>4248.4605060429822</v>
      </c>
      <c r="Q30" s="95">
        <f t="shared" si="14"/>
        <v>475.96238645509987</v>
      </c>
      <c r="R30" s="95">
        <f t="shared" si="15"/>
        <v>4724.4228924980816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1.2549902046726799E-2</v>
      </c>
      <c r="F31" s="185">
        <v>1.2367887159503901E-2</v>
      </c>
      <c r="G31" s="186">
        <v>1.0147167325247599</v>
      </c>
      <c r="H31" s="42">
        <f t="shared" si="10"/>
        <v>0.84559727710397115</v>
      </c>
      <c r="I31" s="47">
        <f t="shared" si="11"/>
        <v>1.2695539776176989</v>
      </c>
      <c r="J31" s="47">
        <f t="shared" si="11"/>
        <v>-1.2476452984312001</v>
      </c>
      <c r="K31" s="48">
        <f t="shared" si="11"/>
        <v>16212.023624826024</v>
      </c>
      <c r="L31" s="48">
        <f t="shared" si="11"/>
        <v>2542.7382372058901</v>
      </c>
      <c r="M31" s="52">
        <f t="shared" si="12"/>
        <v>4331.4264801101262</v>
      </c>
      <c r="N31" s="172">
        <f t="shared" si="8"/>
        <v>31</v>
      </c>
      <c r="O31" s="172">
        <f t="shared" si="9"/>
        <v>23</v>
      </c>
      <c r="P31" s="95">
        <f t="shared" si="13"/>
        <v>3879.929916558227</v>
      </c>
      <c r="Q31" s="95">
        <f t="shared" si="14"/>
        <v>451.49656355190371</v>
      </c>
      <c r="R31" s="95">
        <f t="shared" si="15"/>
        <v>4331.4264801101308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9.3472644735148099E-3</v>
      </c>
      <c r="F32" s="185">
        <v>9.2401001318968695E-3</v>
      </c>
      <c r="G32" s="186">
        <v>1.01159774678718</v>
      </c>
      <c r="H32" s="42">
        <f t="shared" si="10"/>
        <v>0.84299812232265114</v>
      </c>
      <c r="I32" s="47">
        <f t="shared" si="11"/>
        <v>1.3148285830947994</v>
      </c>
      <c r="J32" s="47">
        <f t="shared" si="11"/>
        <v>-1.2395509591499003</v>
      </c>
      <c r="K32" s="48">
        <f t="shared" si="11"/>
        <v>13839.375341244946</v>
      </c>
      <c r="L32" s="48">
        <f t="shared" si="11"/>
        <v>2296.5473038100208</v>
      </c>
      <c r="M32" s="52">
        <f t="shared" si="12"/>
        <v>3782.498842112419</v>
      </c>
      <c r="N32" s="172">
        <f t="shared" si="8"/>
        <v>31</v>
      </c>
      <c r="O32" s="172">
        <f t="shared" si="9"/>
        <v>23</v>
      </c>
      <c r="P32" s="95">
        <f t="shared" si="13"/>
        <v>3367.8522674084306</v>
      </c>
      <c r="Q32" s="95">
        <f t="shared" si="14"/>
        <v>414.64657470398009</v>
      </c>
      <c r="R32" s="95">
        <f t="shared" si="15"/>
        <v>3782.4988421124108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6.0795887508182699E-3</v>
      </c>
      <c r="F33" s="185">
        <v>5.9996576273331397E-3</v>
      </c>
      <c r="G33" s="186">
        <v>1.0133226141306799</v>
      </c>
      <c r="H33" s="42">
        <f t="shared" si="10"/>
        <v>0.84443551177556397</v>
      </c>
      <c r="I33" s="47">
        <f t="shared" si="11"/>
        <v>1.2256762290097996</v>
      </c>
      <c r="J33" s="47">
        <f t="shared" si="11"/>
        <v>-1.0977802126688996</v>
      </c>
      <c r="K33" s="48">
        <f t="shared" si="11"/>
        <v>10644.269311621323</v>
      </c>
      <c r="L33" s="48">
        <f t="shared" si="11"/>
        <v>1898.2891692341382</v>
      </c>
      <c r="M33" s="52">
        <f t="shared" si="12"/>
        <v>2906.2013179584173</v>
      </c>
      <c r="N33" s="172">
        <f t="shared" si="8"/>
        <v>31</v>
      </c>
      <c r="O33" s="172">
        <f t="shared" si="9"/>
        <v>23</v>
      </c>
      <c r="P33" s="95">
        <f t="shared" si="13"/>
        <v>2566.5989773774345</v>
      </c>
      <c r="Q33" s="95">
        <f t="shared" si="14"/>
        <v>339.60234058098342</v>
      </c>
      <c r="R33" s="95">
        <f t="shared" si="15"/>
        <v>2906.2013179584178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2.8391696992427799E-3</v>
      </c>
      <c r="F34" s="188">
        <v>2.7560800238638299E-3</v>
      </c>
      <c r="G34" s="189">
        <v>1.0301477731631601</v>
      </c>
      <c r="H34" s="42">
        <f t="shared" si="10"/>
        <v>0.85845647763596267</v>
      </c>
      <c r="I34" s="47">
        <f t="shared" si="11"/>
        <v>0.79342826482050022</v>
      </c>
      <c r="J34" s="47">
        <f t="shared" si="11"/>
        <v>-0.60993863657009939</v>
      </c>
      <c r="K34" s="48">
        <f t="shared" si="11"/>
        <v>5965.3311632103114</v>
      </c>
      <c r="L34" s="48">
        <f t="shared" si="11"/>
        <v>1094.0592153995804</v>
      </c>
      <c r="M34" s="52">
        <f t="shared" si="12"/>
        <v>1486.8342208844242</v>
      </c>
      <c r="N34" s="172">
        <f t="shared" si="8"/>
        <v>31</v>
      </c>
      <c r="O34" s="172">
        <f t="shared" si="9"/>
        <v>23</v>
      </c>
      <c r="P34" s="95">
        <f t="shared" si="13"/>
        <v>1308.7486766085567</v>
      </c>
      <c r="Q34" s="95">
        <f t="shared" si="14"/>
        <v>178.0855442758654</v>
      </c>
      <c r="R34" s="95">
        <f t="shared" si="15"/>
        <v>1486.8342208844222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3.3658532768934601E-2</v>
      </c>
      <c r="F42" s="185">
        <v>3.33767573158135E-2</v>
      </c>
      <c r="G42" s="186">
        <v>1.0084422656897101</v>
      </c>
      <c r="H42" s="42">
        <f>+E42/(1.2*F42)</f>
        <v>0.8403685547414258</v>
      </c>
      <c r="I42" s="181">
        <f>+I24</f>
        <v>-1.0986692544923002</v>
      </c>
      <c r="J42" s="181">
        <f>+J24</f>
        <v>0.56341002866329015</v>
      </c>
      <c r="K42" s="48">
        <f>IF(+'Sismo UBC-94 y Dinamico'!O34=0,'Sismo UBC-94 y Dinamico'!M34,'Sismo UBC-94 y Dinamico'!O34)</f>
        <v>444.44162218421388</v>
      </c>
      <c r="L42" s="48">
        <f>IF(+'Sismo UBC-94 y Dinamico'!P34=0,'Sismo UBC-94 y Dinamico'!N34,'Sismo UBC-94 y Dinamico'!P34)</f>
        <v>976.64006737318141</v>
      </c>
      <c r="M42" s="52">
        <f>0.05*N42*K42*(H42-1)+0.05*O42*L42*(H42-1)</f>
        <v>-289.25546591765755</v>
      </c>
      <c r="N42" s="172">
        <f>+$N$3</f>
        <v>31</v>
      </c>
      <c r="O42" s="172">
        <f>+$O$3</f>
        <v>23</v>
      </c>
      <c r="P42" s="95">
        <f>+K42*(J42+0.05*N42*H42)-K42*(J42+0.05*N42)</f>
        <v>-109.96763064761353</v>
      </c>
      <c r="Q42" s="95">
        <f>+L42*(I42+0.05*O42*H42)-L42*(I42+0.05*O42)</f>
        <v>-179.28783527004413</v>
      </c>
      <c r="R42" s="95">
        <f>+P42+Q42</f>
        <v>-289.25546591765766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3.1993805936734503E-2</v>
      </c>
      <c r="F43" s="185">
        <v>3.08170788294055E-2</v>
      </c>
      <c r="G43" s="186">
        <v>1.0381842521104301</v>
      </c>
      <c r="H43" s="42">
        <f t="shared" ref="H43:H52" si="16">+E43/(1.2*F43)</f>
        <v>0.865153543425358</v>
      </c>
      <c r="I43" s="181">
        <f t="shared" ref="I43:J43" si="17">+I25</f>
        <v>0.30852880517699965</v>
      </c>
      <c r="J43" s="181">
        <f t="shared" si="17"/>
        <v>-0.56411475531530009</v>
      </c>
      <c r="K43" s="48">
        <f>IF(+'Sismo UBC-94 y Dinamico'!O35=0,'Sismo UBC-94 y Dinamico'!M35,'Sismo UBC-94 y Dinamico'!O35)</f>
        <v>5731.3370845017525</v>
      </c>
      <c r="L43" s="48">
        <f>IF(+'Sismo UBC-94 y Dinamico'!P35=0,'Sismo UBC-94 y Dinamico'!N35,'Sismo UBC-94 y Dinamico'!P35)</f>
        <v>32283.688971202635</v>
      </c>
      <c r="M43" s="52">
        <f>0.05*N43*K43*(H43-1)+0.05*O43*L43*(H43-1)</f>
        <v>-6204.2604931470505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-1197.9182707838472</v>
      </c>
      <c r="Q43" s="95">
        <f>+L43*(I43+0.05*O43*H43)-L43*(I43+0.05*O43)</f>
        <v>-5006.3422223632006</v>
      </c>
      <c r="R43" s="95">
        <f>+P43+Q43</f>
        <v>-6204.2604931470478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3.0435396226547499E-2</v>
      </c>
      <c r="F44" s="185">
        <v>2.9534330232362401E-2</v>
      </c>
      <c r="G44" s="186">
        <v>1.0305091054070299</v>
      </c>
      <c r="H44" s="42">
        <f t="shared" si="16"/>
        <v>0.85875758783918943</v>
      </c>
      <c r="I44" s="181">
        <f t="shared" ref="I44:J44" si="20">+I26</f>
        <v>0.60918556293249893</v>
      </c>
      <c r="J44" s="181">
        <f t="shared" si="20"/>
        <v>-0.83146852384509984</v>
      </c>
      <c r="K44" s="48">
        <f>IF(+'Sismo UBC-94 y Dinamico'!O36=0,'Sismo UBC-94 y Dinamico'!M36,'Sismo UBC-94 y Dinamico'!O36)</f>
        <v>6409.1800812562242</v>
      </c>
      <c r="L44" s="48">
        <f>IF(+'Sismo UBC-94 y Dinamico'!P36=0,'Sismo UBC-94 y Dinamico'!N36,'Sismo UBC-94 y Dinamico'!P36)</f>
        <v>35676.729670564091</v>
      </c>
      <c r="M44" s="52">
        <f>0.05*N44*K44*(H44-1)+0.05*O44*L44*(H44-1)</f>
        <v>-7198.0619448885345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-1403.1344847069563</v>
      </c>
      <c r="Q44" s="95">
        <f>+L44*(I44+0.05*O44*H44)-L44*(I44+0.05*O44)</f>
        <v>-5794.9274601815778</v>
      </c>
      <c r="R44" s="95">
        <f>+P44+Q44</f>
        <v>-7198.0619448885336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2.8216275660272301E-2</v>
      </c>
      <c r="F45" s="185">
        <v>2.7570728535271601E-2</v>
      </c>
      <c r="G45" s="186">
        <v>1.02341422078037</v>
      </c>
      <c r="H45" s="42">
        <f t="shared" si="16"/>
        <v>0.85284518398364795</v>
      </c>
      <c r="I45" s="181">
        <f t="shared" ref="I45:J45" si="21">+I27</f>
        <v>0.77802102291449948</v>
      </c>
      <c r="J45" s="181">
        <f t="shared" si="21"/>
        <v>-0.95059132249610023</v>
      </c>
      <c r="K45" s="48">
        <f>IF(+'Sismo UBC-94 y Dinamico'!O37=0,'Sismo UBC-94 y Dinamico'!M37,'Sismo UBC-94 y Dinamico'!O37)</f>
        <v>4980.7358695162293</v>
      </c>
      <c r="L45" s="48">
        <f>IF(+'Sismo UBC-94 y Dinamico'!P37=0,'Sismo UBC-94 y Dinamico'!N37,'Sismo UBC-94 y Dinamico'!P37)</f>
        <v>29470.490291299862</v>
      </c>
      <c r="M45" s="52">
        <f>0.05*N45*K45*(H45-1)+0.05*O45*L45*(H45-1)</f>
        <v>-6123.2891325194032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-1136.0558692822938</v>
      </c>
      <c r="Q45" s="95">
        <f>+L45*(I45+0.05*O45*H45)-L45*(I45+0.05*O45)</f>
        <v>-4987.2332632371035</v>
      </c>
      <c r="R45" s="95">
        <f>+P45+Q45</f>
        <v>-6123.2891325193978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2.5421756159099699E-2</v>
      </c>
      <c r="F46" s="185">
        <v>2.4984785421916001E-2</v>
      </c>
      <c r="G46" s="186">
        <v>1.0174894732856301</v>
      </c>
      <c r="H46" s="42">
        <f t="shared" si="16"/>
        <v>0.84790789440468839</v>
      </c>
      <c r="I46" s="181">
        <f t="shared" ref="I46:J46" si="22">+I28</f>
        <v>0.92421093823049993</v>
      </c>
      <c r="J46" s="181">
        <f t="shared" si="22"/>
        <v>-1.0554499563024002</v>
      </c>
      <c r="K46" s="48">
        <f>IF(+'Sismo UBC-94 y Dinamico'!O38=0,'Sismo UBC-94 y Dinamico'!M38,'Sismo UBC-94 y Dinamico'!O38)</f>
        <v>3961.0299830028798</v>
      </c>
      <c r="L46" s="48">
        <f>IF(+'Sismo UBC-94 y Dinamico'!P38=0,'Sismo UBC-94 y Dinamico'!N38,'Sismo UBC-94 y Dinamico'!P38)</f>
        <v>24445.599308343964</v>
      </c>
      <c r="M46" s="52">
        <f>0.05*N46*K46*(H46-1)+0.05*O46*L46*(H46-1)</f>
        <v>-5209.4642272307829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-933.78415518365728</v>
      </c>
      <c r="Q46" s="95">
        <f>+L46*(I46+0.05*O46*H46)-L46*(I46+0.05*O46)</f>
        <v>-4275.6800720471292</v>
      </c>
      <c r="R46" s="95">
        <f>+P46+Q46</f>
        <v>-5209.4642272307865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2.21533570507816E-2</v>
      </c>
      <c r="F47" s="185">
        <v>2.18796034236713E-2</v>
      </c>
      <c r="G47" s="186">
        <v>1.0125118185101201</v>
      </c>
      <c r="H47" s="42">
        <f t="shared" si="16"/>
        <v>0.84375984875843046</v>
      </c>
      <c r="I47" s="181">
        <f t="shared" ref="I47:J47" si="23">+I29</f>
        <v>1.0450080446664991</v>
      </c>
      <c r="J47" s="181">
        <f t="shared" si="23"/>
        <v>-1.1441725999178001</v>
      </c>
      <c r="K47" s="48">
        <f>IF(+'Sismo UBC-94 y Dinamico'!O39=0,'Sismo UBC-94 y Dinamico'!M39,'Sismo UBC-94 y Dinamico'!O39)</f>
        <v>3308.8270866742982</v>
      </c>
      <c r="L47" s="48">
        <f>IF(+'Sismo UBC-94 y Dinamico'!P39=0,'Sismo UBC-94 y Dinamico'!N39,'Sismo UBC-94 y Dinamico'!P39)</f>
        <v>20625.047309260844</v>
      </c>
      <c r="M47" s="52">
        <f t="shared" ref="M47:M52" si="24">0.05*N47*K47*(H47-1)+0.05*O47*L47*(H47-1)</f>
        <v>-4507.1356365119591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-801.30604890400116</v>
      </c>
      <c r="Q47" s="95">
        <f t="shared" ref="Q47:Q52" si="26">+L47*(I47+0.05*O47*H47)-L47*(I47+0.05*O47)</f>
        <v>-3705.8295876079646</v>
      </c>
      <c r="R47" s="95">
        <f t="shared" ref="R47:R52" si="27">+P47+Q47</f>
        <v>-4507.1356365119655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1.8524786829636201E-2</v>
      </c>
      <c r="F48" s="185">
        <v>1.8374354824180001E-2</v>
      </c>
      <c r="G48" s="186">
        <v>1.0081870632681</v>
      </c>
      <c r="H48" s="42">
        <f t="shared" si="16"/>
        <v>0.84015588605675551</v>
      </c>
      <c r="I48" s="181">
        <f t="shared" ref="I48:J48" si="28">+I30</f>
        <v>1.1466245329865004</v>
      </c>
      <c r="J48" s="181">
        <f t="shared" si="28"/>
        <v>-1.2197583854047007</v>
      </c>
      <c r="K48" s="48">
        <f>IF(+'Sismo UBC-94 y Dinamico'!O40=0,'Sismo UBC-94 y Dinamico'!M40,'Sismo UBC-94 y Dinamico'!O40)</f>
        <v>2874.6827149942005</v>
      </c>
      <c r="L48" s="48">
        <f>IF(+'Sismo UBC-94 y Dinamico'!P40=0,'Sismo UBC-94 y Dinamico'!N40,'Sismo UBC-94 y Dinamico'!P40)</f>
        <v>17805.765796215423</v>
      </c>
      <c r="M48" s="52">
        <f t="shared" si="24"/>
        <v>-3985.2956080351541</v>
      </c>
      <c r="N48" s="172">
        <f t="shared" si="18"/>
        <v>31</v>
      </c>
      <c r="O48" s="172">
        <f t="shared" si="19"/>
        <v>23</v>
      </c>
      <c r="P48" s="95">
        <f t="shared" si="25"/>
        <v>-712.22672274162323</v>
      </c>
      <c r="Q48" s="95">
        <f t="shared" si="26"/>
        <v>-3273.0688852935345</v>
      </c>
      <c r="R48" s="95">
        <f t="shared" si="27"/>
        <v>-3985.2956080351578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1.47366474610205E-2</v>
      </c>
      <c r="F49" s="185">
        <v>1.46815106123267E-2</v>
      </c>
      <c r="G49" s="186">
        <v>1.00375552966923</v>
      </c>
      <c r="H49" s="42">
        <f t="shared" si="16"/>
        <v>0.83646294139103017</v>
      </c>
      <c r="I49" s="181">
        <f t="shared" ref="I49:J49" si="29">+I31</f>
        <v>1.2695539776176989</v>
      </c>
      <c r="J49" s="181">
        <f t="shared" si="29"/>
        <v>-1.2476452984312001</v>
      </c>
      <c r="K49" s="48">
        <f>IF(+'Sismo UBC-94 y Dinamico'!O41=0,'Sismo UBC-94 y Dinamico'!M41,'Sismo UBC-94 y Dinamico'!O41)</f>
        <v>2667.0942421155619</v>
      </c>
      <c r="L49" s="48">
        <f>IF(+'Sismo UBC-94 y Dinamico'!P41=0,'Sismo UBC-94 y Dinamico'!N41,'Sismo UBC-94 y Dinamico'!P41)</f>
        <v>16076.962719298073</v>
      </c>
      <c r="M49" s="52">
        <f t="shared" si="24"/>
        <v>-3699.6176321042562</v>
      </c>
      <c r="N49" s="172">
        <f t="shared" si="18"/>
        <v>31</v>
      </c>
      <c r="O49" s="172">
        <f t="shared" si="19"/>
        <v>23</v>
      </c>
      <c r="P49" s="95">
        <f t="shared" si="25"/>
        <v>-676.06155845217268</v>
      </c>
      <c r="Q49" s="95">
        <f t="shared" si="26"/>
        <v>-3023.5560736520929</v>
      </c>
      <c r="R49" s="95">
        <f t="shared" si="27"/>
        <v>-3699.6176321042658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1.0889447120182E-2</v>
      </c>
      <c r="F50" s="185">
        <v>1.0885233968672799E-2</v>
      </c>
      <c r="G50" s="186">
        <v>1.00038705199367</v>
      </c>
      <c r="H50" s="42">
        <f t="shared" si="16"/>
        <v>0.8336558766613964</v>
      </c>
      <c r="I50" s="181">
        <f t="shared" ref="I50:J50" si="30">+I32</f>
        <v>1.3148285830947994</v>
      </c>
      <c r="J50" s="181">
        <f t="shared" si="30"/>
        <v>-1.2395509591499003</v>
      </c>
      <c r="K50" s="48">
        <f>IF(+'Sismo UBC-94 y Dinamico'!O42=0,'Sismo UBC-94 y Dinamico'!M42,'Sismo UBC-94 y Dinamico'!O42)</f>
        <v>2437.4948011254573</v>
      </c>
      <c r="L50" s="48">
        <f>IF(+'Sismo UBC-94 y Dinamico'!P42=0,'Sismo UBC-94 y Dinamico'!N42,'Sismo UBC-94 y Dinamico'!P42)</f>
        <v>13939.371593266764</v>
      </c>
      <c r="M50" s="52">
        <f t="shared" si="24"/>
        <v>-3295.0099802541517</v>
      </c>
      <c r="N50" s="172">
        <f t="shared" si="18"/>
        <v>31</v>
      </c>
      <c r="O50" s="172">
        <f t="shared" si="19"/>
        <v>23</v>
      </c>
      <c r="P50" s="95">
        <f t="shared" si="25"/>
        <v>-628.46755054520816</v>
      </c>
      <c r="Q50" s="95">
        <f t="shared" si="26"/>
        <v>-2666.5424297089521</v>
      </c>
      <c r="R50" s="95">
        <f t="shared" si="27"/>
        <v>-3295.0099802541604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6.9701199108438E-3</v>
      </c>
      <c r="F51" s="185">
        <v>6.9585338552972404E-3</v>
      </c>
      <c r="G51" s="186">
        <v>1.00166501389337</v>
      </c>
      <c r="H51" s="42">
        <f t="shared" si="16"/>
        <v>0.83472084491114218</v>
      </c>
      <c r="I51" s="181">
        <f t="shared" ref="I51:J51" si="31">+I33</f>
        <v>1.2256762290097996</v>
      </c>
      <c r="J51" s="181">
        <f t="shared" si="31"/>
        <v>-1.0977802126688996</v>
      </c>
      <c r="K51" s="48">
        <f>IF(+'Sismo UBC-94 y Dinamico'!O43=0,'Sismo UBC-94 y Dinamico'!M43,'Sismo UBC-94 y Dinamico'!O43)</f>
        <v>2044.3915810511539</v>
      </c>
      <c r="L51" s="48">
        <f>IF(+'Sismo UBC-94 y Dinamico'!P43=0,'Sismo UBC-94 y Dinamico'!N43,'Sismo UBC-94 y Dinamico'!P43)</f>
        <v>10831.897485748421</v>
      </c>
      <c r="M51" s="52">
        <f t="shared" si="24"/>
        <v>-2582.5676295613748</v>
      </c>
      <c r="N51" s="172">
        <f t="shared" si="18"/>
        <v>31</v>
      </c>
      <c r="O51" s="172">
        <f t="shared" si="19"/>
        <v>23</v>
      </c>
      <c r="P51" s="95">
        <f t="shared" si="25"/>
        <v>-523.73773543970867</v>
      </c>
      <c r="Q51" s="95">
        <f t="shared" si="26"/>
        <v>-2058.8298941216708</v>
      </c>
      <c r="R51" s="95">
        <f t="shared" si="27"/>
        <v>-2582.5676295613794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3.0987002257307499E-3</v>
      </c>
      <c r="F52" s="188">
        <v>3.07880218964127E-3</v>
      </c>
      <c r="G52" s="189">
        <v>1.00646291475186</v>
      </c>
      <c r="H52" s="42">
        <f t="shared" si="16"/>
        <v>0.8387190956265469</v>
      </c>
      <c r="I52" s="181">
        <f t="shared" ref="I52:J52" si="32">+I34</f>
        <v>0.79342826482050022</v>
      </c>
      <c r="J52" s="181">
        <f t="shared" si="32"/>
        <v>-0.60993863657009939</v>
      </c>
      <c r="K52" s="48">
        <f>IF(+'Sismo UBC-94 y Dinamico'!O44=0,'Sismo UBC-94 y Dinamico'!M44,'Sismo UBC-94 y Dinamico'!O44)</f>
        <v>1207.4764515676061</v>
      </c>
      <c r="L52" s="48">
        <f>IF(+'Sismo UBC-94 y Dinamico'!P44=0,'Sismo UBC-94 y Dinamico'!N44,'Sismo UBC-94 y Dinamico'!P44)</f>
        <v>6017.8443642030115</v>
      </c>
      <c r="M52" s="52">
        <f t="shared" si="24"/>
        <v>-1417.999374536583</v>
      </c>
      <c r="N52" s="172">
        <f t="shared" si="18"/>
        <v>31</v>
      </c>
      <c r="O52" s="172">
        <f t="shared" si="19"/>
        <v>23</v>
      </c>
      <c r="P52" s="95">
        <f t="shared" si="25"/>
        <v>-301.85148588363086</v>
      </c>
      <c r="Q52" s="95">
        <f t="shared" si="26"/>
        <v>-1116.1478886529512</v>
      </c>
      <c r="R52" s="95">
        <f t="shared" si="27"/>
        <v>-1417.9993745365821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2.9813715418951E-2</v>
      </c>
      <c r="F60" s="185">
        <v>2.92927299158149E-2</v>
      </c>
      <c r="G60" s="186">
        <v>1.0177854882297901</v>
      </c>
      <c r="H60" s="42">
        <f>+E60/(1.2*F60)</f>
        <v>0.84815457352482371</v>
      </c>
      <c r="I60" s="181">
        <f>+I42</f>
        <v>-1.0986692544923002</v>
      </c>
      <c r="J60" s="181">
        <f>+J42</f>
        <v>0.56341002866329015</v>
      </c>
      <c r="K60" s="48">
        <f>+K42</f>
        <v>444.44162218421388</v>
      </c>
      <c r="L60" s="48">
        <f>+L42</f>
        <v>976.64006737318141</v>
      </c>
      <c r="M60" s="52">
        <f>-0.05*N60*K60*(H60-1)-0.05*O60*L60*(H60-1)</f>
        <v>275.14703955349523</v>
      </c>
      <c r="N60" s="172">
        <f>+$N$3</f>
        <v>31</v>
      </c>
      <c r="O60" s="172">
        <f>+$O$3</f>
        <v>23</v>
      </c>
      <c r="P60" s="95">
        <f>+K60*(J60-0.05*N60*H60)-K60*(J60-0.05*N60)</f>
        <v>104.60396287901574</v>
      </c>
      <c r="Q60" s="95">
        <f>+L60*(I60-0.05*O60*H60)-L60*(I60-0.05*O60)</f>
        <v>170.54307667448006</v>
      </c>
      <c r="R60" s="95">
        <f>+P60+Q60</f>
        <v>275.1470395534958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3.3683229105345401E-2</v>
      </c>
      <c r="F61" s="185">
        <v>3.0504117206462698E-2</v>
      </c>
      <c r="G61" s="186">
        <v>1.1042191084359301</v>
      </c>
      <c r="H61" s="42">
        <f t="shared" ref="H61:H70" si="33">+E61/(1.2*F61)</f>
        <v>0.92018259036327643</v>
      </c>
      <c r="I61" s="181">
        <f t="shared" ref="I61:J61" si="34">+I43</f>
        <v>0.30852880517699965</v>
      </c>
      <c r="J61" s="181">
        <f t="shared" si="34"/>
        <v>-0.56411475531530009</v>
      </c>
      <c r="K61" s="48">
        <f t="shared" ref="K61:L64" si="35">+K43</f>
        <v>5731.3370845017525</v>
      </c>
      <c r="L61" s="48">
        <f t="shared" si="35"/>
        <v>32283.688971202635</v>
      </c>
      <c r="M61" s="52">
        <f>-0.05*N61*K61*(H61-1)-0.05*O61*L61*(H61-1)</f>
        <v>3672.3842350306372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709.06374375172163</v>
      </c>
      <c r="Q61" s="95">
        <f>+L61*(I61-0.05*O61*H61)-L61*(I61-0.05*O61)</f>
        <v>2963.3204912789188</v>
      </c>
      <c r="R61" s="95">
        <f>+P61+Q61</f>
        <v>3672.3842350306404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3.2524997561378902E-2</v>
      </c>
      <c r="F62" s="185">
        <v>2.92635097499419E-2</v>
      </c>
      <c r="G62" s="186">
        <v>1.1114523800906499</v>
      </c>
      <c r="H62" s="42">
        <f t="shared" si="33"/>
        <v>0.92621031674220933</v>
      </c>
      <c r="I62" s="181">
        <f t="shared" ref="I62:J62" si="38">+I44</f>
        <v>0.60918556293249893</v>
      </c>
      <c r="J62" s="181">
        <f t="shared" si="38"/>
        <v>-0.83146852384509984</v>
      </c>
      <c r="K62" s="48">
        <f t="shared" si="35"/>
        <v>6409.1800812562242</v>
      </c>
      <c r="L62" s="48">
        <f t="shared" si="35"/>
        <v>35676.729670564091</v>
      </c>
      <c r="M62" s="52">
        <f>-0.05*N62*K62*(H62-1)-0.05*O62*L62*(H62-1)</f>
        <v>3760.5043899884181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733.04362061395477</v>
      </c>
      <c r="Q62" s="95">
        <f>+L62*(I62-0.05*O62*H62)-L62*(I62-0.05*O62)</f>
        <v>3027.4607693744583</v>
      </c>
      <c r="R62" s="95">
        <f>+P62+Q62</f>
        <v>3760.5043899884131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3.0567786039194401E-2</v>
      </c>
      <c r="F63" s="185">
        <v>2.7343749611398099E-2</v>
      </c>
      <c r="G63" s="186">
        <v>1.1179076196065101</v>
      </c>
      <c r="H63" s="42">
        <f t="shared" si="33"/>
        <v>0.93158968300542266</v>
      </c>
      <c r="I63" s="181">
        <f t="shared" ref="I63:J63" si="39">+I45</f>
        <v>0.77802102291449948</v>
      </c>
      <c r="J63" s="181">
        <f t="shared" si="39"/>
        <v>-0.95059132249610023</v>
      </c>
      <c r="K63" s="48">
        <f t="shared" si="35"/>
        <v>4980.7358695162293</v>
      </c>
      <c r="L63" s="48">
        <f t="shared" si="35"/>
        <v>29470.490291299862</v>
      </c>
      <c r="M63" s="52">
        <f>-0.05*N63*K63*(H63-1)-0.05*O63*L63*(H63-1)</f>
        <v>2846.6356857702467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528.13726553479501</v>
      </c>
      <c r="Q63" s="95">
        <f>+L63*(I63-0.05*O63*H63)-L63*(I63-0.05*O63)</f>
        <v>2318.4984202354517</v>
      </c>
      <c r="R63" s="95">
        <f>+P63+Q63</f>
        <v>2846.6356857702467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2.7849926969251999E-2</v>
      </c>
      <c r="F64" s="185">
        <v>2.4798680287242501E-2</v>
      </c>
      <c r="G64" s="186">
        <v>1.1230406879183501</v>
      </c>
      <c r="H64" s="42">
        <f t="shared" si="33"/>
        <v>0.93586723993195686</v>
      </c>
      <c r="I64" s="181">
        <f t="shared" ref="I64:J64" si="40">+I46</f>
        <v>0.92421093823049993</v>
      </c>
      <c r="J64" s="181">
        <f t="shared" si="40"/>
        <v>-1.0554499563024002</v>
      </c>
      <c r="K64" s="48">
        <f t="shared" si="35"/>
        <v>3961.0299830028798</v>
      </c>
      <c r="L64" s="48">
        <f t="shared" si="35"/>
        <v>24445.599308343964</v>
      </c>
      <c r="M64" s="52">
        <f>-0.05*N64*K64*(H64-1)-0.05*O64*L64*(H64-1)</f>
        <v>2196.6775859952622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393.74926755948582</v>
      </c>
      <c r="Q64" s="95">
        <f>+L64*(I64-0.05*O64*H64)-L64*(I64-0.05*O64)</f>
        <v>1802.9283184357787</v>
      </c>
      <c r="R64" s="95">
        <f>+P64+Q64</f>
        <v>2196.6775859952645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2.4490731773978001E-2</v>
      </c>
      <c r="F65" s="185">
        <v>2.1730817112038399E-2</v>
      </c>
      <c r="G65" s="186">
        <v>1.12700464265611</v>
      </c>
      <c r="H65" s="42">
        <f t="shared" si="33"/>
        <v>0.939170535546754</v>
      </c>
      <c r="I65" s="181">
        <f t="shared" ref="I65:J65" si="41">+I47</f>
        <v>1.0450080446664991</v>
      </c>
      <c r="J65" s="181">
        <f t="shared" si="41"/>
        <v>-1.1441725999178001</v>
      </c>
      <c r="K65" s="48">
        <f t="shared" ref="K65:L70" si="42">+K47</f>
        <v>3308.8270866742982</v>
      </c>
      <c r="L65" s="48">
        <f t="shared" si="42"/>
        <v>20625.047309260844</v>
      </c>
      <c r="M65" s="52">
        <f t="shared" ref="M65:M70" si="43">-0.05*N65*K65*(H65-1)-0.05*O65*L65*(H65-1)</f>
        <v>1754.7771479257069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311.97497845872567</v>
      </c>
      <c r="Q65" s="95">
        <f t="shared" ref="Q65:Q70" si="45">+L65*(I65-0.05*O65*H65)-L65*(I65-0.05*O65)</f>
        <v>1442.8021694669778</v>
      </c>
      <c r="R65" s="95">
        <f t="shared" ref="R65:R70" si="46">+P65+Q65</f>
        <v>1754.7771479257035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2.0634409286637099E-2</v>
      </c>
      <c r="F66" s="185">
        <v>1.8260084763189601E-2</v>
      </c>
      <c r="G66" s="186">
        <v>1.13002812167849</v>
      </c>
      <c r="H66" s="42">
        <f t="shared" si="33"/>
        <v>0.94169010139873888</v>
      </c>
      <c r="I66" s="181">
        <f t="shared" ref="I66:J66" si="47">+I48</f>
        <v>1.1466245329865004</v>
      </c>
      <c r="J66" s="181">
        <f t="shared" si="47"/>
        <v>-1.2197583854047007</v>
      </c>
      <c r="K66" s="48">
        <f t="shared" si="42"/>
        <v>2874.6827149942005</v>
      </c>
      <c r="L66" s="48">
        <f t="shared" si="42"/>
        <v>17805.765796215423</v>
      </c>
      <c r="M66" s="52">
        <f t="shared" si="43"/>
        <v>1453.8050671236642</v>
      </c>
      <c r="N66" s="172">
        <f t="shared" si="36"/>
        <v>31</v>
      </c>
      <c r="O66" s="172">
        <f t="shared" si="37"/>
        <v>23</v>
      </c>
      <c r="P66" s="95">
        <f t="shared" si="44"/>
        <v>259.81480931426995</v>
      </c>
      <c r="Q66" s="95">
        <f t="shared" si="45"/>
        <v>1193.990257809395</v>
      </c>
      <c r="R66" s="95">
        <f t="shared" si="46"/>
        <v>1453.8050671236649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1.65563574663944E-2</v>
      </c>
      <c r="F67" s="185">
        <v>1.4599251174981001E-2</v>
      </c>
      <c r="G67" s="186">
        <v>1.1340552517356</v>
      </c>
      <c r="H67" s="42">
        <f t="shared" si="33"/>
        <v>0.94504604311300389</v>
      </c>
      <c r="I67" s="181">
        <f t="shared" ref="I67:J67" si="48">+I49</f>
        <v>1.2695539776176989</v>
      </c>
      <c r="J67" s="181">
        <f t="shared" si="48"/>
        <v>-1.2476452984312001</v>
      </c>
      <c r="K67" s="48">
        <f t="shared" si="42"/>
        <v>2667.0942421155619</v>
      </c>
      <c r="L67" s="48">
        <f t="shared" si="42"/>
        <v>16076.962719298073</v>
      </c>
      <c r="M67" s="52">
        <f t="shared" si="43"/>
        <v>1243.1960656645729</v>
      </c>
      <c r="N67" s="172">
        <f t="shared" si="36"/>
        <v>31</v>
      </c>
      <c r="O67" s="172">
        <f t="shared" si="37"/>
        <v>23</v>
      </c>
      <c r="P67" s="95">
        <f t="shared" si="44"/>
        <v>227.17944209190046</v>
      </c>
      <c r="Q67" s="95">
        <f t="shared" si="45"/>
        <v>1016.0166235726745</v>
      </c>
      <c r="R67" s="95">
        <f t="shared" si="46"/>
        <v>1243.1960656645749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1.2344402925324899E-2</v>
      </c>
      <c r="F68" s="185">
        <v>1.0831165548837699E-2</v>
      </c>
      <c r="G68" s="186">
        <v>1.1397114068346501</v>
      </c>
      <c r="H68" s="42">
        <f t="shared" si="33"/>
        <v>0.94975950569554868</v>
      </c>
      <c r="I68" s="181">
        <f t="shared" ref="I68:J68" si="49">+I50</f>
        <v>1.3148285830947994</v>
      </c>
      <c r="J68" s="181">
        <f t="shared" si="49"/>
        <v>-1.2395509591499003</v>
      </c>
      <c r="K68" s="48">
        <f t="shared" si="42"/>
        <v>2437.4948011254573</v>
      </c>
      <c r="L68" s="48">
        <f t="shared" si="42"/>
        <v>13939.371593266764</v>
      </c>
      <c r="M68" s="52">
        <f t="shared" si="43"/>
        <v>995.18351970328547</v>
      </c>
      <c r="N68" s="172">
        <f t="shared" si="36"/>
        <v>31</v>
      </c>
      <c r="O68" s="172">
        <f t="shared" si="37"/>
        <v>23</v>
      </c>
      <c r="P68" s="95">
        <f t="shared" si="44"/>
        <v>189.81446269326352</v>
      </c>
      <c r="Q68" s="95">
        <f t="shared" si="45"/>
        <v>805.36905701002206</v>
      </c>
      <c r="R68" s="95">
        <f t="shared" si="46"/>
        <v>995.18351970328558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7.9284781577044893E-3</v>
      </c>
      <c r="F69" s="185">
        <v>6.92594365228647E-3</v>
      </c>
      <c r="G69" s="186">
        <v>1.1447506008927799</v>
      </c>
      <c r="H69" s="42">
        <f t="shared" si="33"/>
        <v>0.95395883407731874</v>
      </c>
      <c r="I69" s="181">
        <f t="shared" ref="I69:J69" si="50">+I51</f>
        <v>1.2256762290097996</v>
      </c>
      <c r="J69" s="181">
        <f t="shared" si="50"/>
        <v>-1.0977802126688996</v>
      </c>
      <c r="K69" s="48">
        <f t="shared" si="42"/>
        <v>2044.3915810511539</v>
      </c>
      <c r="L69" s="48">
        <f t="shared" si="42"/>
        <v>10831.897485748421</v>
      </c>
      <c r="M69" s="52">
        <f t="shared" si="43"/>
        <v>719.41573439950832</v>
      </c>
      <c r="N69" s="172">
        <f t="shared" si="36"/>
        <v>31</v>
      </c>
      <c r="O69" s="172">
        <f t="shared" si="37"/>
        <v>23</v>
      </c>
      <c r="P69" s="95">
        <f t="shared" si="44"/>
        <v>145.89556659086793</v>
      </c>
      <c r="Q69" s="95">
        <f t="shared" si="45"/>
        <v>573.52016780863937</v>
      </c>
      <c r="R69" s="95">
        <f t="shared" si="46"/>
        <v>719.4157343995073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3.5106577922674E-3</v>
      </c>
      <c r="F70" s="188">
        <v>3.0605541878549899E-3</v>
      </c>
      <c r="G70" s="189">
        <v>1.14706604646914</v>
      </c>
      <c r="H70" s="42">
        <f t="shared" si="33"/>
        <v>0.95588837205761867</v>
      </c>
      <c r="I70" s="181">
        <f t="shared" ref="I70:J70" si="51">+I52</f>
        <v>0.79342826482050022</v>
      </c>
      <c r="J70" s="181">
        <f t="shared" si="51"/>
        <v>-0.60993863657009939</v>
      </c>
      <c r="K70" s="48">
        <f t="shared" si="42"/>
        <v>1207.4764515676061</v>
      </c>
      <c r="L70" s="48">
        <f t="shared" si="42"/>
        <v>6017.8443642030115</v>
      </c>
      <c r="M70" s="52">
        <f t="shared" si="43"/>
        <v>387.83426392035392</v>
      </c>
      <c r="N70" s="172">
        <f t="shared" si="36"/>
        <v>31</v>
      </c>
      <c r="O70" s="172">
        <f t="shared" si="37"/>
        <v>23</v>
      </c>
      <c r="P70" s="95">
        <f t="shared" si="44"/>
        <v>82.558815570141633</v>
      </c>
      <c r="Q70" s="95">
        <f t="shared" si="45"/>
        <v>305.27544835021172</v>
      </c>
      <c r="R70" s="95">
        <f t="shared" si="46"/>
        <v>387.83426392035335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982261.51142142597</v>
      </c>
      <c r="E6" s="53">
        <f>0.7*D6</f>
        <v>687583.05799499818</v>
      </c>
      <c r="F6" s="1" t="str">
        <f>+IF(D6&lt;E5,"piso suave","ok")</f>
        <v>ok</v>
      </c>
      <c r="G6" s="53">
        <f>0.9*D6</f>
        <v>884035.36027928337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26298458.648569498</v>
      </c>
      <c r="E7" s="53">
        <f>0.7*D7</f>
        <v>18408921.053998649</v>
      </c>
      <c r="F7" s="1" t="str">
        <f>+IF(D7&lt;E6,"piso suave","ok")</f>
        <v>ok</v>
      </c>
      <c r="G7" s="53">
        <f>0.9*D7</f>
        <v>23668612.783712547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40041042.805417597</v>
      </c>
      <c r="E8" s="53">
        <f>0.7*D8</f>
        <v>28028729.963792317</v>
      </c>
      <c r="F8" s="1" t="str">
        <f>+IF(D8&lt;E7,"piso suave","ok")</f>
        <v>ok</v>
      </c>
      <c r="G8" s="53">
        <f>0.9*D8</f>
        <v>36036938.524875842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44690684.885947101</v>
      </c>
      <c r="E9" s="53">
        <f>0.7*D9</f>
        <v>31283479.420162968</v>
      </c>
      <c r="F9" s="1" t="str">
        <f>+IF(D9&lt;E8,"piso suave","ok")</f>
        <v>ok</v>
      </c>
      <c r="G9" s="53">
        <f>0.9*D9</f>
        <v>40221616.39735239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46531527.676515497</v>
      </c>
      <c r="E10" s="53">
        <f>0.7*D10</f>
        <v>32572069.373560846</v>
      </c>
      <c r="F10" s="1" t="str">
        <f>+IF(D10&lt;E9,"piso suave","ok")</f>
        <v>ok</v>
      </c>
      <c r="G10" s="53">
        <f>0.9*D10</f>
        <v>41878374.908863947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48194868.4909577</v>
      </c>
      <c r="E11" s="53">
        <f t="shared" ref="E11:E16" si="0">0.7*D11</f>
        <v>33736407.943670385</v>
      </c>
      <c r="F11" s="1" t="str">
        <f t="shared" ref="F11:F16" si="1">+IF(D11&lt;E10,"piso suave","ok")</f>
        <v>ok</v>
      </c>
      <c r="G11" s="53">
        <f t="shared" ref="G11:G16" si="2">0.9*D11</f>
        <v>43375381.64186193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51880551.033214897</v>
      </c>
      <c r="E12" s="53">
        <f t="shared" si="0"/>
        <v>36316385.723250426</v>
      </c>
      <c r="F12" s="1" t="str">
        <f t="shared" si="1"/>
        <v>ok</v>
      </c>
      <c r="G12" s="53">
        <f t="shared" si="2"/>
        <v>46692495.929893412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55382051.930157997</v>
      </c>
      <c r="E13" s="53">
        <f t="shared" si="0"/>
        <v>38767436.351110592</v>
      </c>
      <c r="F13" s="1" t="str">
        <f t="shared" si="1"/>
        <v>ok</v>
      </c>
      <c r="G13" s="53">
        <f t="shared" si="2"/>
        <v>49843846.737142198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57713877.362145297</v>
      </c>
      <c r="E14" s="53">
        <f t="shared" si="0"/>
        <v>40399714.153501704</v>
      </c>
      <c r="F14" s="1" t="str">
        <f t="shared" si="1"/>
        <v>ok</v>
      </c>
      <c r="G14" s="53">
        <f t="shared" si="2"/>
        <v>51942489.625930771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63618260.963702299</v>
      </c>
      <c r="E15" s="53">
        <f t="shared" si="0"/>
        <v>44532782.674591608</v>
      </c>
      <c r="F15" s="1" t="str">
        <f t="shared" si="1"/>
        <v>ok</v>
      </c>
      <c r="G15" s="53">
        <f t="shared" si="2"/>
        <v>57256434.867332071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73703134.889603198</v>
      </c>
      <c r="E16" s="53">
        <f t="shared" si="0"/>
        <v>51592194.422722235</v>
      </c>
      <c r="F16" s="1" t="str">
        <f t="shared" si="1"/>
        <v>ok</v>
      </c>
      <c r="G16" s="53">
        <f t="shared" si="2"/>
        <v>66332821.400642879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854889.53947090497</v>
      </c>
      <c r="E23" s="53">
        <f>0.7*D23</f>
        <v>598422.67762963346</v>
      </c>
      <c r="F23" s="1" t="str">
        <f>+IF(D23&lt;E22,"piso suave","ok")</f>
        <v>ok</v>
      </c>
      <c r="G23" s="53">
        <f>0.9*D23</f>
        <v>769400.58552381455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26571725.731570002</v>
      </c>
      <c r="E24" s="53">
        <f>0.7*D24</f>
        <v>18600208.012099002</v>
      </c>
      <c r="F24" s="1" t="str">
        <f>+IF(D24&lt;E23,"piso suave","ok")</f>
        <v>ok</v>
      </c>
      <c r="G24" s="53">
        <f>0.9*D24</f>
        <v>23914553.158413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38489929.585940301</v>
      </c>
      <c r="E25" s="53">
        <f>0.7*D25</f>
        <v>26942950.71015821</v>
      </c>
      <c r="F25" s="1" t="str">
        <f>+IF(D25&lt;E24,"piso suave","ok")</f>
        <v>ok</v>
      </c>
      <c r="G25" s="53">
        <f>0.9*D25</f>
        <v>34640936.62734627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43247841.045174502</v>
      </c>
      <c r="E26" s="53">
        <f>0.7*D26</f>
        <v>30273488.731622148</v>
      </c>
      <c r="F26" s="1" t="str">
        <f>+IF(D26&lt;E25,"piso suave","ok")</f>
        <v>ok</v>
      </c>
      <c r="G26" s="53">
        <f>0.9*D26</f>
        <v>38923056.940657049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46018453.538519897</v>
      </c>
      <c r="E27" s="53">
        <f>0.7*D27</f>
        <v>32212917.476963926</v>
      </c>
      <c r="F27" s="1" t="str">
        <f>+IF(D27&lt;E26,"piso suave","ok")</f>
        <v>ok</v>
      </c>
      <c r="G27" s="53">
        <f>0.9*D27</f>
        <v>41416608.184667908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48515523.692774303</v>
      </c>
      <c r="E28" s="53">
        <f t="shared" ref="E28:E33" si="4">0.7*D28</f>
        <v>33960866.584942013</v>
      </c>
      <c r="F28" s="1" t="str">
        <f t="shared" ref="F28:F33" si="5">+IF(D28&lt;E27,"piso suave","ok")</f>
        <v>ok</v>
      </c>
      <c r="G28" s="53">
        <f t="shared" ref="G28:G33" si="6">0.9*D28</f>
        <v>43663971.323496871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52907973.726022303</v>
      </c>
      <c r="E29" s="53">
        <f t="shared" si="4"/>
        <v>37035581.608215608</v>
      </c>
      <c r="F29" s="1" t="str">
        <f t="shared" si="5"/>
        <v>ok</v>
      </c>
      <c r="G29" s="53">
        <f t="shared" si="6"/>
        <v>47617176.353420071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56192216.320755899</v>
      </c>
      <c r="E30" s="53">
        <f t="shared" si="4"/>
        <v>39334551.424529128</v>
      </c>
      <c r="F30" s="1" t="str">
        <f t="shared" si="5"/>
        <v>ok</v>
      </c>
      <c r="G30" s="53">
        <f t="shared" si="6"/>
        <v>50572994.688680314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58677518.790765397</v>
      </c>
      <c r="E31" s="53">
        <f t="shared" si="4"/>
        <v>41074263.153535776</v>
      </c>
      <c r="F31" s="1" t="str">
        <f t="shared" si="5"/>
        <v>ok</v>
      </c>
      <c r="G31" s="53">
        <f t="shared" si="6"/>
        <v>52809766.911688857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66910855.056575499</v>
      </c>
      <c r="E32" s="53">
        <f t="shared" si="4"/>
        <v>46837598.539602846</v>
      </c>
      <c r="F32" s="1" t="str">
        <f t="shared" si="5"/>
        <v>ok</v>
      </c>
      <c r="G32" s="53">
        <f t="shared" si="6"/>
        <v>60219769.550917953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75523946.399348304</v>
      </c>
      <c r="E33" s="53">
        <f t="shared" si="4"/>
        <v>52866762.479543813</v>
      </c>
      <c r="F33" s="1" t="str">
        <f t="shared" si="5"/>
        <v>ok</v>
      </c>
      <c r="G33" s="53">
        <f t="shared" si="6"/>
        <v>67971551.759413481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638893.00865319301</v>
      </c>
      <c r="E40" s="53">
        <f>0.7*D40</f>
        <v>447225.1060572351</v>
      </c>
      <c r="F40" s="1" t="str">
        <f>+IF(D40&lt;E39,"piso suave","ok")</f>
        <v>ok</v>
      </c>
      <c r="G40" s="53">
        <f>0.9*D40</f>
        <v>575003.70778787369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21952615.5842833</v>
      </c>
      <c r="E41" s="53">
        <f>0.7*D41</f>
        <v>15366830.908998309</v>
      </c>
      <c r="F41" s="1" t="str">
        <f>+IF(D41&lt;E40,"piso suave","ok")</f>
        <v>ok</v>
      </c>
      <c r="G41" s="53">
        <f>0.9*D41</f>
        <v>19757354.025854971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31690979.765739702</v>
      </c>
      <c r="E42" s="53">
        <f>0.7*D42</f>
        <v>22183685.836017791</v>
      </c>
      <c r="F42" s="1" t="str">
        <f>+IF(D42&lt;E41,"piso suave","ok")</f>
        <v>ok</v>
      </c>
      <c r="G42" s="53">
        <f>0.9*D42</f>
        <v>28521881.789165732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35617850.238325797</v>
      </c>
      <c r="E43" s="53">
        <f>0.7*D43</f>
        <v>24932495.166828055</v>
      </c>
      <c r="F43" s="1" t="str">
        <f>+IF(D43&lt;E42,"piso suave","ok")</f>
        <v>ok</v>
      </c>
      <c r="G43" s="53">
        <f>0.9*D43</f>
        <v>32056065.214493219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37859244.669416703</v>
      </c>
      <c r="E44" s="53">
        <f>0.7*D44</f>
        <v>26501471.268591691</v>
      </c>
      <c r="F44" s="1" t="str">
        <f>+IF(D44&lt;E43,"piso suave","ok")</f>
        <v>ok</v>
      </c>
      <c r="G44" s="53">
        <f>0.9*D44</f>
        <v>34073320.202475034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39918470.188987002</v>
      </c>
      <c r="E45" s="53">
        <f t="shared" ref="E45:E50" si="8">0.7*D45</f>
        <v>27942929.1322909</v>
      </c>
      <c r="F45" s="1" t="str">
        <f t="shared" ref="F45:F50" si="9">+IF(D45&lt;E44,"piso suave","ok")</f>
        <v>ok</v>
      </c>
      <c r="G45" s="53">
        <f t="shared" ref="G45:G50" si="10">0.9*D45</f>
        <v>35926623.170088306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43174821.846697502</v>
      </c>
      <c r="E46" s="53">
        <f t="shared" si="8"/>
        <v>30222375.292688251</v>
      </c>
      <c r="F46" s="1" t="str">
        <f t="shared" si="9"/>
        <v>ok</v>
      </c>
      <c r="G46" s="53">
        <f t="shared" si="10"/>
        <v>38857339.662027754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45981471.0592255</v>
      </c>
      <c r="E47" s="53">
        <f t="shared" si="8"/>
        <v>32187029.741457846</v>
      </c>
      <c r="F47" s="1" t="str">
        <f t="shared" si="9"/>
        <v>ok</v>
      </c>
      <c r="G47" s="53">
        <f t="shared" si="10"/>
        <v>41383323.95330295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48795414.352393799</v>
      </c>
      <c r="E48" s="53">
        <f t="shared" si="8"/>
        <v>34156790.04667566</v>
      </c>
      <c r="F48" s="1" t="str">
        <f t="shared" si="9"/>
        <v>ok</v>
      </c>
      <c r="G48" s="53">
        <f t="shared" si="10"/>
        <v>43915872.917154416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57513947.801157802</v>
      </c>
      <c r="E49" s="53">
        <f t="shared" si="8"/>
        <v>40259763.46081046</v>
      </c>
      <c r="F49" s="1" t="str">
        <f t="shared" si="9"/>
        <v>ok</v>
      </c>
      <c r="G49" s="53">
        <f t="shared" si="10"/>
        <v>51762553.021042027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67607473.571301997</v>
      </c>
      <c r="E50" s="53">
        <f t="shared" si="8"/>
        <v>47325231.499911398</v>
      </c>
      <c r="F50" s="1" t="str">
        <f t="shared" si="9"/>
        <v>ok</v>
      </c>
      <c r="G50" s="53">
        <f t="shared" si="10"/>
        <v>60846726.214171797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741124.42650853598</v>
      </c>
      <c r="E57" s="53">
        <f>0.7*D57</f>
        <v>518787.09855597513</v>
      </c>
      <c r="F57" s="1" t="str">
        <f>+IF(D57&lt;E56,"piso suave","ok")</f>
        <v>ok</v>
      </c>
      <c r="G57" s="53">
        <f>0.9*D57</f>
        <v>667011.98385768244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22970226.613368299</v>
      </c>
      <c r="E58" s="53">
        <f>0.7*D58</f>
        <v>16079158.629357807</v>
      </c>
      <c r="F58" s="1" t="str">
        <f>+IF(D58&lt;E57,"piso suave","ok")</f>
        <v>ok</v>
      </c>
      <c r="G58" s="53">
        <f>0.9*D58</f>
        <v>20673203.952031471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33142164.249465</v>
      </c>
      <c r="E59" s="53">
        <f>0.7*D59</f>
        <v>23199514.974625498</v>
      </c>
      <c r="F59" s="1" t="str">
        <f>+IF(D59&lt;E58,"piso suave","ok")</f>
        <v>ok</v>
      </c>
      <c r="G59" s="53">
        <f>0.9*D59</f>
        <v>29827947.824518502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38600145.063455701</v>
      </c>
      <c r="E60" s="53">
        <f>0.7*D60</f>
        <v>27020101.544418991</v>
      </c>
      <c r="F60" s="1" t="str">
        <f>+IF(D60&lt;E59,"piso suave","ok")</f>
        <v>ok</v>
      </c>
      <c r="G60" s="53">
        <f>0.9*D60</f>
        <v>34740130.557110131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40011260.250581197</v>
      </c>
      <c r="E61" s="53">
        <f>0.7*D61</f>
        <v>28007882.175406836</v>
      </c>
      <c r="F61" s="1" t="str">
        <f>+IF(D61&lt;E60,"piso suave","ok")</f>
        <v>ok</v>
      </c>
      <c r="G61" s="53">
        <f>0.9*D61</f>
        <v>36010134.225523077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41298492.6791934</v>
      </c>
      <c r="E62" s="53">
        <f t="shared" ref="E62:E67" si="12">0.7*D62</f>
        <v>28908944.875435378</v>
      </c>
      <c r="F62" s="1" t="str">
        <f t="shared" ref="F62:F67" si="13">+IF(D62&lt;E61,"piso suave","ok")</f>
        <v>ok</v>
      </c>
      <c r="G62" s="53">
        <f t="shared" ref="G62:G67" si="14">0.9*D62</f>
        <v>37168643.411274061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44011836.742601298</v>
      </c>
      <c r="E63" s="53">
        <f t="shared" si="12"/>
        <v>30808285.719820905</v>
      </c>
      <c r="F63" s="1" t="str">
        <f t="shared" si="13"/>
        <v>ok</v>
      </c>
      <c r="G63" s="53">
        <f t="shared" si="14"/>
        <v>39610653.068341166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47019785.895744398</v>
      </c>
      <c r="E64" s="53">
        <f t="shared" si="12"/>
        <v>32913850.127021078</v>
      </c>
      <c r="F64" s="1" t="str">
        <f t="shared" si="13"/>
        <v>ok</v>
      </c>
      <c r="G64" s="53">
        <f t="shared" si="14"/>
        <v>42317807.306169957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49135987.449858502</v>
      </c>
      <c r="E65" s="53">
        <f t="shared" si="12"/>
        <v>34395191.214900948</v>
      </c>
      <c r="F65" s="1" t="str">
        <f t="shared" si="13"/>
        <v>ok</v>
      </c>
      <c r="G65" s="53">
        <f t="shared" si="14"/>
        <v>44222388.704872653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55874654.210379899</v>
      </c>
      <c r="E66" s="53">
        <f t="shared" si="12"/>
        <v>39112257.947265923</v>
      </c>
      <c r="F66" s="1" t="str">
        <f t="shared" si="13"/>
        <v>ok</v>
      </c>
      <c r="G66" s="53">
        <f t="shared" si="14"/>
        <v>50287188.789341912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68010570.926805303</v>
      </c>
      <c r="E67" s="53">
        <f t="shared" si="12"/>
        <v>47607399.648763709</v>
      </c>
      <c r="F67" s="1" t="str">
        <f t="shared" si="13"/>
        <v>ok</v>
      </c>
      <c r="G67" s="53">
        <f t="shared" si="14"/>
        <v>61209513.834124774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755.85443148536103</v>
      </c>
      <c r="E7" s="171">
        <f>+'Centers of Mass and Rigidity'!E5</f>
        <v>755.85443148536103</v>
      </c>
      <c r="F7" s="68">
        <f>+E7*9.807</f>
        <v>7412.6644095769361</v>
      </c>
      <c r="G7">
        <f>1.5*F7</f>
        <v>11118.996614365404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16946.712707268802</v>
      </c>
      <c r="E8" s="171">
        <f>+'Centers of Mass and Rigidity'!E6</f>
        <v>16946.712707268802</v>
      </c>
      <c r="F8" s="68">
        <f t="shared" ref="F8:F17" si="0">+E8*9.807</f>
        <v>166196.41152018515</v>
      </c>
      <c r="G8" s="68">
        <f t="shared" ref="G8:G17" si="1">1.5*F8</f>
        <v>249294.61728027771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21789.759708260899</v>
      </c>
      <c r="E9" s="171">
        <f>+'Centers of Mass and Rigidity'!E7</f>
        <v>21789.759708260899</v>
      </c>
      <c r="F9" s="68">
        <f t="shared" si="0"/>
        <v>213692.17345891465</v>
      </c>
      <c r="G9" s="68">
        <f t="shared" si="1"/>
        <v>320538.26018837199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21789.759708260899</v>
      </c>
      <c r="E10" s="171">
        <f>+'Centers of Mass and Rigidity'!E8</f>
        <v>21789.759708260899</v>
      </c>
      <c r="F10" s="68">
        <f t="shared" si="0"/>
        <v>213692.17345891465</v>
      </c>
      <c r="G10" s="68">
        <f t="shared" si="1"/>
        <v>320538.26018837199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21789.759708260899</v>
      </c>
      <c r="E11" s="171">
        <f>+'Centers of Mass and Rigidity'!E9</f>
        <v>21789.759708260899</v>
      </c>
      <c r="F11" s="68">
        <f t="shared" si="0"/>
        <v>213692.17345891465</v>
      </c>
      <c r="G11" s="68">
        <f t="shared" si="1"/>
        <v>320538.26018837199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21789.759708260899</v>
      </c>
      <c r="E12" s="171">
        <f>+'Centers of Mass and Rigidity'!E10</f>
        <v>21789.759708260899</v>
      </c>
      <c r="F12" s="158">
        <f t="shared" si="0"/>
        <v>213692.17345891465</v>
      </c>
      <c r="G12" s="158">
        <f t="shared" si="1"/>
        <v>320538.26018837199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21789.759708260899</v>
      </c>
      <c r="E13" s="171">
        <f>+'Centers of Mass and Rigidity'!E11</f>
        <v>21789.759708260899</v>
      </c>
      <c r="F13" s="158">
        <f t="shared" si="0"/>
        <v>213692.17345891465</v>
      </c>
      <c r="G13" s="158">
        <f t="shared" si="1"/>
        <v>320538.26018837199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23261.8220033531</v>
      </c>
      <c r="E14" s="171">
        <f>+'Centers of Mass and Rigidity'!E12</f>
        <v>23261.8220033531</v>
      </c>
      <c r="F14" s="158">
        <f t="shared" si="0"/>
        <v>228128.68838688385</v>
      </c>
      <c r="G14" s="158">
        <f t="shared" si="1"/>
        <v>342193.03258032579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23261.8220033531</v>
      </c>
      <c r="E15" s="171">
        <f>+'Centers of Mass and Rigidity'!E13</f>
        <v>23261.8220033531</v>
      </c>
      <c r="F15" s="158">
        <f t="shared" si="0"/>
        <v>228128.68838688385</v>
      </c>
      <c r="G15" s="158">
        <f t="shared" si="1"/>
        <v>342193.03258032579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23261.8220033531</v>
      </c>
      <c r="E16" s="171">
        <f>+'Centers of Mass and Rigidity'!E14</f>
        <v>23261.8220033531</v>
      </c>
      <c r="F16" s="158">
        <f t="shared" si="0"/>
        <v>228128.68838688385</v>
      </c>
      <c r="G16" s="158">
        <f t="shared" si="1"/>
        <v>342193.03258032579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24031.277106730198</v>
      </c>
      <c r="E17" s="171">
        <f>+'Centers of Mass and Rigidity'!E15</f>
        <v>24031.277106730198</v>
      </c>
      <c r="F17" s="158">
        <f t="shared" si="0"/>
        <v>235674.73458570306</v>
      </c>
      <c r="G17" s="158">
        <f t="shared" si="1"/>
        <v>353512.10187855456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2162130.7429706897</v>
      </c>
      <c r="G18">
        <f>1.5*F18</f>
        <v>3243196.1144560343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17150.399999993901</v>
      </c>
      <c r="F5" s="172">
        <v>5.7731597280508099E-10</v>
      </c>
      <c r="G5" s="172">
        <v>-3.2170532904274301E-10</v>
      </c>
      <c r="H5" s="172">
        <v>-8.8825800048653003E-9</v>
      </c>
      <c r="I5" s="172">
        <v>33059.159999989701</v>
      </c>
      <c r="J5" s="172">
        <v>-435783.95999984699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841896.147647526</v>
      </c>
      <c r="F6" s="172">
        <v>1.08076221749798E-7</v>
      </c>
      <c r="G6" s="172">
        <v>1.2664068549384001E-7</v>
      </c>
      <c r="H6" s="172">
        <v>1.2910027180623699E-6</v>
      </c>
      <c r="I6" s="172">
        <v>12314404.966762001</v>
      </c>
      <c r="J6" s="172">
        <v>-10457140.5624194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1651836.89529522</v>
      </c>
      <c r="F7" s="172">
        <v>1.2928580872539899E-7</v>
      </c>
      <c r="G7" s="172">
        <v>2.5493611133242698E-7</v>
      </c>
      <c r="H7" s="172">
        <v>2.74289971002872E-6</v>
      </c>
      <c r="I7" s="172">
        <v>24366273.273524798</v>
      </c>
      <c r="J7" s="172">
        <v>-20308239.664842099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2461777.642943</v>
      </c>
      <c r="F8" s="172">
        <v>1.10428402422258E-7</v>
      </c>
      <c r="G8" s="172">
        <v>3.9126348383433699E-7</v>
      </c>
      <c r="H8" s="172">
        <v>3.9855506202002297E-6</v>
      </c>
      <c r="I8" s="172">
        <v>36418141.580288</v>
      </c>
      <c r="J8" s="172">
        <v>-30159338.767266698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3271718.3905906598</v>
      </c>
      <c r="F9" s="172">
        <v>9.7957524758385301E-8</v>
      </c>
      <c r="G9" s="172">
        <v>4.6239003381742799E-7</v>
      </c>
      <c r="H9" s="172">
        <v>5.0860617193393401E-6</v>
      </c>
      <c r="I9" s="172">
        <v>48470009.8870496</v>
      </c>
      <c r="J9" s="172">
        <v>-40010437.869689099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4081659.1382383499</v>
      </c>
      <c r="F10" s="172">
        <v>1.45018475450343E-7</v>
      </c>
      <c r="G10" s="172">
        <v>5.3030078106530699E-7</v>
      </c>
      <c r="H10" s="172">
        <v>5.3986636885383598E-6</v>
      </c>
      <c r="I10" s="172">
        <v>60521878.193811402</v>
      </c>
      <c r="J10" s="172">
        <v>-49861536.972111702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4891599.8858860601</v>
      </c>
      <c r="F11" s="172">
        <v>1.13406940727145E-7</v>
      </c>
      <c r="G11" s="172">
        <v>5.9420864317871704E-7</v>
      </c>
      <c r="H11" s="172">
        <v>5.7344509514223302E-6</v>
      </c>
      <c r="I11" s="172">
        <v>72573746.500573099</v>
      </c>
      <c r="J11" s="172">
        <v>-59712636.074534804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5715976.9935336998</v>
      </c>
      <c r="F12" s="172">
        <v>6.40808366370038E-8</v>
      </c>
      <c r="G12" s="172">
        <v>6.6546823518365304E-7</v>
      </c>
      <c r="H12" s="172">
        <v>5.2002537813677901E-6</v>
      </c>
      <c r="I12" s="172">
        <v>84832262.007334307</v>
      </c>
      <c r="J12" s="172">
        <v>-69736793.926506102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6540354.1011812799</v>
      </c>
      <c r="F13" s="172">
        <v>1.0951418971672001E-7</v>
      </c>
      <c r="G13" s="172">
        <v>7.0149536668395698E-7</v>
      </c>
      <c r="H13" s="172">
        <v>4.2073550048371502E-6</v>
      </c>
      <c r="I13" s="172">
        <v>97090777.514094502</v>
      </c>
      <c r="J13" s="172">
        <v>-79760951.778476596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7364731.2088290304</v>
      </c>
      <c r="F14" s="172">
        <v>9.6847657005127998E-8</v>
      </c>
      <c r="G14" s="172">
        <v>7.39034078378609E-7</v>
      </c>
      <c r="H14" s="172">
        <v>3.7776092085550802E-6</v>
      </c>
      <c r="I14" s="172">
        <v>109349293.02085599</v>
      </c>
      <c r="J14" s="172">
        <v>-89785109.630450904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8425266.8406871203</v>
      </c>
      <c r="F15" s="172">
        <v>1.28059809867409E-7</v>
      </c>
      <c r="G15" s="172">
        <v>7.5761977313959495E-7</v>
      </c>
      <c r="H15" s="172">
        <v>3.81341260435875E-6</v>
      </c>
      <c r="I15" s="172">
        <v>125253518.92887899</v>
      </c>
      <c r="J15" s="172">
        <v>-102541927.185473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4" t="s">
        <v>73</v>
      </c>
      <c r="F19" s="204"/>
      <c r="G19" s="204"/>
      <c r="H19" s="204"/>
      <c r="I19" s="204"/>
      <c r="J19" s="204"/>
      <c r="K19" s="204"/>
      <c r="L19" s="204"/>
      <c r="M19" s="204"/>
      <c r="N19" s="204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2.4272016453386301E-2</v>
      </c>
      <c r="F22" s="83">
        <f t="shared" ref="F22:F32" si="0">+E5</f>
        <v>17150.399999993901</v>
      </c>
      <c r="G22" s="83">
        <v>0</v>
      </c>
      <c r="H22" s="83">
        <f t="shared" ref="H22:H32" si="1">+E22</f>
        <v>2.4272016453386301E-2</v>
      </c>
      <c r="I22" s="83">
        <f t="shared" ref="I22:I31" si="2">+H22-H23</f>
        <v>-6.3028435787687992E-3</v>
      </c>
      <c r="J22" s="83">
        <f>IF(+'Sismo UBC-94 y Dinamico'!O15=0,'Sismo UBC-94 y Dinamico'!M15,'Sismo UBC-94 y Dinamico'!O15)</f>
        <v>1017.3591494031352</v>
      </c>
      <c r="K22" s="83">
        <f t="shared" ref="K22:K32" si="3">+C22</f>
        <v>38.5</v>
      </c>
      <c r="L22" s="83">
        <f>+G22*I22</f>
        <v>0</v>
      </c>
      <c r="M22" s="83">
        <f>+J22*K22</f>
        <v>39168.32725202071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3.05748600321551E-2</v>
      </c>
      <c r="F23" s="165">
        <f t="shared" si="0"/>
        <v>841896.147647526</v>
      </c>
      <c r="G23" s="83">
        <f>+F23</f>
        <v>841896.147647526</v>
      </c>
      <c r="H23" s="83">
        <f t="shared" si="1"/>
        <v>3.05748600321551E-2</v>
      </c>
      <c r="I23" s="83">
        <f t="shared" si="2"/>
        <v>1.0455456718928002E-3</v>
      </c>
      <c r="J23" s="172">
        <f>IF(+'Sismo UBC-94 y Dinamico'!O16=0,'Sismo UBC-94 y Dinamico'!M16,'Sismo UBC-94 y Dinamico'!O16)</f>
        <v>31213.797328967768</v>
      </c>
      <c r="K23" s="172">
        <f t="shared" si="3"/>
        <v>35.5</v>
      </c>
      <c r="L23" s="83">
        <f t="shared" ref="L23:L32" si="4">+G23*I23</f>
        <v>880.24087335609272</v>
      </c>
      <c r="M23" s="83">
        <f t="shared" ref="M23:M32" si="5">+J23*K23</f>
        <v>1108089.8051783559</v>
      </c>
      <c r="N23" s="83">
        <f t="shared" ref="N23:N32" si="6">+L23/M23</f>
        <v>7.9437683592297912E-4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2.95293143602623E-2</v>
      </c>
      <c r="F24" s="165">
        <f t="shared" si="0"/>
        <v>1651836.89529522</v>
      </c>
      <c r="G24" s="83">
        <f>+F24-F23</f>
        <v>809940.74764769396</v>
      </c>
      <c r="H24" s="83">
        <f t="shared" si="1"/>
        <v>2.95293143602623E-2</v>
      </c>
      <c r="I24" s="83">
        <f t="shared" si="2"/>
        <v>1.7593662061505012E-3</v>
      </c>
      <c r="J24" s="172">
        <f>IF(+'Sismo UBC-94 y Dinamico'!O17=0,'Sismo UBC-94 y Dinamico'!M17,'Sismo UBC-94 y Dinamico'!O17)</f>
        <v>35329.536874533951</v>
      </c>
      <c r="K24" s="172">
        <f t="shared" si="3"/>
        <v>32</v>
      </c>
      <c r="L24" s="83">
        <f t="shared" si="4"/>
        <v>1424.9823803956237</v>
      </c>
      <c r="M24" s="83">
        <f t="shared" si="5"/>
        <v>1130545.1799850864</v>
      </c>
      <c r="N24" s="83">
        <f t="shared" si="6"/>
        <v>1.2604382430911974E-3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2.7769948154111799E-2</v>
      </c>
      <c r="F25" s="165">
        <f t="shared" si="0"/>
        <v>2461777.642943</v>
      </c>
      <c r="G25" s="83">
        <f>+F25-F24</f>
        <v>809940.74764777999</v>
      </c>
      <c r="H25" s="83">
        <f t="shared" si="1"/>
        <v>2.7769948154111799E-2</v>
      </c>
      <c r="I25" s="83">
        <f t="shared" si="2"/>
        <v>2.4445154220905999E-3</v>
      </c>
      <c r="J25" s="172">
        <f>IF(+'Sismo UBC-94 y Dinamico'!O18=0,'Sismo UBC-94 y Dinamico'!M18,'Sismo UBC-94 y Dinamico'!O18)</f>
        <v>29658.850249632873</v>
      </c>
      <c r="K25" s="172">
        <f t="shared" si="3"/>
        <v>28.5</v>
      </c>
      <c r="L25" s="83">
        <f t="shared" si="4"/>
        <v>1979.9126486045889</v>
      </c>
      <c r="M25" s="83">
        <f t="shared" si="5"/>
        <v>845277.23211453692</v>
      </c>
      <c r="N25" s="83">
        <f t="shared" si="6"/>
        <v>2.3423234098612351E-3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2.5325432732021199E-2</v>
      </c>
      <c r="F26" s="165">
        <f t="shared" si="0"/>
        <v>3271718.3905906598</v>
      </c>
      <c r="G26" s="83">
        <f>+F26-F25</f>
        <v>809940.74764765985</v>
      </c>
      <c r="H26" s="83">
        <f t="shared" si="1"/>
        <v>2.5325432732021199E-2</v>
      </c>
      <c r="I26" s="83">
        <f t="shared" si="2"/>
        <v>3.0257474128300987E-3</v>
      </c>
      <c r="J26" s="172">
        <f>IF(+'Sismo UBC-94 y Dinamico'!O19=0,'Sismo UBC-94 y Dinamico'!M19,'Sismo UBC-94 y Dinamico'!O19)</f>
        <v>24903.590123524766</v>
      </c>
      <c r="K26" s="172">
        <f t="shared" si="3"/>
        <v>25</v>
      </c>
      <c r="L26" s="83">
        <f t="shared" si="4"/>
        <v>2450.6761217405829</v>
      </c>
      <c r="M26" s="83">
        <f t="shared" si="5"/>
        <v>622589.75308811909</v>
      </c>
      <c r="N26" s="83">
        <f t="shared" si="6"/>
        <v>3.9362615744716941E-3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2.22996853191911E-2</v>
      </c>
      <c r="F27" s="165">
        <f t="shared" si="0"/>
        <v>4081659.1382383499</v>
      </c>
      <c r="G27" s="165">
        <f t="shared" ref="G27:G32" si="8">+F27-F26</f>
        <v>809940.74764769012</v>
      </c>
      <c r="H27" s="165">
        <f t="shared" si="1"/>
        <v>2.22996853191911E-2</v>
      </c>
      <c r="I27" s="165">
        <f t="shared" si="2"/>
        <v>3.4805756009365987E-3</v>
      </c>
      <c r="J27" s="172">
        <f>IF(+'Sismo UBC-94 y Dinamico'!O20=0,'Sismo UBC-94 y Dinamico'!M20,'Sismo UBC-94 y Dinamico'!O20)</f>
        <v>21159.072491527684</v>
      </c>
      <c r="K27" s="172">
        <f t="shared" si="3"/>
        <v>21.5</v>
      </c>
      <c r="L27" s="165">
        <f t="shared" si="4"/>
        <v>2819.0600044668972</v>
      </c>
      <c r="M27" s="165">
        <f t="shared" si="5"/>
        <v>454920.0585678452</v>
      </c>
      <c r="N27" s="165">
        <f t="shared" si="6"/>
        <v>6.1968250275481586E-3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1.8819109718254502E-2</v>
      </c>
      <c r="F28" s="165">
        <f t="shared" si="0"/>
        <v>4891599.8858860601</v>
      </c>
      <c r="G28" s="165">
        <f t="shared" si="8"/>
        <v>809940.74764771014</v>
      </c>
      <c r="H28" s="165">
        <f t="shared" si="1"/>
        <v>1.8819109718254502E-2</v>
      </c>
      <c r="I28" s="165">
        <f t="shared" si="2"/>
        <v>3.6788908160648014E-3</v>
      </c>
      <c r="J28" s="172">
        <f>IF(+'Sismo UBC-94 y Dinamico'!O21=0,'Sismo UBC-94 y Dinamico'!M21,'Sismo UBC-94 y Dinamico'!O21)</f>
        <v>18206.831918283493</v>
      </c>
      <c r="K28" s="172">
        <f t="shared" si="3"/>
        <v>18</v>
      </c>
      <c r="L28" s="165">
        <f t="shared" si="4"/>
        <v>2979.6835780778197</v>
      </c>
      <c r="M28" s="165">
        <f t="shared" si="5"/>
        <v>327722.97452910285</v>
      </c>
      <c r="N28" s="165">
        <f t="shared" si="6"/>
        <v>9.0920802313577635E-3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1.51402189021897E-2</v>
      </c>
      <c r="F29" s="165">
        <f t="shared" si="0"/>
        <v>5715976.9935336998</v>
      </c>
      <c r="G29" s="165">
        <f t="shared" si="8"/>
        <v>824377.1076476397</v>
      </c>
      <c r="H29" s="165">
        <f t="shared" si="1"/>
        <v>1.51402189021897E-2</v>
      </c>
      <c r="I29" s="165">
        <f t="shared" si="2"/>
        <v>3.7901034730863994E-3</v>
      </c>
      <c r="J29" s="172">
        <f>IF(+'Sismo UBC-94 y Dinamico'!O22=0,'Sismo UBC-94 y Dinamico'!M22,'Sismo UBC-94 y Dinamico'!O22)</f>
        <v>16212.023624826024</v>
      </c>
      <c r="K29" s="172">
        <f t="shared" si="3"/>
        <v>14.5</v>
      </c>
      <c r="L29" s="165">
        <f t="shared" si="4"/>
        <v>3124.4745388282399</v>
      </c>
      <c r="M29" s="165">
        <f t="shared" si="5"/>
        <v>235074.34255997735</v>
      </c>
      <c r="N29" s="165">
        <f t="shared" si="6"/>
        <v>1.3291431573528936E-2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1.1350115429103301E-2</v>
      </c>
      <c r="F30" s="165">
        <f t="shared" si="0"/>
        <v>6540354.1011812799</v>
      </c>
      <c r="G30" s="165">
        <f t="shared" si="8"/>
        <v>824377.10764758009</v>
      </c>
      <c r="H30" s="165">
        <f t="shared" si="1"/>
        <v>1.1350115429103301E-2</v>
      </c>
      <c r="I30" s="165">
        <f t="shared" si="2"/>
        <v>3.9777543272308709E-3</v>
      </c>
      <c r="J30" s="172">
        <f>IF(+'Sismo UBC-94 y Dinamico'!O23=0,'Sismo UBC-94 y Dinamico'!M23,'Sismo UBC-94 y Dinamico'!O23)</f>
        <v>13839.375341244946</v>
      </c>
      <c r="K30" s="172">
        <f t="shared" si="3"/>
        <v>11</v>
      </c>
      <c r="L30" s="165">
        <f t="shared" si="4"/>
        <v>3279.1696072152313</v>
      </c>
      <c r="M30" s="165">
        <f t="shared" si="5"/>
        <v>152233.12875369441</v>
      </c>
      <c r="N30" s="165">
        <f t="shared" si="6"/>
        <v>2.1540446774373032E-2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7.3723611018724298E-3</v>
      </c>
      <c r="F31" s="165">
        <f t="shared" si="0"/>
        <v>7364731.2088290304</v>
      </c>
      <c r="G31" s="165">
        <f t="shared" si="8"/>
        <v>824377.10764775053</v>
      </c>
      <c r="H31" s="165">
        <f t="shared" si="1"/>
        <v>7.3723611018724298E-3</v>
      </c>
      <c r="I31" s="165">
        <f t="shared" si="2"/>
        <v>4.0183363843169992E-3</v>
      </c>
      <c r="J31" s="172">
        <f>IF(+'Sismo UBC-94 y Dinamico'!O24=0,'Sismo UBC-94 y Dinamico'!M24,'Sismo UBC-94 y Dinamico'!O24)</f>
        <v>10644.269311621323</v>
      </c>
      <c r="K31" s="172">
        <f t="shared" si="3"/>
        <v>7.5</v>
      </c>
      <c r="L31" s="165">
        <f t="shared" si="4"/>
        <v>3312.6245260589676</v>
      </c>
      <c r="M31" s="165">
        <f t="shared" si="5"/>
        <v>79832.019837159925</v>
      </c>
      <c r="N31" s="165">
        <f t="shared" si="6"/>
        <v>4.1494935651333963E-2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3.3540247175554302E-3</v>
      </c>
      <c r="F32" s="165">
        <f t="shared" si="0"/>
        <v>8425266.8406871203</v>
      </c>
      <c r="G32" s="165">
        <f t="shared" si="8"/>
        <v>1060535.6318580899</v>
      </c>
      <c r="H32" s="165">
        <f t="shared" si="1"/>
        <v>3.3540247175554302E-3</v>
      </c>
      <c r="I32" s="165">
        <f>+H32-I33</f>
        <v>3.3540247175554302E-3</v>
      </c>
      <c r="J32" s="172">
        <f>IF(+'Sismo UBC-94 y Dinamico'!O25=0,'Sismo UBC-94 y Dinamico'!M25,'Sismo UBC-94 y Dinamico'!O25)</f>
        <v>5965.3311632103114</v>
      </c>
      <c r="K32" s="172">
        <f t="shared" si="3"/>
        <v>4</v>
      </c>
      <c r="L32" s="165">
        <f t="shared" si="4"/>
        <v>3557.0627231003</v>
      </c>
      <c r="M32" s="165">
        <f t="shared" si="5"/>
        <v>23861.324652841246</v>
      </c>
      <c r="N32" s="165">
        <f t="shared" si="6"/>
        <v>0.1490723073782389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4" t="s">
        <v>73</v>
      </c>
      <c r="F37" s="204"/>
      <c r="G37" s="204"/>
      <c r="H37" s="204"/>
      <c r="I37" s="204"/>
      <c r="J37" s="204"/>
      <c r="K37" s="204"/>
      <c r="L37" s="204"/>
      <c r="M37" s="204"/>
      <c r="N37" s="204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2.8385699246985599E-2</v>
      </c>
      <c r="F40" s="165">
        <f t="shared" ref="F40:F50" si="9">+E5</f>
        <v>17150.399999993901</v>
      </c>
      <c r="G40" s="165">
        <v>0</v>
      </c>
      <c r="H40" s="165">
        <f t="shared" ref="H40:H50" si="10">+E40</f>
        <v>2.8385699246985599E-2</v>
      </c>
      <c r="I40" s="165">
        <f t="shared" ref="I40:I49" si="11">+H40-H41</f>
        <v>1.3148990957112007E-3</v>
      </c>
      <c r="J40" s="165">
        <f>+J22</f>
        <v>1017.3591494031352</v>
      </c>
      <c r="K40" s="165">
        <f t="shared" ref="K40:K50" si="12">+C40</f>
        <v>38.5</v>
      </c>
      <c r="L40" s="165">
        <f>+G40*I40</f>
        <v>0</v>
      </c>
      <c r="M40" s="165">
        <f>+J40*K40</f>
        <v>39168.32725202071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2.7070800151274398E-2</v>
      </c>
      <c r="F41" s="165">
        <f t="shared" si="9"/>
        <v>841896.147647526</v>
      </c>
      <c r="G41" s="165">
        <f>+F41</f>
        <v>841896.147647526</v>
      </c>
      <c r="H41" s="165">
        <f t="shared" si="10"/>
        <v>2.7070800151274398E-2</v>
      </c>
      <c r="I41" s="165">
        <f t="shared" si="11"/>
        <v>1.314881536524197E-3</v>
      </c>
      <c r="J41" s="172">
        <f t="shared" ref="J41:J50" si="13">+J23</f>
        <v>31213.797328967768</v>
      </c>
      <c r="K41" s="172">
        <f t="shared" si="12"/>
        <v>35.5</v>
      </c>
      <c r="L41" s="165">
        <f t="shared" ref="L41:L50" si="14">+G41*I41</f>
        <v>1106.9937002125812</v>
      </c>
      <c r="M41" s="165">
        <f t="shared" ref="M41:M50" si="15">+J41*K41</f>
        <v>1108089.8051783559</v>
      </c>
      <c r="N41" s="165">
        <f t="shared" ref="N41:N50" si="16">+L41/M41</f>
        <v>9.9901081576542596E-4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2.5755918614750201E-2</v>
      </c>
      <c r="F42" s="165">
        <f t="shared" si="9"/>
        <v>1651836.89529522</v>
      </c>
      <c r="G42" s="165">
        <f>+F42-F41</f>
        <v>809940.74764769396</v>
      </c>
      <c r="H42" s="165">
        <f t="shared" si="10"/>
        <v>2.5755918614750201E-2</v>
      </c>
      <c r="I42" s="165">
        <f t="shared" si="11"/>
        <v>1.8750497320519019E-3</v>
      </c>
      <c r="J42" s="172">
        <f t="shared" si="13"/>
        <v>35329.536874533951</v>
      </c>
      <c r="K42" s="172">
        <f t="shared" si="12"/>
        <v>32</v>
      </c>
      <c r="L42" s="165">
        <f t="shared" si="14"/>
        <v>1518.6791818547256</v>
      </c>
      <c r="M42" s="165">
        <f t="shared" si="15"/>
        <v>1130545.1799850864</v>
      </c>
      <c r="N42" s="165">
        <f t="shared" si="16"/>
        <v>1.3433157813956265E-3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2.3880868882698299E-2</v>
      </c>
      <c r="F43" s="165">
        <f t="shared" si="9"/>
        <v>2461777.642943</v>
      </c>
      <c r="G43" s="165">
        <f t="shared" ref="G43:G50" si="18">+F43-F42</f>
        <v>809940.74764777999</v>
      </c>
      <c r="H43" s="165">
        <f t="shared" si="10"/>
        <v>2.3880868882698299E-2</v>
      </c>
      <c r="I43" s="165">
        <f t="shared" si="11"/>
        <v>2.356098377374001E-3</v>
      </c>
      <c r="J43" s="172">
        <f t="shared" si="13"/>
        <v>29658.850249632873</v>
      </c>
      <c r="K43" s="172">
        <f t="shared" si="12"/>
        <v>28.5</v>
      </c>
      <c r="L43" s="165">
        <f t="shared" si="14"/>
        <v>1908.3000813020196</v>
      </c>
      <c r="M43" s="165">
        <f t="shared" si="15"/>
        <v>845277.23211453692</v>
      </c>
      <c r="N43" s="165">
        <f t="shared" si="16"/>
        <v>2.2576026051574056E-3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2.1524770505324298E-2</v>
      </c>
      <c r="F44" s="165">
        <f t="shared" si="9"/>
        <v>3271718.3905906598</v>
      </c>
      <c r="G44" s="165">
        <f t="shared" si="18"/>
        <v>809940.74764765985</v>
      </c>
      <c r="H44" s="165">
        <f t="shared" si="10"/>
        <v>2.1524770505324298E-2</v>
      </c>
      <c r="I44" s="165">
        <f t="shared" si="11"/>
        <v>2.7531764333559999E-3</v>
      </c>
      <c r="J44" s="172">
        <f t="shared" si="13"/>
        <v>24903.590123524766</v>
      </c>
      <c r="K44" s="172">
        <f t="shared" si="12"/>
        <v>25</v>
      </c>
      <c r="L44" s="165">
        <f t="shared" si="14"/>
        <v>2229.909778838276</v>
      </c>
      <c r="M44" s="165">
        <f t="shared" si="15"/>
        <v>622589.75308811909</v>
      </c>
      <c r="N44" s="165">
        <f t="shared" si="16"/>
        <v>3.5816679728146164E-3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1.8771594071968298E-2</v>
      </c>
      <c r="F45" s="165">
        <f t="shared" si="9"/>
        <v>4081659.1382383499</v>
      </c>
      <c r="G45" s="165">
        <f t="shared" si="18"/>
        <v>809940.74764769012</v>
      </c>
      <c r="H45" s="165">
        <f t="shared" si="10"/>
        <v>1.8771594071968298E-2</v>
      </c>
      <c r="I45" s="165">
        <f t="shared" si="11"/>
        <v>3.0551218413286986E-3</v>
      </c>
      <c r="J45" s="172">
        <f t="shared" si="13"/>
        <v>21159.072491527684</v>
      </c>
      <c r="K45" s="172">
        <f t="shared" si="12"/>
        <v>21.5</v>
      </c>
      <c r="L45" s="165">
        <f t="shared" si="14"/>
        <v>2474.4676683205539</v>
      </c>
      <c r="M45" s="165">
        <f t="shared" si="15"/>
        <v>454920.0585678452</v>
      </c>
      <c r="N45" s="165">
        <f t="shared" si="16"/>
        <v>5.4393461482233592E-3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1.57164722306396E-2</v>
      </c>
      <c r="F46" s="165">
        <f t="shared" si="9"/>
        <v>4891599.8858860601</v>
      </c>
      <c r="G46" s="165">
        <f t="shared" si="18"/>
        <v>809940.74764771014</v>
      </c>
      <c r="H46" s="165">
        <f t="shared" si="10"/>
        <v>1.57164722306396E-2</v>
      </c>
      <c r="I46" s="165">
        <f t="shared" si="11"/>
        <v>3.1665701839128004E-3</v>
      </c>
      <c r="J46" s="172">
        <f t="shared" si="13"/>
        <v>18206.831918283493</v>
      </c>
      <c r="K46" s="172">
        <f t="shared" si="12"/>
        <v>18</v>
      </c>
      <c r="L46" s="165">
        <f t="shared" si="14"/>
        <v>2564.7342222372804</v>
      </c>
      <c r="M46" s="165">
        <f t="shared" si="15"/>
        <v>327722.97452910285</v>
      </c>
      <c r="N46" s="165">
        <f t="shared" si="16"/>
        <v>7.8259213469012486E-3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1.2549902046726799E-2</v>
      </c>
      <c r="F47" s="165">
        <f t="shared" si="9"/>
        <v>5715976.9935336998</v>
      </c>
      <c r="G47" s="165">
        <f t="shared" si="18"/>
        <v>824377.1076476397</v>
      </c>
      <c r="H47" s="165">
        <f t="shared" si="10"/>
        <v>1.2549902046726799E-2</v>
      </c>
      <c r="I47" s="165">
        <f t="shared" si="11"/>
        <v>3.2026375732119895E-3</v>
      </c>
      <c r="J47" s="172">
        <f t="shared" si="13"/>
        <v>16212.023624826024</v>
      </c>
      <c r="K47" s="172">
        <f t="shared" si="12"/>
        <v>14.5</v>
      </c>
      <c r="L47" s="165">
        <f t="shared" si="14"/>
        <v>2640.1810994481557</v>
      </c>
      <c r="M47" s="165">
        <f t="shared" si="15"/>
        <v>235074.34255997735</v>
      </c>
      <c r="N47" s="165">
        <f t="shared" si="16"/>
        <v>1.1231260165173214E-2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9.3472644735148099E-3</v>
      </c>
      <c r="F48" s="165">
        <f t="shared" si="9"/>
        <v>6540354.1011812799</v>
      </c>
      <c r="G48" s="165">
        <f t="shared" si="18"/>
        <v>824377.10764758009</v>
      </c>
      <c r="H48" s="165">
        <f t="shared" si="10"/>
        <v>9.3472644735148099E-3</v>
      </c>
      <c r="I48" s="165">
        <f t="shared" si="11"/>
        <v>3.26767572269654E-3</v>
      </c>
      <c r="J48" s="172">
        <f t="shared" si="13"/>
        <v>13839.375341244946</v>
      </c>
      <c r="K48" s="172">
        <f t="shared" si="12"/>
        <v>11</v>
      </c>
      <c r="L48" s="165">
        <f t="shared" si="14"/>
        <v>2693.7970610067896</v>
      </c>
      <c r="M48" s="165">
        <f t="shared" si="15"/>
        <v>152233.12875369441</v>
      </c>
      <c r="N48" s="165">
        <f t="shared" si="16"/>
        <v>1.7695209203544771E-2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6.0795887508182699E-3</v>
      </c>
      <c r="F49" s="165">
        <f t="shared" si="9"/>
        <v>7364731.2088290304</v>
      </c>
      <c r="G49" s="165">
        <f t="shared" si="18"/>
        <v>824377.10764775053</v>
      </c>
      <c r="H49" s="165">
        <f t="shared" si="10"/>
        <v>6.0795887508182699E-3</v>
      </c>
      <c r="I49" s="165">
        <f t="shared" si="11"/>
        <v>3.24041905157549E-3</v>
      </c>
      <c r="J49" s="172">
        <f t="shared" si="13"/>
        <v>10644.269311621323</v>
      </c>
      <c r="K49" s="172">
        <f t="shared" si="12"/>
        <v>7.5</v>
      </c>
      <c r="L49" s="165">
        <f t="shared" si="14"/>
        <v>2671.3272853044696</v>
      </c>
      <c r="M49" s="165">
        <f t="shared" si="15"/>
        <v>79832.019837159925</v>
      </c>
      <c r="N49" s="165">
        <f t="shared" si="16"/>
        <v>3.3461852659539368E-2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2.8391696992427799E-3</v>
      </c>
      <c r="F50" s="165">
        <f t="shared" si="9"/>
        <v>8425266.8406871203</v>
      </c>
      <c r="G50" s="165">
        <f t="shared" si="18"/>
        <v>1060535.6318580899</v>
      </c>
      <c r="H50" s="165">
        <f t="shared" si="10"/>
        <v>2.8391696992427799E-3</v>
      </c>
      <c r="I50" s="165">
        <f>+H50-I51</f>
        <v>2.8391696992427799E-3</v>
      </c>
      <c r="J50" s="172">
        <f t="shared" si="13"/>
        <v>5965.3311632103114</v>
      </c>
      <c r="K50" s="172">
        <f t="shared" si="12"/>
        <v>4</v>
      </c>
      <c r="L50" s="165">
        <f t="shared" si="14"/>
        <v>3011.0406309387849</v>
      </c>
      <c r="M50" s="165">
        <f t="shared" si="15"/>
        <v>23861.324652841246</v>
      </c>
      <c r="N50" s="165">
        <f t="shared" si="16"/>
        <v>0.12618916488277404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4" t="s">
        <v>73</v>
      </c>
      <c r="F55" s="204"/>
      <c r="G55" s="204"/>
      <c r="H55" s="204"/>
      <c r="I55" s="204"/>
      <c r="J55" s="204"/>
      <c r="K55" s="204"/>
      <c r="L55" s="204"/>
      <c r="M55" s="204"/>
      <c r="N55" s="204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3.3658532768934601E-2</v>
      </c>
      <c r="F58" s="83">
        <f t="shared" ref="F58:F68" si="19">+E5</f>
        <v>17150.399999993901</v>
      </c>
      <c r="G58" s="83">
        <v>0</v>
      </c>
      <c r="H58" s="83">
        <f>+E58</f>
        <v>3.3658532768934601E-2</v>
      </c>
      <c r="I58" s="83">
        <f>+H58-H59</f>
        <v>1.6647268322000988E-3</v>
      </c>
      <c r="J58" s="83">
        <f>IF(+'Sismo UBC-94 y Dinamico'!P34=0,'Sismo UBC-94 y Dinamico'!N34,'Sismo UBC-94 y Dinamico'!P34)</f>
        <v>976.64006737318141</v>
      </c>
      <c r="K58" s="83">
        <f t="shared" ref="K58:K68" si="20">+C58</f>
        <v>38.5</v>
      </c>
      <c r="L58" s="83">
        <f>+G58*I58</f>
        <v>0</v>
      </c>
      <c r="M58" s="83">
        <f>+J58*K58</f>
        <v>37600.642593867487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3.1993805936734503E-2</v>
      </c>
      <c r="F59" s="165">
        <f t="shared" si="19"/>
        <v>841896.147647526</v>
      </c>
      <c r="G59" s="83">
        <f>+F59</f>
        <v>841896.147647526</v>
      </c>
      <c r="H59" s="83">
        <f t="shared" ref="H59:H68" si="21">+E59</f>
        <v>3.1993805936734503E-2</v>
      </c>
      <c r="I59" s="83">
        <f>+H59-H60</f>
        <v>1.5584097101870031E-3</v>
      </c>
      <c r="J59" s="172">
        <f>IF(+'Sismo UBC-94 y Dinamico'!P35=0,'Sismo UBC-94 y Dinamico'!N35,'Sismo UBC-94 y Dinamico'!P35)</f>
        <v>32283.688971202635</v>
      </c>
      <c r="K59" s="172">
        <f t="shared" si="20"/>
        <v>35.5</v>
      </c>
      <c r="L59" s="83">
        <f>+G59*I59</f>
        <v>1312.0191314629353</v>
      </c>
      <c r="M59" s="83">
        <f>+J59*K59</f>
        <v>1146070.9584776936</v>
      </c>
      <c r="N59" s="83">
        <f>+L59/M59</f>
        <v>1.1447974680430502E-3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3.0435396226547499E-2</v>
      </c>
      <c r="F60" s="165">
        <f t="shared" si="19"/>
        <v>1651836.89529522</v>
      </c>
      <c r="G60" s="83">
        <f>+F60-F59</f>
        <v>809940.74764769396</v>
      </c>
      <c r="H60" s="83">
        <f t="shared" si="21"/>
        <v>3.0435396226547499E-2</v>
      </c>
      <c r="I60" s="83">
        <f>+H60-H61</f>
        <v>2.2191205662751984E-3</v>
      </c>
      <c r="J60" s="172">
        <f>IF(+'Sismo UBC-94 y Dinamico'!P36=0,'Sismo UBC-94 y Dinamico'!N36,'Sismo UBC-94 y Dinamico'!P36)</f>
        <v>35676.729670564091</v>
      </c>
      <c r="K60" s="172">
        <f t="shared" si="20"/>
        <v>32</v>
      </c>
      <c r="L60" s="83">
        <f>+G60*I60</f>
        <v>1797.3561705693082</v>
      </c>
      <c r="M60" s="83">
        <f>+J60*K60</f>
        <v>1141655.3494580509</v>
      </c>
      <c r="N60" s="83">
        <f>+L60/M60</f>
        <v>1.5743421790319833E-3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2.8216275660272301E-2</v>
      </c>
      <c r="F61" s="165">
        <f t="shared" si="19"/>
        <v>2461777.642943</v>
      </c>
      <c r="G61" s="83">
        <f t="shared" ref="G61:G68" si="22">+F61-F60</f>
        <v>809940.74764777999</v>
      </c>
      <c r="H61" s="83">
        <f t="shared" si="21"/>
        <v>2.8216275660272301E-2</v>
      </c>
      <c r="I61" s="83">
        <f>+H61-H62</f>
        <v>2.7945195011726022E-3</v>
      </c>
      <c r="J61" s="172">
        <f>IF(+'Sismo UBC-94 y Dinamico'!P37=0,'Sismo UBC-94 y Dinamico'!N37,'Sismo UBC-94 y Dinamico'!P37)</f>
        <v>29470.490291299862</v>
      </c>
      <c r="K61" s="172">
        <f t="shared" si="20"/>
        <v>28.5</v>
      </c>
      <c r="L61" s="83">
        <f>+G61*I61</f>
        <v>2263.3952140960387</v>
      </c>
      <c r="M61" s="83">
        <f>+J61*K61</f>
        <v>839908.97330204607</v>
      </c>
      <c r="N61" s="83">
        <f>+L61/M61</f>
        <v>2.6948101354336666E-3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2.5421756159099699E-2</v>
      </c>
      <c r="F62" s="165">
        <f t="shared" si="19"/>
        <v>3271718.3905906598</v>
      </c>
      <c r="G62" s="83">
        <f t="shared" si="22"/>
        <v>809940.74764765985</v>
      </c>
      <c r="H62" s="83">
        <f t="shared" si="21"/>
        <v>2.5421756159099699E-2</v>
      </c>
      <c r="I62" s="83">
        <f>+H62-H63</f>
        <v>3.2683991083180992E-3</v>
      </c>
      <c r="J62" s="172">
        <f>IF(+'Sismo UBC-94 y Dinamico'!P38=0,'Sismo UBC-94 y Dinamico'!N38,'Sismo UBC-94 y Dinamico'!P38)</f>
        <v>24445.599308343964</v>
      </c>
      <c r="K62" s="172">
        <f t="shared" si="20"/>
        <v>25</v>
      </c>
      <c r="L62" s="83">
        <f>+G62*I62</f>
        <v>2647.2096174021062</v>
      </c>
      <c r="M62" s="83">
        <f>+J62*K62</f>
        <v>611139.98270859907</v>
      </c>
      <c r="N62" s="83">
        <f>+L62/M62</f>
        <v>4.3315929121010175E-3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2.21533570507816E-2</v>
      </c>
      <c r="F63" s="165">
        <f t="shared" si="19"/>
        <v>4081659.1382383499</v>
      </c>
      <c r="G63" s="165">
        <f t="shared" si="22"/>
        <v>809940.74764769012</v>
      </c>
      <c r="H63" s="165">
        <f t="shared" si="21"/>
        <v>2.21533570507816E-2</v>
      </c>
      <c r="I63" s="165">
        <f t="shared" ref="I63:I68" si="23">+H63-H64</f>
        <v>3.6285702211453982E-3</v>
      </c>
      <c r="J63" s="172">
        <f>IF(+'Sismo UBC-94 y Dinamico'!P39=0,'Sismo UBC-94 y Dinamico'!N39,'Sismo UBC-94 y Dinamico'!P39)</f>
        <v>20625.047309260844</v>
      </c>
      <c r="K63" s="172">
        <f t="shared" si="20"/>
        <v>21.5</v>
      </c>
      <c r="L63" s="165">
        <f t="shared" ref="L63:L68" si="24">+G63*I63</f>
        <v>2938.926877806648</v>
      </c>
      <c r="M63" s="165">
        <f t="shared" ref="M63:M68" si="25">+J63*K63</f>
        <v>443438.51714910817</v>
      </c>
      <c r="N63" s="165">
        <f t="shared" ref="N63:N68" si="26">+L63/M63</f>
        <v>6.6275859316443208E-3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1.8524786829636201E-2</v>
      </c>
      <c r="F64" s="165">
        <f t="shared" si="19"/>
        <v>4891599.8858860601</v>
      </c>
      <c r="G64" s="165">
        <f t="shared" si="22"/>
        <v>809940.74764771014</v>
      </c>
      <c r="H64" s="165">
        <f t="shared" si="21"/>
        <v>1.8524786829636201E-2</v>
      </c>
      <c r="I64" s="165">
        <f t="shared" si="23"/>
        <v>3.7881393686157016E-3</v>
      </c>
      <c r="J64" s="172">
        <f>IF(+'Sismo UBC-94 y Dinamico'!P40=0,'Sismo UBC-94 y Dinamico'!N40,'Sismo UBC-94 y Dinamico'!P40)</f>
        <v>17805.765796215423</v>
      </c>
      <c r="K64" s="172">
        <f t="shared" si="20"/>
        <v>18</v>
      </c>
      <c r="L64" s="165">
        <f t="shared" si="24"/>
        <v>3068.1684324103262</v>
      </c>
      <c r="M64" s="165">
        <f t="shared" si="25"/>
        <v>320503.7843318776</v>
      </c>
      <c r="N64" s="165">
        <f t="shared" si="26"/>
        <v>9.5729553983464888E-3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1.47366474610205E-2</v>
      </c>
      <c r="F65" s="165">
        <f t="shared" si="19"/>
        <v>5715976.9935336998</v>
      </c>
      <c r="G65" s="165">
        <f t="shared" si="22"/>
        <v>824377.1076476397</v>
      </c>
      <c r="H65" s="165">
        <f t="shared" si="21"/>
        <v>1.47366474610205E-2</v>
      </c>
      <c r="I65" s="165">
        <f t="shared" si="23"/>
        <v>3.8472003408385001E-3</v>
      </c>
      <c r="J65" s="172">
        <f>IF(+'Sismo UBC-94 y Dinamico'!P41=0,'Sismo UBC-94 y Dinamico'!N41,'Sismo UBC-94 y Dinamico'!P41)</f>
        <v>16076.962719298073</v>
      </c>
      <c r="K65" s="172">
        <f t="shared" si="20"/>
        <v>14.5</v>
      </c>
      <c r="L65" s="165">
        <f t="shared" si="24"/>
        <v>3171.5438895214561</v>
      </c>
      <c r="M65" s="165">
        <f t="shared" si="25"/>
        <v>233115.95942982208</v>
      </c>
      <c r="N65" s="165">
        <f t="shared" si="26"/>
        <v>1.3605005411378653E-2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1.0889447120182E-2</v>
      </c>
      <c r="F66" s="165">
        <f t="shared" si="19"/>
        <v>6540354.1011812799</v>
      </c>
      <c r="G66" s="165">
        <f t="shared" si="22"/>
        <v>824377.10764758009</v>
      </c>
      <c r="H66" s="165">
        <f t="shared" si="21"/>
        <v>1.0889447120182E-2</v>
      </c>
      <c r="I66" s="165">
        <f t="shared" si="23"/>
        <v>3.9193272093381998E-3</v>
      </c>
      <c r="J66" s="172">
        <f>IF(+'Sismo UBC-94 y Dinamico'!P42=0,'Sismo UBC-94 y Dinamico'!N42,'Sismo UBC-94 y Dinamico'!P42)</f>
        <v>13939.371593266764</v>
      </c>
      <c r="K66" s="172">
        <f t="shared" si="20"/>
        <v>11</v>
      </c>
      <c r="L66" s="165">
        <f t="shared" si="24"/>
        <v>3231.0036287586868</v>
      </c>
      <c r="M66" s="165">
        <f t="shared" si="25"/>
        <v>153333.08752593439</v>
      </c>
      <c r="N66" s="165">
        <f t="shared" si="26"/>
        <v>2.1071796576275181E-2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6.9701199108438E-3</v>
      </c>
      <c r="F67" s="165">
        <f t="shared" si="19"/>
        <v>7364731.2088290304</v>
      </c>
      <c r="G67" s="165">
        <f t="shared" si="22"/>
        <v>824377.10764775053</v>
      </c>
      <c r="H67" s="165">
        <f t="shared" si="21"/>
        <v>6.9701199108438E-3</v>
      </c>
      <c r="I67" s="165">
        <f t="shared" si="23"/>
        <v>3.8714196851130501E-3</v>
      </c>
      <c r="J67" s="172">
        <f>IF(+'Sismo UBC-94 y Dinamico'!P43=0,'Sismo UBC-94 y Dinamico'!N43,'Sismo UBC-94 y Dinamico'!P43)</f>
        <v>10831.897485748421</v>
      </c>
      <c r="K67" s="172">
        <f t="shared" si="20"/>
        <v>7.5</v>
      </c>
      <c r="L67" s="165">
        <f t="shared" si="24"/>
        <v>3191.5097625040612</v>
      </c>
      <c r="M67" s="165">
        <f t="shared" si="25"/>
        <v>81239.231143113153</v>
      </c>
      <c r="N67" s="165">
        <f t="shared" si="26"/>
        <v>3.9285327022381765E-2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3.0987002257307499E-3</v>
      </c>
      <c r="F68" s="165">
        <f t="shared" si="19"/>
        <v>8425266.8406871203</v>
      </c>
      <c r="G68" s="165">
        <f t="shared" si="22"/>
        <v>1060535.6318580899</v>
      </c>
      <c r="H68" s="165">
        <f t="shared" si="21"/>
        <v>3.0987002257307499E-3</v>
      </c>
      <c r="I68" s="165">
        <f t="shared" si="23"/>
        <v>3.0987002257307499E-3</v>
      </c>
      <c r="J68" s="172">
        <f>IF(+'Sismo UBC-94 y Dinamico'!P44=0,'Sismo UBC-94 y Dinamico'!N44,'Sismo UBC-94 y Dinamico'!P44)</f>
        <v>6017.8443642030115</v>
      </c>
      <c r="K68" s="172">
        <f t="shared" si="20"/>
        <v>4</v>
      </c>
      <c r="L68" s="165">
        <f t="shared" si="24"/>
        <v>3286.2820018341667</v>
      </c>
      <c r="M68" s="165">
        <f t="shared" si="25"/>
        <v>24071.377456812046</v>
      </c>
      <c r="N68" s="165">
        <f t="shared" si="26"/>
        <v>0.13652239086567811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4" t="s">
        <v>73</v>
      </c>
      <c r="F73" s="204"/>
      <c r="G73" s="204"/>
      <c r="H73" s="204"/>
      <c r="I73" s="204"/>
      <c r="J73" s="204"/>
      <c r="K73" s="204"/>
      <c r="L73" s="204"/>
      <c r="M73" s="204"/>
      <c r="N73" s="204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2.9813715418951E-2</v>
      </c>
      <c r="F76" s="83">
        <f t="shared" ref="F76:F86" si="28">+E5</f>
        <v>17150.399999993901</v>
      </c>
      <c r="G76" s="83">
        <v>0</v>
      </c>
      <c r="H76" s="83">
        <f>+E76</f>
        <v>2.9813715418951E-2</v>
      </c>
      <c r="I76" s="83">
        <f>+H76-H77</f>
        <v>-3.8695136863944012E-3</v>
      </c>
      <c r="J76" s="83">
        <f>+J58</f>
        <v>976.64006737318141</v>
      </c>
      <c r="K76" s="83">
        <f t="shared" ref="K76:K86" si="29">+C76</f>
        <v>38.5</v>
      </c>
      <c r="L76" s="83">
        <f>+G76*I76</f>
        <v>0</v>
      </c>
      <c r="M76" s="83">
        <f>+J76*K76</f>
        <v>37600.642593867487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3.3683229105345401E-2</v>
      </c>
      <c r="F77" s="165">
        <f t="shared" si="28"/>
        <v>841896.147647526</v>
      </c>
      <c r="G77" s="83">
        <f>+F77</f>
        <v>841896.147647526</v>
      </c>
      <c r="H77" s="83">
        <f>+E77</f>
        <v>3.3683229105345401E-2</v>
      </c>
      <c r="I77" s="83">
        <f>+H77-H78</f>
        <v>1.1582315439664995E-3</v>
      </c>
      <c r="J77" s="172">
        <f t="shared" ref="J77:J86" si="30">+J59</f>
        <v>32283.688971202635</v>
      </c>
      <c r="K77" s="172">
        <f t="shared" si="29"/>
        <v>35.5</v>
      </c>
      <c r="L77" s="83">
        <f>+G77*I77</f>
        <v>975.11067494924202</v>
      </c>
      <c r="M77" s="83">
        <f>+J77*K77</f>
        <v>1146070.9584776936</v>
      </c>
      <c r="N77" s="83">
        <f>+L77/M77</f>
        <v>8.5082923333513734E-4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3.2524997561378902E-2</v>
      </c>
      <c r="F78" s="165">
        <f t="shared" si="28"/>
        <v>1651836.89529522</v>
      </c>
      <c r="G78" s="83">
        <f>+F78-F77</f>
        <v>809940.74764769396</v>
      </c>
      <c r="H78" s="83">
        <f>+E78</f>
        <v>3.2524997561378902E-2</v>
      </c>
      <c r="I78" s="83">
        <f>+H78-H79</f>
        <v>1.9572115221845009E-3</v>
      </c>
      <c r="J78" s="172">
        <f t="shared" si="30"/>
        <v>35676.729670564091</v>
      </c>
      <c r="K78" s="172">
        <f t="shared" si="29"/>
        <v>32</v>
      </c>
      <c r="L78" s="83">
        <f>+G78*I78</f>
        <v>1585.2253635827958</v>
      </c>
      <c r="M78" s="83">
        <f>+J78*K78</f>
        <v>1141655.3494580509</v>
      </c>
      <c r="N78" s="83">
        <f>+L78/M78</f>
        <v>1.3885323310010413E-3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3.0567786039194401E-2</v>
      </c>
      <c r="F79" s="165">
        <f t="shared" si="28"/>
        <v>2461777.642943</v>
      </c>
      <c r="G79" s="83">
        <f t="shared" ref="G79:G86" si="31">+F79-F78</f>
        <v>809940.74764777999</v>
      </c>
      <c r="H79" s="83">
        <f>+E79</f>
        <v>3.0567786039194401E-2</v>
      </c>
      <c r="I79" s="83">
        <f>+H79-H80</f>
        <v>2.7178590699424021E-3</v>
      </c>
      <c r="J79" s="172">
        <f t="shared" si="30"/>
        <v>29470.490291299862</v>
      </c>
      <c r="K79" s="172">
        <f t="shared" si="29"/>
        <v>28.5</v>
      </c>
      <c r="L79" s="83">
        <f>+G79*I79</f>
        <v>2201.304807110449</v>
      </c>
      <c r="M79" s="83">
        <f>+J79*K79</f>
        <v>839908.97330204607</v>
      </c>
      <c r="N79" s="83">
        <f>+L79/M79</f>
        <v>2.6208849733515361E-3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2.7849926969251999E-2</v>
      </c>
      <c r="F80" s="165">
        <f t="shared" si="28"/>
        <v>3271718.3905906598</v>
      </c>
      <c r="G80" s="83">
        <f t="shared" si="31"/>
        <v>809940.74764765985</v>
      </c>
      <c r="H80" s="83">
        <f>+E80</f>
        <v>2.7849926969251999E-2</v>
      </c>
      <c r="I80" s="83">
        <f>+H80-H81</f>
        <v>3.3591951952739972E-3</v>
      </c>
      <c r="J80" s="172">
        <f t="shared" si="30"/>
        <v>24445.599308343964</v>
      </c>
      <c r="K80" s="172">
        <f t="shared" si="29"/>
        <v>25</v>
      </c>
      <c r="L80" s="83">
        <f>+G80*I80</f>
        <v>2720.7490679546481</v>
      </c>
      <c r="M80" s="83">
        <f>+J80*K80</f>
        <v>611139.98270859907</v>
      </c>
      <c r="N80" s="83">
        <f>+L80/M80</f>
        <v>4.451924509825342E-3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2.4490731773978001E-2</v>
      </c>
      <c r="F81" s="165">
        <f t="shared" si="28"/>
        <v>4081659.1382383499</v>
      </c>
      <c r="G81" s="165">
        <f t="shared" si="31"/>
        <v>809940.74764769012</v>
      </c>
      <c r="H81" s="165">
        <f t="shared" ref="H81:H86" si="32">+E81</f>
        <v>2.4490731773978001E-2</v>
      </c>
      <c r="I81" s="165">
        <f t="shared" ref="I81:I86" si="33">+H81-H82</f>
        <v>3.8563224873409026E-3</v>
      </c>
      <c r="J81" s="172">
        <f t="shared" si="30"/>
        <v>20625.047309260844</v>
      </c>
      <c r="K81" s="172">
        <f t="shared" si="29"/>
        <v>21.5</v>
      </c>
      <c r="L81" s="165">
        <f t="shared" ref="L81:L86" si="34">+G81*I81</f>
        <v>3123.3927185674906</v>
      </c>
      <c r="M81" s="165">
        <f t="shared" ref="M81:M86" si="35">+J81*K81</f>
        <v>443438.51714910817</v>
      </c>
      <c r="N81" s="165">
        <f t="shared" ref="N81:N86" si="36">+L81/M81</f>
        <v>7.0435755979159475E-3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2.0634409286637099E-2</v>
      </c>
      <c r="F82" s="165">
        <f t="shared" si="28"/>
        <v>4891599.8858860601</v>
      </c>
      <c r="G82" s="165">
        <f t="shared" si="31"/>
        <v>809940.74764771014</v>
      </c>
      <c r="H82" s="165">
        <f t="shared" si="32"/>
        <v>2.0634409286637099E-2</v>
      </c>
      <c r="I82" s="165">
        <f t="shared" si="33"/>
        <v>4.0780518202426994E-3</v>
      </c>
      <c r="J82" s="172">
        <f t="shared" si="30"/>
        <v>17805.765796215423</v>
      </c>
      <c r="K82" s="172">
        <f t="shared" si="29"/>
        <v>18</v>
      </c>
      <c r="L82" s="165">
        <f t="shared" si="34"/>
        <v>3302.9803402334774</v>
      </c>
      <c r="M82" s="165">
        <f t="shared" si="35"/>
        <v>320503.7843318776</v>
      </c>
      <c r="N82" s="165">
        <f t="shared" si="36"/>
        <v>1.0305589205815065E-2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1.65563574663944E-2</v>
      </c>
      <c r="F83" s="165">
        <f t="shared" si="28"/>
        <v>5715976.9935336998</v>
      </c>
      <c r="G83" s="165">
        <f t="shared" si="31"/>
        <v>824377.1076476397</v>
      </c>
      <c r="H83" s="165">
        <f t="shared" si="32"/>
        <v>1.65563574663944E-2</v>
      </c>
      <c r="I83" s="165">
        <f t="shared" si="33"/>
        <v>4.2119545410695004E-3</v>
      </c>
      <c r="J83" s="172">
        <f t="shared" si="30"/>
        <v>16076.962719298073</v>
      </c>
      <c r="K83" s="172">
        <f t="shared" si="29"/>
        <v>14.5</v>
      </c>
      <c r="L83" s="165">
        <f t="shared" si="34"/>
        <v>3472.2389021102163</v>
      </c>
      <c r="M83" s="165">
        <f t="shared" si="35"/>
        <v>233115.95942982208</v>
      </c>
      <c r="N83" s="165">
        <f t="shared" si="36"/>
        <v>1.4894899991416116E-2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1.2344402925324899E-2</v>
      </c>
      <c r="F84" s="165">
        <f t="shared" si="28"/>
        <v>6540354.1011812799</v>
      </c>
      <c r="G84" s="165">
        <f t="shared" si="31"/>
        <v>824377.10764758009</v>
      </c>
      <c r="H84" s="165">
        <f t="shared" si="32"/>
        <v>1.2344402925324899E-2</v>
      </c>
      <c r="I84" s="165">
        <f t="shared" si="33"/>
        <v>4.4159247676204098E-3</v>
      </c>
      <c r="J84" s="172">
        <f t="shared" si="30"/>
        <v>13939.371593266764</v>
      </c>
      <c r="K84" s="172">
        <f t="shared" si="29"/>
        <v>11</v>
      </c>
      <c r="L84" s="165">
        <f t="shared" si="34"/>
        <v>3640.3872875202255</v>
      </c>
      <c r="M84" s="165">
        <f t="shared" si="35"/>
        <v>153333.08752593439</v>
      </c>
      <c r="N84" s="165">
        <f t="shared" si="36"/>
        <v>2.3741694283071806E-2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7.9284781577044893E-3</v>
      </c>
      <c r="F85" s="165">
        <f t="shared" si="28"/>
        <v>7364731.2088290304</v>
      </c>
      <c r="G85" s="165">
        <f t="shared" si="31"/>
        <v>824377.10764775053</v>
      </c>
      <c r="H85" s="165">
        <f t="shared" si="32"/>
        <v>7.9284781577044893E-3</v>
      </c>
      <c r="I85" s="165">
        <f t="shared" si="33"/>
        <v>4.4178203654370897E-3</v>
      </c>
      <c r="J85" s="172">
        <f t="shared" si="30"/>
        <v>10831.897485748421</v>
      </c>
      <c r="K85" s="172">
        <f t="shared" si="29"/>
        <v>7.5</v>
      </c>
      <c r="L85" s="165">
        <f t="shared" si="34"/>
        <v>3641.9499749663564</v>
      </c>
      <c r="M85" s="165">
        <f t="shared" si="35"/>
        <v>81239.231143113153</v>
      </c>
      <c r="N85" s="165">
        <f t="shared" si="36"/>
        <v>4.4829941442338393E-2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3.5106577922674E-3</v>
      </c>
      <c r="F86" s="165">
        <f t="shared" si="28"/>
        <v>8425266.8406871203</v>
      </c>
      <c r="G86" s="165">
        <f t="shared" si="31"/>
        <v>1060535.6318580899</v>
      </c>
      <c r="H86" s="165">
        <f t="shared" si="32"/>
        <v>3.5106577922674E-3</v>
      </c>
      <c r="I86" s="165">
        <f t="shared" si="33"/>
        <v>3.5106577922674E-3</v>
      </c>
      <c r="J86" s="172">
        <f t="shared" si="30"/>
        <v>6017.8443642030115</v>
      </c>
      <c r="K86" s="172">
        <f t="shared" si="29"/>
        <v>4</v>
      </c>
      <c r="L86" s="165">
        <f t="shared" si="34"/>
        <v>3723.1776799598342</v>
      </c>
      <c r="M86" s="165">
        <f t="shared" si="35"/>
        <v>24071.377456812046</v>
      </c>
      <c r="N86" s="165">
        <f t="shared" si="36"/>
        <v>0.15467239823062967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3"/>
      <c r="D104" s="203"/>
      <c r="E104" s="203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2021-05-24T19:59:54Z</dcterms:modified>
</cp:coreProperties>
</file>